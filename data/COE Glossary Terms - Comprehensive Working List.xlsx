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mc:AlternateContent xmlns:mc="http://schemas.openxmlformats.org/markup-compatibility/2006">
    <mc:Choice Requires="x15">
      <x15ac:absPath xmlns:x15ac="http://schemas.microsoft.com/office/spreadsheetml/2010/11/ac" url="/Users/jnesmith/Library/Application Support/Box/Box Edit/Documents/2001949377538/"/>
    </mc:Choice>
  </mc:AlternateContent>
  <xr:revisionPtr revIDLastSave="4433" documentId="13_ncr:1_{F4E72CC4-973D-D64A-8171-43584A223E08}" xr6:coauthVersionLast="47" xr6:coauthVersionMax="47" xr10:uidLastSave="{63FE4A43-7F4F-4840-94FD-63EA24E27020}"/>
  <bookViews>
    <workbookView xWindow="-50920" yWindow="500" windowWidth="49240" windowHeight="26580" firstSheet="3" activeTab="2" xr2:uid="{57BF01F6-F298-6442-A3A3-7550C326FC37}"/>
  </bookViews>
  <sheets>
    <sheet name="progress" sheetId="4" r:id="rId1"/>
    <sheet name="PrioritizedGlossaryTerms" sheetId="3" r:id="rId2"/>
    <sheet name="All ADL.org Backgrounders" sheetId="2" r:id="rId3"/>
    <sheet name="glossaryterms-export" sheetId="1" r:id="rId4"/>
  </sheets>
  <definedNames>
    <definedName name="_xlnm._FilterDatabase" localSheetId="3" hidden="1">'glossaryterms-export'!$F$1:$F$1091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953" i="3" l="1" a="1"/>
  <c r="F5953" i="3"/>
  <c r="F5952" i="3" a="1"/>
  <c r="F5952" i="3"/>
  <c r="F5951" i="3" a="1"/>
  <c r="F5951" i="3"/>
  <c r="F5950" i="3" a="1"/>
  <c r="F5950" i="3"/>
  <c r="F5949" i="3" a="1"/>
  <c r="F5949" i="3"/>
  <c r="F5948" i="3" a="1"/>
  <c r="F5948" i="3"/>
  <c r="F5947" i="3" a="1"/>
  <c r="F5947" i="3"/>
  <c r="F5946" i="3" a="1"/>
  <c r="F5946" i="3"/>
  <c r="F5945" i="3" a="1"/>
  <c r="F5945" i="3"/>
  <c r="F5944" i="3" a="1"/>
  <c r="F5944" i="3"/>
  <c r="F5943" i="3" a="1"/>
  <c r="F5943" i="3"/>
  <c r="F5942" i="3" a="1"/>
  <c r="F5942" i="3"/>
  <c r="F5941" i="3" a="1"/>
  <c r="F5941" i="3"/>
  <c r="F5940" i="3" a="1"/>
  <c r="F5940" i="3"/>
  <c r="F5939" i="3" a="1"/>
  <c r="F5939" i="3"/>
  <c r="F5938" i="3" a="1"/>
  <c r="F5938" i="3"/>
  <c r="F5937" i="3" a="1"/>
  <c r="F5937" i="3"/>
  <c r="F5936" i="3" a="1"/>
  <c r="F5936" i="3"/>
  <c r="F5935" i="3" a="1"/>
  <c r="F5935" i="3"/>
  <c r="F5934" i="3" a="1"/>
  <c r="F5934" i="3"/>
  <c r="F5933" i="3" a="1"/>
  <c r="F5933" i="3"/>
  <c r="F5932" i="3" a="1"/>
  <c r="F5932" i="3"/>
  <c r="F5931" i="3" a="1"/>
  <c r="F5931" i="3"/>
  <c r="F5930" i="3" a="1"/>
  <c r="F5930" i="3"/>
  <c r="F5929" i="3" a="1"/>
  <c r="F5929" i="3"/>
  <c r="F5928" i="3" a="1"/>
  <c r="F5928" i="3"/>
  <c r="F5927" i="3" a="1"/>
  <c r="F5927" i="3"/>
  <c r="F5926" i="3" a="1"/>
  <c r="F5926" i="3"/>
  <c r="F5925" i="3" a="1"/>
  <c r="F5925" i="3"/>
  <c r="F5924" i="3" a="1"/>
  <c r="F5924" i="3"/>
  <c r="F5923" i="3" a="1"/>
  <c r="F5923" i="3"/>
  <c r="F5922" i="3" a="1"/>
  <c r="F5922" i="3"/>
  <c r="F5921" i="3" a="1"/>
  <c r="F5921" i="3"/>
  <c r="F5920" i="3" a="1"/>
  <c r="F5920" i="3"/>
  <c r="F5919" i="3" a="1"/>
  <c r="F5919" i="3"/>
  <c r="F5918" i="3" a="1"/>
  <c r="F5918" i="3"/>
  <c r="F5917" i="3" a="1"/>
  <c r="F5917" i="3"/>
  <c r="F5916" i="3" a="1"/>
  <c r="F5916" i="3"/>
  <c r="F5915" i="3" a="1"/>
  <c r="F5915" i="3"/>
  <c r="F5914" i="3" a="1"/>
  <c r="F5914" i="3"/>
  <c r="F5913" i="3" a="1"/>
  <c r="F5913" i="3"/>
  <c r="F5912" i="3" a="1"/>
  <c r="F5912" i="3"/>
  <c r="F5911" i="3" a="1"/>
  <c r="F5911" i="3"/>
  <c r="F5910" i="3" a="1"/>
  <c r="F5910" i="3"/>
  <c r="F5909" i="3" a="1"/>
  <c r="F5909" i="3"/>
  <c r="F5908" i="3" a="1"/>
  <c r="F5908" i="3"/>
  <c r="F5907" i="3" a="1"/>
  <c r="F5907" i="3"/>
  <c r="F5906" i="3" a="1"/>
  <c r="F5906" i="3"/>
  <c r="F5905" i="3" a="1"/>
  <c r="F5905" i="3"/>
  <c r="F5904" i="3" a="1"/>
  <c r="F5904" i="3"/>
  <c r="F5903" i="3" a="1"/>
  <c r="F5903" i="3"/>
  <c r="F5902" i="3" a="1"/>
  <c r="F5902" i="3"/>
  <c r="F5901" i="3" a="1"/>
  <c r="F5901" i="3"/>
  <c r="F5900" i="3" a="1"/>
  <c r="F5900" i="3"/>
  <c r="F5899" i="3" a="1"/>
  <c r="F5899" i="3"/>
  <c r="F5898" i="3" a="1"/>
  <c r="F5898" i="3"/>
  <c r="F5897" i="3" a="1"/>
  <c r="F5897" i="3"/>
  <c r="F5896" i="3" a="1"/>
  <c r="F5896" i="3"/>
  <c r="F5895" i="3" a="1"/>
  <c r="F5895" i="3"/>
  <c r="F5894" i="3" a="1"/>
  <c r="F5894" i="3"/>
  <c r="F5893" i="3" a="1"/>
  <c r="F5893" i="3"/>
  <c r="F5892" i="3" a="1"/>
  <c r="F5892" i="3"/>
  <c r="F5891" i="3" a="1"/>
  <c r="F5891" i="3"/>
  <c r="F5890" i="3" a="1"/>
  <c r="F5890" i="3"/>
  <c r="F5889" i="3" a="1"/>
  <c r="F5889" i="3"/>
  <c r="F5888" i="3" a="1"/>
  <c r="F5888" i="3"/>
  <c r="F5887" i="3" a="1"/>
  <c r="F5887" i="3"/>
  <c r="F5886" i="3" a="1"/>
  <c r="F5886" i="3"/>
  <c r="F5885" i="3" a="1"/>
  <c r="F5885" i="3"/>
  <c r="F5884" i="3" a="1"/>
  <c r="F5884" i="3"/>
  <c r="F5883" i="3" a="1"/>
  <c r="F5883" i="3"/>
  <c r="F5882" i="3" a="1"/>
  <c r="F5882" i="3"/>
  <c r="F5881" i="3" a="1"/>
  <c r="F5881" i="3"/>
  <c r="F5880" i="3" a="1"/>
  <c r="F5880" i="3"/>
  <c r="F5879" i="3" a="1"/>
  <c r="F5879" i="3"/>
  <c r="F5878" i="3" a="1"/>
  <c r="F5878" i="3"/>
  <c r="F5877" i="3" a="1"/>
  <c r="F5877" i="3"/>
  <c r="F5876" i="3" a="1"/>
  <c r="F5876" i="3"/>
  <c r="F5875" i="3" a="1"/>
  <c r="F5875" i="3"/>
  <c r="F5874" i="3" a="1"/>
  <c r="F5874" i="3"/>
  <c r="F5873" i="3" a="1"/>
  <c r="F5873" i="3"/>
  <c r="F5872" i="3" a="1"/>
  <c r="F5872" i="3"/>
  <c r="F5871" i="3" a="1"/>
  <c r="F5871" i="3"/>
  <c r="F5870" i="3" a="1"/>
  <c r="F5870" i="3"/>
  <c r="F5869" i="3" a="1"/>
  <c r="F5869" i="3"/>
  <c r="F5868" i="3" a="1"/>
  <c r="F5868" i="3"/>
  <c r="F5867" i="3" a="1"/>
  <c r="F5867" i="3"/>
  <c r="F5866" i="3" a="1"/>
  <c r="F5866" i="3"/>
  <c r="F5865" i="3" a="1"/>
  <c r="F5865" i="3"/>
  <c r="F5864" i="3" a="1"/>
  <c r="F5864" i="3"/>
  <c r="F5863" i="3" a="1"/>
  <c r="F5863" i="3"/>
  <c r="F5862" i="3" a="1"/>
  <c r="F5862" i="3"/>
  <c r="F5861" i="3" a="1"/>
  <c r="F5861" i="3"/>
  <c r="F5860" i="3" a="1"/>
  <c r="F5860" i="3"/>
  <c r="F5859" i="3" a="1"/>
  <c r="F5859" i="3"/>
  <c r="F5858" i="3" a="1"/>
  <c r="F5858" i="3"/>
  <c r="F5857" i="3" a="1"/>
  <c r="F5857" i="3"/>
  <c r="F5856" i="3" a="1"/>
  <c r="F5856" i="3"/>
  <c r="F5855" i="3" a="1"/>
  <c r="F5855" i="3"/>
  <c r="F5854" i="3" a="1"/>
  <c r="F5854" i="3"/>
  <c r="F5853" i="3" a="1"/>
  <c r="F5853" i="3"/>
  <c r="F5852" i="3" a="1"/>
  <c r="F5852" i="3"/>
  <c r="F5851" i="3" a="1"/>
  <c r="F5851" i="3"/>
  <c r="F5850" i="3" a="1"/>
  <c r="F5850" i="3"/>
  <c r="F5849" i="3" a="1"/>
  <c r="F5849" i="3"/>
  <c r="F5848" i="3" a="1"/>
  <c r="F5848" i="3"/>
  <c r="F5847" i="3" a="1"/>
  <c r="F5847" i="3"/>
  <c r="F5846" i="3" a="1"/>
  <c r="F5846" i="3"/>
  <c r="F5845" i="3" a="1"/>
  <c r="F5845" i="3"/>
  <c r="F5844" i="3" a="1"/>
  <c r="F5844" i="3"/>
  <c r="F5843" i="3" a="1"/>
  <c r="F5843" i="3"/>
  <c r="F5842" i="3" a="1"/>
  <c r="F5842" i="3"/>
  <c r="F5841" i="3" a="1"/>
  <c r="F5841" i="3"/>
  <c r="F5840" i="3" a="1"/>
  <c r="F5840" i="3"/>
  <c r="F5839" i="3" a="1"/>
  <c r="F5839" i="3"/>
  <c r="F5838" i="3" a="1"/>
  <c r="F5838" i="3"/>
  <c r="F5837" i="3" a="1"/>
  <c r="F5837" i="3"/>
  <c r="F5836" i="3" a="1"/>
  <c r="F5836" i="3"/>
  <c r="F5835" i="3" a="1"/>
  <c r="F5835" i="3"/>
  <c r="F5834" i="3" a="1"/>
  <c r="F5834" i="3"/>
  <c r="F5833" i="3" a="1"/>
  <c r="F5833" i="3"/>
  <c r="F5832" i="3" a="1"/>
  <c r="F5832" i="3"/>
  <c r="F5831" i="3" a="1"/>
  <c r="F5831" i="3"/>
  <c r="F5830" i="3" a="1"/>
  <c r="F5830" i="3"/>
  <c r="F5829" i="3" a="1"/>
  <c r="F5829" i="3"/>
  <c r="F5828" i="3" a="1"/>
  <c r="F5828" i="3"/>
  <c r="F5827" i="3" a="1"/>
  <c r="F5827" i="3"/>
  <c r="F5826" i="3" a="1"/>
  <c r="F5826" i="3"/>
  <c r="F5825" i="3" a="1"/>
  <c r="F5825" i="3"/>
  <c r="F5824" i="3" a="1"/>
  <c r="F5824" i="3"/>
  <c r="F5823" i="3" a="1"/>
  <c r="F5823" i="3"/>
  <c r="F5822" i="3" a="1"/>
  <c r="F5822" i="3"/>
  <c r="F5821" i="3" a="1"/>
  <c r="F5821" i="3"/>
  <c r="F5820" i="3" a="1"/>
  <c r="F5820" i="3"/>
  <c r="F5819" i="3" a="1"/>
  <c r="F5819" i="3"/>
  <c r="F5818" i="3" a="1"/>
  <c r="F5818" i="3"/>
  <c r="F5817" i="3" a="1"/>
  <c r="F5817" i="3"/>
  <c r="F5816" i="3" a="1"/>
  <c r="F5816" i="3"/>
  <c r="F5815" i="3" a="1"/>
  <c r="F5815" i="3"/>
  <c r="F5814" i="3" a="1"/>
  <c r="F5814" i="3"/>
  <c r="F5813" i="3" a="1"/>
  <c r="F5813" i="3"/>
  <c r="F5812" i="3" a="1"/>
  <c r="F5812" i="3"/>
  <c r="F5811" i="3" a="1"/>
  <c r="F5811" i="3"/>
  <c r="F5810" i="3" a="1"/>
  <c r="F5810" i="3"/>
  <c r="F5809" i="3" a="1"/>
  <c r="F5809" i="3"/>
  <c r="F5808" i="3" a="1"/>
  <c r="F5808" i="3"/>
  <c r="F5807" i="3" a="1"/>
  <c r="F5807" i="3"/>
  <c r="F5806" i="3" a="1"/>
  <c r="F5806" i="3"/>
  <c r="F5805" i="3" a="1"/>
  <c r="F5805" i="3"/>
  <c r="F5804" i="3" a="1"/>
  <c r="F5804" i="3"/>
  <c r="F5803" i="3" a="1"/>
  <c r="F5803" i="3"/>
  <c r="F5802" i="3" a="1"/>
  <c r="F5802" i="3"/>
  <c r="F5801" i="3" a="1"/>
  <c r="F5801" i="3"/>
  <c r="F5800" i="3" a="1"/>
  <c r="F5800" i="3"/>
  <c r="F5799" i="3" a="1"/>
  <c r="F5799" i="3"/>
  <c r="F5798" i="3" a="1"/>
  <c r="F5798" i="3"/>
  <c r="F5797" i="3" a="1"/>
  <c r="F5797" i="3"/>
  <c r="F5796" i="3" a="1"/>
  <c r="F5796" i="3"/>
  <c r="F5795" i="3" a="1"/>
  <c r="F5795" i="3"/>
  <c r="F5794" i="3" a="1"/>
  <c r="F5794" i="3"/>
  <c r="F5793" i="3" a="1"/>
  <c r="F5793" i="3"/>
  <c r="F5792" i="3" a="1"/>
  <c r="F5792" i="3"/>
  <c r="F5791" i="3" a="1"/>
  <c r="F5791" i="3"/>
  <c r="F5790" i="3" a="1"/>
  <c r="F5790" i="3"/>
  <c r="F5789" i="3" a="1"/>
  <c r="F5789" i="3"/>
  <c r="F5788" i="3" a="1"/>
  <c r="F5788" i="3"/>
  <c r="F5787" i="3" a="1"/>
  <c r="F5787" i="3"/>
  <c r="F5786" i="3" a="1"/>
  <c r="F5786" i="3"/>
  <c r="F5785" i="3" a="1"/>
  <c r="F5785" i="3"/>
  <c r="F5784" i="3" a="1"/>
  <c r="F5784" i="3"/>
  <c r="F5783" i="3" a="1"/>
  <c r="F5783" i="3"/>
  <c r="F5782" i="3" a="1"/>
  <c r="F5782" i="3"/>
  <c r="F5781" i="3" a="1"/>
  <c r="F5781" i="3"/>
  <c r="F5780" i="3" a="1"/>
  <c r="F5780" i="3"/>
  <c r="F5779" i="3" a="1"/>
  <c r="F5779" i="3"/>
  <c r="F5778" i="3" a="1"/>
  <c r="F5778" i="3"/>
  <c r="F5777" i="3" a="1"/>
  <c r="F5777" i="3"/>
  <c r="F5776" i="3" a="1"/>
  <c r="F5776" i="3"/>
  <c r="F5775" i="3" a="1"/>
  <c r="F5775" i="3"/>
  <c r="F5774" i="3" a="1"/>
  <c r="F5774" i="3"/>
  <c r="F5773" i="3" a="1"/>
  <c r="F5773" i="3"/>
  <c r="F5772" i="3" a="1"/>
  <c r="F5772" i="3"/>
  <c r="F5771" i="3" a="1"/>
  <c r="F5771" i="3"/>
  <c r="F5770" i="3" a="1"/>
  <c r="F5770" i="3"/>
  <c r="F5769" i="3" a="1"/>
  <c r="F5769" i="3"/>
  <c r="F5768" i="3" a="1"/>
  <c r="F5768" i="3"/>
  <c r="F5767" i="3" a="1"/>
  <c r="F5767" i="3"/>
  <c r="F5766" i="3" a="1"/>
  <c r="F5766" i="3"/>
  <c r="F5765" i="3" a="1"/>
  <c r="F5765" i="3"/>
  <c r="F5764" i="3" a="1"/>
  <c r="F5764" i="3"/>
  <c r="F5763" i="3" a="1"/>
  <c r="F5763" i="3"/>
  <c r="F5762" i="3" a="1"/>
  <c r="F5762" i="3"/>
  <c r="F5761" i="3" a="1"/>
  <c r="F5761" i="3"/>
  <c r="F5760" i="3" a="1"/>
  <c r="F5760" i="3"/>
  <c r="F5759" i="3" a="1"/>
  <c r="F5759" i="3"/>
  <c r="F5758" i="3" a="1"/>
  <c r="F5758" i="3"/>
  <c r="F5757" i="3" a="1"/>
  <c r="F5757" i="3"/>
  <c r="F5756" i="3" a="1"/>
  <c r="F5756" i="3"/>
  <c r="F5755" i="3" a="1"/>
  <c r="F5755" i="3"/>
  <c r="F5754" i="3" a="1"/>
  <c r="F5754" i="3"/>
  <c r="F5753" i="3" a="1"/>
  <c r="F5753" i="3"/>
  <c r="F5752" i="3" a="1"/>
  <c r="F5752" i="3"/>
  <c r="F5751" i="3" a="1"/>
  <c r="F5751" i="3"/>
  <c r="F5750" i="3" a="1"/>
  <c r="F5750" i="3"/>
  <c r="F5749" i="3" a="1"/>
  <c r="F5749" i="3"/>
  <c r="F5748" i="3" a="1"/>
  <c r="F5748" i="3"/>
  <c r="F5747" i="3" a="1"/>
  <c r="F5747" i="3"/>
  <c r="F5746" i="3" a="1"/>
  <c r="F5746" i="3"/>
  <c r="F5745" i="3" a="1"/>
  <c r="F5745" i="3"/>
  <c r="F5744" i="3" a="1"/>
  <c r="F5744" i="3"/>
  <c r="F5743" i="3" a="1"/>
  <c r="F5743" i="3"/>
  <c r="F5742" i="3" a="1"/>
  <c r="F5742" i="3"/>
  <c r="F5741" i="3" a="1"/>
  <c r="F5741" i="3"/>
  <c r="F5740" i="3" a="1"/>
  <c r="F5740" i="3"/>
  <c r="F5739" i="3" a="1"/>
  <c r="F5739" i="3"/>
  <c r="F5738" i="3" a="1"/>
  <c r="F5738" i="3"/>
  <c r="F5737" i="3" a="1"/>
  <c r="F5737" i="3"/>
  <c r="F5736" i="3" a="1"/>
  <c r="F5736" i="3"/>
  <c r="F5735" i="3" a="1"/>
  <c r="F5735" i="3"/>
  <c r="F5734" i="3" a="1"/>
  <c r="F5734" i="3"/>
  <c r="F5733" i="3" a="1"/>
  <c r="F5733" i="3"/>
  <c r="F5732" i="3" a="1"/>
  <c r="F5732" i="3"/>
  <c r="F5731" i="3" a="1"/>
  <c r="F5731" i="3"/>
  <c r="F5730" i="3" a="1"/>
  <c r="F5730" i="3"/>
  <c r="F5729" i="3" a="1"/>
  <c r="F5729" i="3"/>
  <c r="F5728" i="3" a="1"/>
  <c r="F5728" i="3"/>
  <c r="F5727" i="3" a="1"/>
  <c r="F5727" i="3"/>
  <c r="F5726" i="3" a="1"/>
  <c r="F5726" i="3"/>
  <c r="F5725" i="3" a="1"/>
  <c r="F5725" i="3"/>
  <c r="F5724" i="3" a="1"/>
  <c r="F5724" i="3"/>
  <c r="F5723" i="3" a="1"/>
  <c r="F5723" i="3"/>
  <c r="F5722" i="3" a="1"/>
  <c r="F5722" i="3"/>
  <c r="F5721" i="3" a="1"/>
  <c r="F5721" i="3"/>
  <c r="F5720" i="3" a="1"/>
  <c r="F5720" i="3"/>
  <c r="F5719" i="3" a="1"/>
  <c r="F5719" i="3"/>
  <c r="F5718" i="3" a="1"/>
  <c r="F5718" i="3"/>
  <c r="F5717" i="3" a="1"/>
  <c r="F5717" i="3"/>
  <c r="F5716" i="3" a="1"/>
  <c r="F5716" i="3"/>
  <c r="F5715" i="3" a="1"/>
  <c r="F5715" i="3"/>
  <c r="F5714" i="3" a="1"/>
  <c r="F5714" i="3"/>
  <c r="F5713" i="3" a="1"/>
  <c r="F5713" i="3"/>
  <c r="F5712" i="3" a="1"/>
  <c r="F5712" i="3"/>
  <c r="F5711" i="3" a="1"/>
  <c r="F5711" i="3"/>
  <c r="F5710" i="3" a="1"/>
  <c r="F5710" i="3"/>
  <c r="F5709" i="3" a="1"/>
  <c r="F5709" i="3"/>
  <c r="F5708" i="3" a="1"/>
  <c r="F5708" i="3"/>
  <c r="F5707" i="3" a="1"/>
  <c r="F5707" i="3"/>
  <c r="F5706" i="3" a="1"/>
  <c r="F5706" i="3"/>
  <c r="F5705" i="3" a="1"/>
  <c r="F5705" i="3"/>
  <c r="F5704" i="3" a="1"/>
  <c r="F5704" i="3"/>
  <c r="F5703" i="3" a="1"/>
  <c r="F5703" i="3"/>
  <c r="F5702" i="3" a="1"/>
  <c r="F5702" i="3"/>
  <c r="F5701" i="3" a="1"/>
  <c r="F5701" i="3"/>
  <c r="F5700" i="3" a="1"/>
  <c r="F5700" i="3"/>
  <c r="F5699" i="3" a="1"/>
  <c r="F5699" i="3"/>
  <c r="F5698" i="3" a="1"/>
  <c r="F5698" i="3"/>
  <c r="F5697" i="3" a="1"/>
  <c r="F5697" i="3"/>
  <c r="F5696" i="3" a="1"/>
  <c r="F5696" i="3"/>
  <c r="F5695" i="3" a="1"/>
  <c r="F5695" i="3"/>
  <c r="F5694" i="3" a="1"/>
  <c r="F5694" i="3"/>
  <c r="F5693" i="3" a="1"/>
  <c r="F5693" i="3"/>
  <c r="F5692" i="3" a="1"/>
  <c r="F5692" i="3"/>
  <c r="F5691" i="3" a="1"/>
  <c r="F5691" i="3"/>
  <c r="F5690" i="3" a="1"/>
  <c r="F5690" i="3"/>
  <c r="F5689" i="3" a="1"/>
  <c r="F5689" i="3"/>
  <c r="F5688" i="3" a="1"/>
  <c r="F5688" i="3"/>
  <c r="F5687" i="3" a="1"/>
  <c r="F5687" i="3"/>
  <c r="F5686" i="3" a="1"/>
  <c r="F5686" i="3"/>
  <c r="F5685" i="3" a="1"/>
  <c r="F5685" i="3"/>
  <c r="F5684" i="3" a="1"/>
  <c r="F5684" i="3"/>
  <c r="F5683" i="3" a="1"/>
  <c r="F5683" i="3"/>
  <c r="F5682" i="3" a="1"/>
  <c r="F5682" i="3"/>
  <c r="F5681" i="3" a="1"/>
  <c r="F5681" i="3"/>
  <c r="F5680" i="3" a="1"/>
  <c r="F5680" i="3"/>
  <c r="F5679" i="3" a="1"/>
  <c r="F5679" i="3"/>
  <c r="F5678" i="3" a="1"/>
  <c r="F5678" i="3"/>
  <c r="F5677" i="3" a="1"/>
  <c r="F5677" i="3"/>
  <c r="F5676" i="3" a="1"/>
  <c r="F5676" i="3"/>
  <c r="F5675" i="3" a="1"/>
  <c r="F5675" i="3"/>
  <c r="F5674" i="3" a="1"/>
  <c r="F5674" i="3"/>
  <c r="F5673" i="3" a="1"/>
  <c r="F5673" i="3"/>
  <c r="F5672" i="3" a="1"/>
  <c r="F5672" i="3"/>
  <c r="F5671" i="3" a="1"/>
  <c r="F5671" i="3"/>
  <c r="F5670" i="3" a="1"/>
  <c r="F5670" i="3"/>
  <c r="F5669" i="3" a="1"/>
  <c r="F5669" i="3"/>
  <c r="F5668" i="3" a="1"/>
  <c r="F5668" i="3"/>
  <c r="F5667" i="3" a="1"/>
  <c r="F5667" i="3"/>
  <c r="F5666" i="3" a="1"/>
  <c r="F5666" i="3"/>
  <c r="F5665" i="3" a="1"/>
  <c r="F5665" i="3"/>
  <c r="F5664" i="3" a="1"/>
  <c r="F5664" i="3"/>
  <c r="F5663" i="3" a="1"/>
  <c r="F5663" i="3"/>
  <c r="F5662" i="3" a="1"/>
  <c r="F5662" i="3"/>
  <c r="F5661" i="3" a="1"/>
  <c r="F5661" i="3"/>
  <c r="F5660" i="3" a="1"/>
  <c r="F5660" i="3"/>
  <c r="F5659" i="3" a="1"/>
  <c r="F5659" i="3"/>
  <c r="F5658" i="3" a="1"/>
  <c r="F5658" i="3"/>
  <c r="F5657" i="3" a="1"/>
  <c r="F5657" i="3"/>
  <c r="F5656" i="3" a="1"/>
  <c r="F5656" i="3"/>
  <c r="F5655" i="3" a="1"/>
  <c r="F5655" i="3"/>
  <c r="F5654" i="3" a="1"/>
  <c r="F5654" i="3"/>
  <c r="F5653" i="3" a="1"/>
  <c r="F5653" i="3"/>
  <c r="F5652" i="3" a="1"/>
  <c r="F5652" i="3"/>
  <c r="F5651" i="3" a="1"/>
  <c r="F5651" i="3"/>
  <c r="F5650" i="3" a="1"/>
  <c r="F5650" i="3"/>
  <c r="F5649" i="3" a="1"/>
  <c r="F5649" i="3"/>
  <c r="F5648" i="3" a="1"/>
  <c r="F5648" i="3"/>
  <c r="F5647" i="3" a="1"/>
  <c r="F5647" i="3"/>
  <c r="F5646" i="3" a="1"/>
  <c r="F5646" i="3"/>
  <c r="F5645" i="3" a="1"/>
  <c r="F5645" i="3"/>
  <c r="F5644" i="3" a="1"/>
  <c r="F5644" i="3"/>
  <c r="F5643" i="3" a="1"/>
  <c r="F5643" i="3"/>
  <c r="F5642" i="3" a="1"/>
  <c r="F5642" i="3"/>
  <c r="F5641" i="3" a="1"/>
  <c r="F5641" i="3"/>
  <c r="F5640" i="3" a="1"/>
  <c r="F5640" i="3"/>
  <c r="F5639" i="3" a="1"/>
  <c r="F5639" i="3"/>
  <c r="F5638" i="3" a="1"/>
  <c r="F5638" i="3"/>
  <c r="F5637" i="3" a="1"/>
  <c r="F5637" i="3"/>
  <c r="F5636" i="3" a="1"/>
  <c r="F5636" i="3"/>
  <c r="F5635" i="3" a="1"/>
  <c r="F5635" i="3"/>
  <c r="F5634" i="3" a="1"/>
  <c r="F5634" i="3"/>
  <c r="F5633" i="3" a="1"/>
  <c r="F5633" i="3"/>
  <c r="F5632" i="3" a="1"/>
  <c r="F5632" i="3"/>
  <c r="F5631" i="3" a="1"/>
  <c r="F5631" i="3"/>
  <c r="F5630" i="3" a="1"/>
  <c r="F5630" i="3"/>
  <c r="F5629" i="3" a="1"/>
  <c r="F5629" i="3"/>
  <c r="F5628" i="3" a="1"/>
  <c r="F5628" i="3"/>
  <c r="F5627" i="3" a="1"/>
  <c r="F5627" i="3"/>
  <c r="F5626" i="3" a="1"/>
  <c r="F5626" i="3"/>
  <c r="F5625" i="3" a="1"/>
  <c r="F5625" i="3"/>
  <c r="F5624" i="3" a="1"/>
  <c r="F5624" i="3"/>
  <c r="F5623" i="3" a="1"/>
  <c r="F5623" i="3"/>
  <c r="F5622" i="3" a="1"/>
  <c r="F5622" i="3"/>
  <c r="F5621" i="3" a="1"/>
  <c r="F5621" i="3"/>
  <c r="F5620" i="3" a="1"/>
  <c r="F5620" i="3"/>
  <c r="F5619" i="3" a="1"/>
  <c r="F5619" i="3"/>
  <c r="F5618" i="3" a="1"/>
  <c r="F5618" i="3"/>
  <c r="F5617" i="3" a="1"/>
  <c r="F5617" i="3"/>
  <c r="F5616" i="3" a="1"/>
  <c r="F5616" i="3"/>
  <c r="F5615" i="3" a="1"/>
  <c r="F5615" i="3"/>
  <c r="F5614" i="3" a="1"/>
  <c r="F5614" i="3"/>
  <c r="F5613" i="3" a="1"/>
  <c r="F5613" i="3"/>
  <c r="F5612" i="3" a="1"/>
  <c r="F5612" i="3"/>
  <c r="F5611" i="3" a="1"/>
  <c r="F5611" i="3"/>
  <c r="F5610" i="3" a="1"/>
  <c r="F5610" i="3"/>
  <c r="F5609" i="3" a="1"/>
  <c r="F5609" i="3"/>
  <c r="F5608" i="3" a="1"/>
  <c r="F5608" i="3"/>
  <c r="F5607" i="3" a="1"/>
  <c r="F5607" i="3"/>
  <c r="F5606" i="3" a="1"/>
  <c r="F5606" i="3"/>
  <c r="F5605" i="3" a="1"/>
  <c r="F5605" i="3"/>
  <c r="F5604" i="3" a="1"/>
  <c r="F5604" i="3"/>
  <c r="F5603" i="3" a="1"/>
  <c r="F5603" i="3"/>
  <c r="F5602" i="3" a="1"/>
  <c r="F5602" i="3"/>
  <c r="F5601" i="3" a="1"/>
  <c r="F5601" i="3"/>
  <c r="F5600" i="3" a="1"/>
  <c r="F5600" i="3"/>
  <c r="F5599" i="3" a="1"/>
  <c r="F5599" i="3"/>
  <c r="F5598" i="3" a="1"/>
  <c r="F5598" i="3"/>
  <c r="F5597" i="3" a="1"/>
  <c r="F5597" i="3"/>
  <c r="F5596" i="3" a="1"/>
  <c r="F5596" i="3"/>
  <c r="F5595" i="3" a="1"/>
  <c r="F5595" i="3"/>
  <c r="F5594" i="3" a="1"/>
  <c r="F5594" i="3"/>
  <c r="F5593" i="3" a="1"/>
  <c r="F5593" i="3"/>
  <c r="F5592" i="3" a="1"/>
  <c r="F5592" i="3"/>
  <c r="F5591" i="3" a="1"/>
  <c r="F5591" i="3"/>
  <c r="F5590" i="3" a="1"/>
  <c r="F5590" i="3"/>
  <c r="F5589" i="3" a="1"/>
  <c r="F5589" i="3"/>
  <c r="F5588" i="3" a="1"/>
  <c r="F5588" i="3"/>
  <c r="F5587" i="3" a="1"/>
  <c r="F5587" i="3"/>
  <c r="F5586" i="3" a="1"/>
  <c r="F5586" i="3"/>
  <c r="F5585" i="3" a="1"/>
  <c r="F5585" i="3"/>
  <c r="F5584" i="3" a="1"/>
  <c r="F5584" i="3"/>
  <c r="F5583" i="3" a="1"/>
  <c r="F5583" i="3"/>
  <c r="F5582" i="3" a="1"/>
  <c r="F5582" i="3"/>
  <c r="F5581" i="3" a="1"/>
  <c r="F5581" i="3"/>
  <c r="F5580" i="3" a="1"/>
  <c r="F5580" i="3"/>
  <c r="F5579" i="3" a="1"/>
  <c r="F5579" i="3"/>
  <c r="F5578" i="3" a="1"/>
  <c r="F5578" i="3"/>
  <c r="F5577" i="3" a="1"/>
  <c r="F5577" i="3"/>
  <c r="F5576" i="3" a="1"/>
  <c r="F5576" i="3"/>
  <c r="F5575" i="3" a="1"/>
  <c r="F5575" i="3"/>
  <c r="F5574" i="3" a="1"/>
  <c r="F5574" i="3"/>
  <c r="F5573" i="3" a="1"/>
  <c r="F5573" i="3"/>
  <c r="F5572" i="3" a="1"/>
  <c r="F5572" i="3"/>
  <c r="F5571" i="3" a="1"/>
  <c r="F5571" i="3"/>
  <c r="F5570" i="3" a="1"/>
  <c r="F5570" i="3"/>
  <c r="F5569" i="3" a="1"/>
  <c r="F5569" i="3"/>
  <c r="F5568" i="3" a="1"/>
  <c r="F5568" i="3"/>
  <c r="F5567" i="3" a="1"/>
  <c r="F5567" i="3"/>
  <c r="F5566" i="3" a="1"/>
  <c r="F5566" i="3"/>
  <c r="F5565" i="3" a="1"/>
  <c r="F5565" i="3"/>
  <c r="F5564" i="3" a="1"/>
  <c r="F5564" i="3"/>
  <c r="F5563" i="3" a="1"/>
  <c r="F5563" i="3"/>
  <c r="F5562" i="3" a="1"/>
  <c r="F5562" i="3"/>
  <c r="F5561" i="3" a="1"/>
  <c r="F5561" i="3"/>
  <c r="F5560" i="3" a="1"/>
  <c r="F5560" i="3"/>
  <c r="F5559" i="3" a="1"/>
  <c r="F5559" i="3"/>
  <c r="F5558" i="3" a="1"/>
  <c r="F5558" i="3"/>
  <c r="F5557" i="3" a="1"/>
  <c r="F5557" i="3"/>
  <c r="F5556" i="3" a="1"/>
  <c r="F5556" i="3"/>
  <c r="F5555" i="3" a="1"/>
  <c r="F5555" i="3"/>
  <c r="F5554" i="3" a="1"/>
  <c r="F5554" i="3"/>
  <c r="F5553" i="3" a="1"/>
  <c r="F5553" i="3"/>
  <c r="F5552" i="3" a="1"/>
  <c r="F5552" i="3"/>
  <c r="F5551" i="3" a="1"/>
  <c r="F5551" i="3"/>
  <c r="F5550" i="3" a="1"/>
  <c r="F5550" i="3"/>
  <c r="F5549" i="3" a="1"/>
  <c r="F5549" i="3"/>
  <c r="F5548" i="3" a="1"/>
  <c r="F5548" i="3"/>
  <c r="F5547" i="3" a="1"/>
  <c r="F5547" i="3"/>
  <c r="F5546" i="3" a="1"/>
  <c r="F5546" i="3"/>
  <c r="F5545" i="3" a="1"/>
  <c r="F5545" i="3"/>
  <c r="F5544" i="3" a="1"/>
  <c r="F5544" i="3"/>
  <c r="F5543" i="3" a="1"/>
  <c r="F5543" i="3"/>
  <c r="F5542" i="3" a="1"/>
  <c r="F5542" i="3"/>
  <c r="F5541" i="3" a="1"/>
  <c r="F5541" i="3"/>
  <c r="F5540" i="3" a="1"/>
  <c r="F5540" i="3"/>
  <c r="F5539" i="3" a="1"/>
  <c r="F5539" i="3"/>
  <c r="F5538" i="3" a="1"/>
  <c r="F5538" i="3"/>
  <c r="F5537" i="3" a="1"/>
  <c r="F5537" i="3"/>
  <c r="F5536" i="3" a="1"/>
  <c r="F5536" i="3"/>
  <c r="F5535" i="3" a="1"/>
  <c r="F5535" i="3"/>
  <c r="F5534" i="3" a="1"/>
  <c r="F5534" i="3"/>
  <c r="F5533" i="3" a="1"/>
  <c r="F5533" i="3"/>
  <c r="F5532" i="3" a="1"/>
  <c r="F5532" i="3"/>
  <c r="F5531" i="3" a="1"/>
  <c r="F5531" i="3"/>
  <c r="F5530" i="3" a="1"/>
  <c r="F5530" i="3"/>
  <c r="F5529" i="3" a="1"/>
  <c r="F5529" i="3"/>
  <c r="F5528" i="3" a="1"/>
  <c r="F5528" i="3"/>
  <c r="F5527" i="3" a="1"/>
  <c r="F5527" i="3"/>
  <c r="F5526" i="3" a="1"/>
  <c r="F5526" i="3"/>
  <c r="F5525" i="3" a="1"/>
  <c r="F5525" i="3"/>
  <c r="F5524" i="3" a="1"/>
  <c r="F5524" i="3"/>
  <c r="F5523" i="3" a="1"/>
  <c r="F5523" i="3"/>
  <c r="F5522" i="3" a="1"/>
  <c r="F5522" i="3"/>
  <c r="F5521" i="3" a="1"/>
  <c r="F5521" i="3"/>
  <c r="F5520" i="3" a="1"/>
  <c r="F5520" i="3"/>
  <c r="F5519" i="3" a="1"/>
  <c r="F5519" i="3"/>
  <c r="F5518" i="3" a="1"/>
  <c r="F5518" i="3"/>
  <c r="F5517" i="3" a="1"/>
  <c r="F5517" i="3"/>
  <c r="F5516" i="3" a="1"/>
  <c r="F5516" i="3"/>
  <c r="F5515" i="3" a="1"/>
  <c r="F5515" i="3"/>
  <c r="F5514" i="3" a="1"/>
  <c r="F5514" i="3"/>
  <c r="F5513" i="3" a="1"/>
  <c r="F5513" i="3"/>
  <c r="F5512" i="3" a="1"/>
  <c r="F5512" i="3"/>
  <c r="F5511" i="3" a="1"/>
  <c r="F5511" i="3"/>
  <c r="F5510" i="3" a="1"/>
  <c r="F5510" i="3"/>
  <c r="F5509" i="3" a="1"/>
  <c r="F5509" i="3"/>
  <c r="F5508" i="3" a="1"/>
  <c r="F5508" i="3"/>
  <c r="F5507" i="3" a="1"/>
  <c r="F5507" i="3"/>
  <c r="F5506" i="3" a="1"/>
  <c r="F5506" i="3"/>
  <c r="F5505" i="3" a="1"/>
  <c r="F5505" i="3"/>
  <c r="F5504" i="3" a="1"/>
  <c r="F5504" i="3"/>
  <c r="F5503" i="3" a="1"/>
  <c r="F5503" i="3"/>
  <c r="F5502" i="3" a="1"/>
  <c r="F5502" i="3"/>
  <c r="F5501" i="3" a="1"/>
  <c r="F5501" i="3"/>
  <c r="F5500" i="3" a="1"/>
  <c r="F5500" i="3"/>
  <c r="F5499" i="3" a="1"/>
  <c r="F5499" i="3"/>
  <c r="F5498" i="3" a="1"/>
  <c r="F5498" i="3"/>
  <c r="F5497" i="3" a="1"/>
  <c r="F5497" i="3"/>
  <c r="F5496" i="3" a="1"/>
  <c r="F5496" i="3"/>
  <c r="F5495" i="3" a="1"/>
  <c r="F5495" i="3"/>
  <c r="F5494" i="3" a="1"/>
  <c r="F5494" i="3"/>
  <c r="F5493" i="3" a="1"/>
  <c r="F5493" i="3"/>
  <c r="F5492" i="3" a="1"/>
  <c r="F5492" i="3"/>
  <c r="F5491" i="3" a="1"/>
  <c r="F5491" i="3"/>
  <c r="F5490" i="3" a="1"/>
  <c r="F5490" i="3"/>
  <c r="F5489" i="3" a="1"/>
  <c r="F5489" i="3"/>
  <c r="F5488" i="3" a="1"/>
  <c r="F5488" i="3"/>
  <c r="F5487" i="3" a="1"/>
  <c r="F5487" i="3"/>
  <c r="F5486" i="3" a="1"/>
  <c r="F5486" i="3"/>
  <c r="F5485" i="3" a="1"/>
  <c r="F5485" i="3"/>
  <c r="F5484" i="3" a="1"/>
  <c r="F5484" i="3"/>
  <c r="F5483" i="3" a="1"/>
  <c r="F5483" i="3"/>
  <c r="F5482" i="3" a="1"/>
  <c r="F5482" i="3"/>
  <c r="F5481" i="3" a="1"/>
  <c r="F5481" i="3"/>
  <c r="F5480" i="3" a="1"/>
  <c r="F5480" i="3"/>
  <c r="F5479" i="3" a="1"/>
  <c r="F5479" i="3"/>
  <c r="F5478" i="3" a="1"/>
  <c r="F5478" i="3"/>
  <c r="F5477" i="3" a="1"/>
  <c r="F5477" i="3"/>
  <c r="F5476" i="3" a="1"/>
  <c r="F5476" i="3"/>
  <c r="F5475" i="3" a="1"/>
  <c r="F5475" i="3"/>
  <c r="F5474" i="3" a="1"/>
  <c r="F5474" i="3"/>
  <c r="F5473" i="3" a="1"/>
  <c r="F5473" i="3"/>
  <c r="F5472" i="3" a="1"/>
  <c r="F5472" i="3"/>
  <c r="F5471" i="3" a="1"/>
  <c r="F5471" i="3"/>
  <c r="F5470" i="3" a="1"/>
  <c r="F5470" i="3"/>
  <c r="F5469" i="3" a="1"/>
  <c r="F5469" i="3"/>
  <c r="F5468" i="3" a="1"/>
  <c r="F5468" i="3"/>
  <c r="F5467" i="3" a="1"/>
  <c r="F5467" i="3"/>
  <c r="F5466" i="3" a="1"/>
  <c r="F5466" i="3"/>
  <c r="F5465" i="3" a="1"/>
  <c r="F5465" i="3"/>
  <c r="F5464" i="3" a="1"/>
  <c r="F5464" i="3"/>
  <c r="F5463" i="3" a="1"/>
  <c r="F5463" i="3"/>
  <c r="F5462" i="3" a="1"/>
  <c r="F5462" i="3"/>
  <c r="F5461" i="3" a="1"/>
  <c r="F5461" i="3"/>
  <c r="F5460" i="3" a="1"/>
  <c r="F5460" i="3"/>
  <c r="F5459" i="3" a="1"/>
  <c r="F5459" i="3"/>
  <c r="F5458" i="3" a="1"/>
  <c r="F5458" i="3"/>
  <c r="F5457" i="3" a="1"/>
  <c r="F5457" i="3"/>
  <c r="F5456" i="3" a="1"/>
  <c r="F5456" i="3"/>
  <c r="F5455" i="3" a="1"/>
  <c r="F5455" i="3"/>
  <c r="F5454" i="3" a="1"/>
  <c r="F5454" i="3"/>
  <c r="F5453" i="3" a="1"/>
  <c r="F5453" i="3"/>
  <c r="F5452" i="3" a="1"/>
  <c r="F5452" i="3"/>
  <c r="F5451" i="3" a="1"/>
  <c r="F5451" i="3"/>
  <c r="F5450" i="3" a="1"/>
  <c r="F5450" i="3"/>
  <c r="F5449" i="3" a="1"/>
  <c r="F5449" i="3"/>
  <c r="F5448" i="3" a="1"/>
  <c r="F5448" i="3"/>
  <c r="F5447" i="3" a="1"/>
  <c r="F5447" i="3"/>
  <c r="F5446" i="3" a="1"/>
  <c r="F5446" i="3"/>
  <c r="F5445" i="3" a="1"/>
  <c r="F5445" i="3"/>
  <c r="F5444" i="3" a="1"/>
  <c r="F5444" i="3"/>
  <c r="F5443" i="3" a="1"/>
  <c r="F5443" i="3"/>
  <c r="F5442" i="3" a="1"/>
  <c r="F5442" i="3"/>
  <c r="F5441" i="3" a="1"/>
  <c r="F5441" i="3"/>
  <c r="F5440" i="3" a="1"/>
  <c r="F5440" i="3"/>
  <c r="F5439" i="3" a="1"/>
  <c r="F5439" i="3"/>
  <c r="F5438" i="3" a="1"/>
  <c r="F5438" i="3"/>
  <c r="F5437" i="3" a="1"/>
  <c r="F5437" i="3"/>
  <c r="F5436" i="3" a="1"/>
  <c r="F5436" i="3"/>
  <c r="F5435" i="3" a="1"/>
  <c r="F5435" i="3"/>
  <c r="F5434" i="3" a="1"/>
  <c r="F5434" i="3"/>
  <c r="F5433" i="3" a="1"/>
  <c r="F5433" i="3"/>
  <c r="F5432" i="3" a="1"/>
  <c r="F5432" i="3"/>
  <c r="F5431" i="3" a="1"/>
  <c r="F5431" i="3"/>
  <c r="F5430" i="3" a="1"/>
  <c r="F5430" i="3"/>
  <c r="F5429" i="3" a="1"/>
  <c r="F5429" i="3"/>
  <c r="F5428" i="3" a="1"/>
  <c r="F5428" i="3"/>
  <c r="F5427" i="3" a="1"/>
  <c r="F5427" i="3"/>
  <c r="F5426" i="3" a="1"/>
  <c r="F5426" i="3"/>
  <c r="F5425" i="3" a="1"/>
  <c r="F5425" i="3"/>
  <c r="F5424" i="3" a="1"/>
  <c r="F5424" i="3"/>
  <c r="F5423" i="3" a="1"/>
  <c r="F5423" i="3"/>
  <c r="F5422" i="3" a="1"/>
  <c r="F5422" i="3"/>
  <c r="F5421" i="3" a="1"/>
  <c r="F5421" i="3"/>
  <c r="F5420" i="3" a="1"/>
  <c r="F5420" i="3"/>
  <c r="F5419" i="3" a="1"/>
  <c r="F5419" i="3"/>
  <c r="F5418" i="3" a="1"/>
  <c r="F5418" i="3"/>
  <c r="F5417" i="3" a="1"/>
  <c r="F5417" i="3"/>
  <c r="F5416" i="3" a="1"/>
  <c r="F5416" i="3"/>
  <c r="F5415" i="3" a="1"/>
  <c r="F5415" i="3"/>
  <c r="F5414" i="3" a="1"/>
  <c r="F5414" i="3"/>
  <c r="F5413" i="3" a="1"/>
  <c r="F5413" i="3"/>
  <c r="F5412" i="3" a="1"/>
  <c r="F5412" i="3"/>
  <c r="F5411" i="3" a="1"/>
  <c r="F5411" i="3"/>
  <c r="F5410" i="3" a="1"/>
  <c r="F5410" i="3"/>
  <c r="F5409" i="3" a="1"/>
  <c r="F5409" i="3"/>
  <c r="F5408" i="3" a="1"/>
  <c r="F5408" i="3"/>
  <c r="F5407" i="3" a="1"/>
  <c r="F5407" i="3"/>
  <c r="F5406" i="3" a="1"/>
  <c r="F5406" i="3"/>
  <c r="F5405" i="3" a="1"/>
  <c r="F5405" i="3"/>
  <c r="F5404" i="3" a="1"/>
  <c r="F5404" i="3"/>
  <c r="F5403" i="3" a="1"/>
  <c r="F5403" i="3"/>
  <c r="F5402" i="3" a="1"/>
  <c r="F5402" i="3"/>
  <c r="F5401" i="3" a="1"/>
  <c r="F5401" i="3"/>
  <c r="F5400" i="3" a="1"/>
  <c r="F5400" i="3"/>
  <c r="F5399" i="3" a="1"/>
  <c r="F5399" i="3"/>
  <c r="F5398" i="3" a="1"/>
  <c r="F5398" i="3"/>
  <c r="F5397" i="3" a="1"/>
  <c r="F5397" i="3"/>
  <c r="F5396" i="3" a="1"/>
  <c r="F5396" i="3"/>
  <c r="F5395" i="3" a="1"/>
  <c r="F5395" i="3"/>
  <c r="F5394" i="3" a="1"/>
  <c r="F5394" i="3"/>
  <c r="F5393" i="3" a="1"/>
  <c r="F5393" i="3"/>
  <c r="F5392" i="3" a="1"/>
  <c r="F5392" i="3"/>
  <c r="F5391" i="3" a="1"/>
  <c r="F5391" i="3"/>
  <c r="F5390" i="3" a="1"/>
  <c r="F5390" i="3"/>
  <c r="F5389" i="3" a="1"/>
  <c r="F5389" i="3"/>
  <c r="F5388" i="3" a="1"/>
  <c r="F5388" i="3"/>
  <c r="F5387" i="3" a="1"/>
  <c r="F5387" i="3"/>
  <c r="F5386" i="3" a="1"/>
  <c r="F5386" i="3"/>
  <c r="F5385" i="3" a="1"/>
  <c r="F5385" i="3"/>
  <c r="F5384" i="3" a="1"/>
  <c r="F5384" i="3"/>
  <c r="F5383" i="3" a="1"/>
  <c r="F5383" i="3"/>
  <c r="F5382" i="3" a="1"/>
  <c r="F5382" i="3"/>
  <c r="F5381" i="3" a="1"/>
  <c r="F5381" i="3"/>
  <c r="F5380" i="3" a="1"/>
  <c r="F5380" i="3"/>
  <c r="F5379" i="3" a="1"/>
  <c r="F5379" i="3"/>
  <c r="F5378" i="3" a="1"/>
  <c r="F5378" i="3"/>
  <c r="F5377" i="3" a="1"/>
  <c r="F5377" i="3"/>
  <c r="F5376" i="3" a="1"/>
  <c r="F5376" i="3"/>
  <c r="F5375" i="3" a="1"/>
  <c r="F5375" i="3"/>
  <c r="F5374" i="3" a="1"/>
  <c r="F5374" i="3"/>
  <c r="F5373" i="3" a="1"/>
  <c r="F5373" i="3"/>
  <c r="F5372" i="3" a="1"/>
  <c r="F5372" i="3"/>
  <c r="F5371" i="3" a="1"/>
  <c r="F5371" i="3"/>
  <c r="F5370" i="3" a="1"/>
  <c r="F5370" i="3"/>
  <c r="F5369" i="3" a="1"/>
  <c r="F5369" i="3"/>
  <c r="F5368" i="3" a="1"/>
  <c r="F5368" i="3"/>
  <c r="F5367" i="3" a="1"/>
  <c r="F5367" i="3"/>
  <c r="F5366" i="3" a="1"/>
  <c r="F5366" i="3"/>
  <c r="F5365" i="3" a="1"/>
  <c r="F5365" i="3"/>
  <c r="F5364" i="3" a="1"/>
  <c r="F5364" i="3"/>
  <c r="F5363" i="3" a="1"/>
  <c r="F5363" i="3"/>
  <c r="F5362" i="3" a="1"/>
  <c r="F5362" i="3"/>
  <c r="F5361" i="3" a="1"/>
  <c r="F5361" i="3"/>
  <c r="F5360" i="3" a="1"/>
  <c r="F5360" i="3"/>
  <c r="F5359" i="3" a="1"/>
  <c r="F5359" i="3"/>
  <c r="F5358" i="3" a="1"/>
  <c r="F5358" i="3"/>
  <c r="F5357" i="3" a="1"/>
  <c r="F5357" i="3"/>
  <c r="F5356" i="3" a="1"/>
  <c r="F5356" i="3"/>
  <c r="F5355" i="3" a="1"/>
  <c r="F5355" i="3"/>
  <c r="F5354" i="3" a="1"/>
  <c r="F5354" i="3"/>
  <c r="F5353" i="3" a="1"/>
  <c r="F5353" i="3"/>
  <c r="F5352" i="3" a="1"/>
  <c r="F5352" i="3"/>
  <c r="F5351" i="3" a="1"/>
  <c r="F5351" i="3"/>
  <c r="F5350" i="3" a="1"/>
  <c r="F5350" i="3"/>
  <c r="F5349" i="3" a="1"/>
  <c r="F5349" i="3"/>
  <c r="F5348" i="3" a="1"/>
  <c r="F5348" i="3"/>
  <c r="F5347" i="3" a="1"/>
  <c r="F5347" i="3"/>
  <c r="F5346" i="3" a="1"/>
  <c r="F5346" i="3"/>
  <c r="F5345" i="3" a="1"/>
  <c r="F5345" i="3"/>
  <c r="F5344" i="3" a="1"/>
  <c r="F5344" i="3"/>
  <c r="F5343" i="3" a="1"/>
  <c r="F5343" i="3"/>
  <c r="F5342" i="3" a="1"/>
  <c r="F5342" i="3"/>
  <c r="F5341" i="3" a="1"/>
  <c r="F5341" i="3"/>
  <c r="F5340" i="3" a="1"/>
  <c r="F5340" i="3"/>
  <c r="F5339" i="3" a="1"/>
  <c r="F5339" i="3"/>
  <c r="F5338" i="3" a="1"/>
  <c r="F5338" i="3"/>
  <c r="F5337" i="3" a="1"/>
  <c r="F5337" i="3"/>
  <c r="F5336" i="3" a="1"/>
  <c r="F5336" i="3"/>
  <c r="F5335" i="3" a="1"/>
  <c r="F5335" i="3"/>
  <c r="F5334" i="3" a="1"/>
  <c r="F5334" i="3"/>
  <c r="F5333" i="3" a="1"/>
  <c r="F5333" i="3"/>
  <c r="F5332" i="3" a="1"/>
  <c r="F5332" i="3"/>
  <c r="F5331" i="3" a="1"/>
  <c r="F5331" i="3"/>
  <c r="F5330" i="3" a="1"/>
  <c r="F5330" i="3"/>
  <c r="F5329" i="3" a="1"/>
  <c r="F5329" i="3"/>
  <c r="F5328" i="3" a="1"/>
  <c r="F5328" i="3"/>
  <c r="F5327" i="3" a="1"/>
  <c r="F5327" i="3"/>
  <c r="F5326" i="3" a="1"/>
  <c r="F5326" i="3"/>
  <c r="F5325" i="3" a="1"/>
  <c r="F5325" i="3"/>
  <c r="F5324" i="3" a="1"/>
  <c r="F5324" i="3"/>
  <c r="F5323" i="3" a="1"/>
  <c r="F5323" i="3"/>
  <c r="F5322" i="3" a="1"/>
  <c r="F5322" i="3"/>
  <c r="F5321" i="3" a="1"/>
  <c r="F5321" i="3"/>
  <c r="F5320" i="3" a="1"/>
  <c r="F5320" i="3"/>
  <c r="F5319" i="3" a="1"/>
  <c r="F5319" i="3"/>
  <c r="F5318" i="3" a="1"/>
  <c r="F5318" i="3"/>
  <c r="F5317" i="3" a="1"/>
  <c r="F5317" i="3"/>
  <c r="F5316" i="3" a="1"/>
  <c r="F5316" i="3"/>
  <c r="F5315" i="3" a="1"/>
  <c r="F5315" i="3"/>
  <c r="F5314" i="3" a="1"/>
  <c r="F5314" i="3"/>
  <c r="F5313" i="3" a="1"/>
  <c r="F5313" i="3"/>
  <c r="F5312" i="3" a="1"/>
  <c r="F5312" i="3"/>
  <c r="F5311" i="3" a="1"/>
  <c r="F5311" i="3"/>
  <c r="F5310" i="3" a="1"/>
  <c r="F5310" i="3"/>
  <c r="F5309" i="3" a="1"/>
  <c r="F5309" i="3"/>
  <c r="F5308" i="3" a="1"/>
  <c r="F5308" i="3"/>
  <c r="F5307" i="3" a="1"/>
  <c r="F5307" i="3"/>
  <c r="F5306" i="3" a="1"/>
  <c r="F5306" i="3"/>
  <c r="F5305" i="3" a="1"/>
  <c r="F5305" i="3"/>
  <c r="F5304" i="3" a="1"/>
  <c r="F5304" i="3"/>
  <c r="F5303" i="3" a="1"/>
  <c r="F5303" i="3"/>
  <c r="F5302" i="3" a="1"/>
  <c r="F5302" i="3"/>
  <c r="F5301" i="3" a="1"/>
  <c r="F5301" i="3"/>
  <c r="F5300" i="3" a="1"/>
  <c r="F5300" i="3"/>
  <c r="F5299" i="3" a="1"/>
  <c r="F5299" i="3"/>
  <c r="F5298" i="3" a="1"/>
  <c r="F5298" i="3"/>
  <c r="F5297" i="3" a="1"/>
  <c r="F5297" i="3"/>
  <c r="F5296" i="3" a="1"/>
  <c r="F5296" i="3"/>
  <c r="F5295" i="3" a="1"/>
  <c r="F5295" i="3"/>
  <c r="F5294" i="3" a="1"/>
  <c r="F5294" i="3"/>
  <c r="F5293" i="3" a="1"/>
  <c r="F5293" i="3"/>
  <c r="F5292" i="3" a="1"/>
  <c r="F5292" i="3"/>
  <c r="F5291" i="3" a="1"/>
  <c r="F5291" i="3"/>
  <c r="F5290" i="3" a="1"/>
  <c r="F5290" i="3"/>
  <c r="F5289" i="3" a="1"/>
  <c r="F5289" i="3"/>
  <c r="F5288" i="3" a="1"/>
  <c r="F5288" i="3"/>
  <c r="F5287" i="3" a="1"/>
  <c r="F5287" i="3"/>
  <c r="F5286" i="3" a="1"/>
  <c r="F5286" i="3"/>
  <c r="F5285" i="3" a="1"/>
  <c r="F5285" i="3"/>
  <c r="F5284" i="3" a="1"/>
  <c r="F5284" i="3"/>
  <c r="F5283" i="3" a="1"/>
  <c r="F5283" i="3"/>
  <c r="F5282" i="3" a="1"/>
  <c r="F5282" i="3"/>
  <c r="F5281" i="3" a="1"/>
  <c r="F5281" i="3"/>
  <c r="F5280" i="3" a="1"/>
  <c r="F5280" i="3"/>
  <c r="F5279" i="3" a="1"/>
  <c r="F5279" i="3"/>
  <c r="F5278" i="3" a="1"/>
  <c r="F5278" i="3"/>
  <c r="F5277" i="3" a="1"/>
  <c r="F5277" i="3"/>
  <c r="F5276" i="3" a="1"/>
  <c r="F5276" i="3"/>
  <c r="F5275" i="3" a="1"/>
  <c r="F5275" i="3"/>
  <c r="F5274" i="3" a="1"/>
  <c r="F5274" i="3"/>
  <c r="F5273" i="3" a="1"/>
  <c r="F5273" i="3"/>
  <c r="F5272" i="3" a="1"/>
  <c r="F5272" i="3"/>
  <c r="F5271" i="3" a="1"/>
  <c r="F5271" i="3"/>
  <c r="F5270" i="3" a="1"/>
  <c r="F5270" i="3"/>
  <c r="F5269" i="3" a="1"/>
  <c r="F5269" i="3"/>
  <c r="F5268" i="3" a="1"/>
  <c r="F5268" i="3"/>
  <c r="F5267" i="3" a="1"/>
  <c r="F5267" i="3"/>
  <c r="F5266" i="3" a="1"/>
  <c r="F5266" i="3"/>
  <c r="F5265" i="3" a="1"/>
  <c r="F5265" i="3"/>
  <c r="F5264" i="3" a="1"/>
  <c r="F5264" i="3"/>
  <c r="F5263" i="3" a="1"/>
  <c r="F5263" i="3"/>
  <c r="F5262" i="3" a="1"/>
  <c r="F5262" i="3"/>
  <c r="F5261" i="3" a="1"/>
  <c r="F5261" i="3"/>
  <c r="F5260" i="3" a="1"/>
  <c r="F5260" i="3"/>
  <c r="F5259" i="3" a="1"/>
  <c r="F5259" i="3"/>
  <c r="F5258" i="3" a="1"/>
  <c r="F5258" i="3"/>
  <c r="F5257" i="3" a="1"/>
  <c r="F5257" i="3"/>
  <c r="F5256" i="3" a="1"/>
  <c r="F5256" i="3"/>
  <c r="F5255" i="3" a="1"/>
  <c r="F5255" i="3"/>
  <c r="F5254" i="3" a="1"/>
  <c r="F5254" i="3"/>
  <c r="F5253" i="3" a="1"/>
  <c r="F5253" i="3"/>
  <c r="F5252" i="3" a="1"/>
  <c r="F5252" i="3"/>
  <c r="F5251" i="3" a="1"/>
  <c r="F5251" i="3"/>
  <c r="F5250" i="3" a="1"/>
  <c r="F5250" i="3"/>
  <c r="F5249" i="3" a="1"/>
  <c r="F5249" i="3"/>
  <c r="F5248" i="3" a="1"/>
  <c r="F5248" i="3"/>
  <c r="F5247" i="3" a="1"/>
  <c r="F5247" i="3"/>
  <c r="F5246" i="3" a="1"/>
  <c r="F5246" i="3"/>
  <c r="F5245" i="3" a="1"/>
  <c r="F5245" i="3"/>
  <c r="F5244" i="3" a="1"/>
  <c r="F5244" i="3"/>
  <c r="F5243" i="3" a="1"/>
  <c r="F5243" i="3"/>
  <c r="F5242" i="3" a="1"/>
  <c r="F5242" i="3"/>
  <c r="F5241" i="3" a="1"/>
  <c r="F5241" i="3"/>
  <c r="F5240" i="3" a="1"/>
  <c r="F5240" i="3"/>
  <c r="F5239" i="3" a="1"/>
  <c r="F5239" i="3"/>
  <c r="F5238" i="3" a="1"/>
  <c r="F5238" i="3"/>
  <c r="F5237" i="3" a="1"/>
  <c r="F5237" i="3"/>
  <c r="F5236" i="3" a="1"/>
  <c r="F5236" i="3"/>
  <c r="F5235" i="3" a="1"/>
  <c r="F5235" i="3"/>
  <c r="F5234" i="3" a="1"/>
  <c r="F5234" i="3"/>
  <c r="F5233" i="3" a="1"/>
  <c r="F5233" i="3"/>
  <c r="F5232" i="3" a="1"/>
  <c r="F5232" i="3"/>
  <c r="F5231" i="3" a="1"/>
  <c r="F5231" i="3"/>
  <c r="F5230" i="3" a="1"/>
  <c r="F5230" i="3"/>
  <c r="F5229" i="3" a="1"/>
  <c r="F5229" i="3"/>
  <c r="F5228" i="3" a="1"/>
  <c r="F5228" i="3"/>
  <c r="F5227" i="3" a="1"/>
  <c r="F5227" i="3"/>
  <c r="F5226" i="3" a="1"/>
  <c r="F5226" i="3"/>
  <c r="F5225" i="3" a="1"/>
  <c r="F5225" i="3"/>
  <c r="F5224" i="3" a="1"/>
  <c r="F5224" i="3"/>
  <c r="F5223" i="3" a="1"/>
  <c r="F5223" i="3"/>
  <c r="F5222" i="3" a="1"/>
  <c r="F5222" i="3"/>
  <c r="F5221" i="3" a="1"/>
  <c r="F5221" i="3"/>
  <c r="F5220" i="3" a="1"/>
  <c r="F5220" i="3"/>
  <c r="F5219" i="3" a="1"/>
  <c r="F5219" i="3"/>
  <c r="F5218" i="3" a="1"/>
  <c r="F5218" i="3"/>
  <c r="F5217" i="3" a="1"/>
  <c r="F5217" i="3"/>
  <c r="F5216" i="3" a="1"/>
  <c r="F5216" i="3"/>
  <c r="F5215" i="3" a="1"/>
  <c r="F5215" i="3"/>
  <c r="F5214" i="3" a="1"/>
  <c r="F5214" i="3"/>
  <c r="F5213" i="3" a="1"/>
  <c r="F5213" i="3"/>
  <c r="F5212" i="3" a="1"/>
  <c r="F5212" i="3"/>
  <c r="F5211" i="3" a="1"/>
  <c r="F5211" i="3"/>
  <c r="F5210" i="3" a="1"/>
  <c r="F5210" i="3"/>
  <c r="F5209" i="3" a="1"/>
  <c r="F5209" i="3"/>
  <c r="F5208" i="3" a="1"/>
  <c r="F5208" i="3"/>
  <c r="F5207" i="3" a="1"/>
  <c r="F5207" i="3"/>
  <c r="F5206" i="3" a="1"/>
  <c r="F5206" i="3"/>
  <c r="F5205" i="3" a="1"/>
  <c r="F5205" i="3"/>
  <c r="F5204" i="3" a="1"/>
  <c r="F5204" i="3"/>
  <c r="F5203" i="3" a="1"/>
  <c r="F5203" i="3"/>
  <c r="F5202" i="3" a="1"/>
  <c r="F5202" i="3"/>
  <c r="F5201" i="3" a="1"/>
  <c r="F5201" i="3"/>
  <c r="F5200" i="3" a="1"/>
  <c r="F5200" i="3"/>
  <c r="F5199" i="3" a="1"/>
  <c r="F5199" i="3"/>
  <c r="F5198" i="3" a="1"/>
  <c r="F5198" i="3"/>
  <c r="F5197" i="3" a="1"/>
  <c r="F5197" i="3"/>
  <c r="F5196" i="3" a="1"/>
  <c r="F5196" i="3"/>
  <c r="F5195" i="3" a="1"/>
  <c r="F5195" i="3"/>
  <c r="F5194" i="3" a="1"/>
  <c r="F5194" i="3"/>
  <c r="F5193" i="3" a="1"/>
  <c r="F5193" i="3"/>
  <c r="F5192" i="3" a="1"/>
  <c r="F5192" i="3"/>
  <c r="F5191" i="3" a="1"/>
  <c r="F5191" i="3"/>
  <c r="F5190" i="3" a="1"/>
  <c r="F5190" i="3"/>
  <c r="F5189" i="3" a="1"/>
  <c r="F5189" i="3"/>
  <c r="F5188" i="3" a="1"/>
  <c r="F5188" i="3"/>
  <c r="F5187" i="3" a="1"/>
  <c r="F5187" i="3"/>
  <c r="F5186" i="3" a="1"/>
  <c r="F5186" i="3"/>
  <c r="F5185" i="3" a="1"/>
  <c r="F5185" i="3"/>
  <c r="F5184" i="3" a="1"/>
  <c r="F5184" i="3"/>
  <c r="F5183" i="3" a="1"/>
  <c r="F5183" i="3"/>
  <c r="F5182" i="3" a="1"/>
  <c r="F5182" i="3"/>
  <c r="F5181" i="3" a="1"/>
  <c r="F5181" i="3"/>
  <c r="F5180" i="3" a="1"/>
  <c r="F5180" i="3"/>
  <c r="F5179" i="3" a="1"/>
  <c r="F5179" i="3"/>
  <c r="F5178" i="3" a="1"/>
  <c r="F5178" i="3"/>
  <c r="F5177" i="3" a="1"/>
  <c r="F5177" i="3"/>
  <c r="F5176" i="3" a="1"/>
  <c r="F5176" i="3"/>
  <c r="F5175" i="3" a="1"/>
  <c r="F5175" i="3"/>
  <c r="F5174" i="3" a="1"/>
  <c r="F5174" i="3"/>
  <c r="F5173" i="3" a="1"/>
  <c r="F5173" i="3"/>
  <c r="F5172" i="3" a="1"/>
  <c r="F5172" i="3"/>
  <c r="F5171" i="3" a="1"/>
  <c r="F5171" i="3"/>
  <c r="F5170" i="3" a="1"/>
  <c r="F5170" i="3"/>
  <c r="F5169" i="3" a="1"/>
  <c r="F5169" i="3"/>
  <c r="F5168" i="3" a="1"/>
  <c r="F5168" i="3"/>
  <c r="F5167" i="3" a="1"/>
  <c r="F5167" i="3"/>
  <c r="F5166" i="3" a="1"/>
  <c r="F5166" i="3"/>
  <c r="F5165" i="3" a="1"/>
  <c r="F5165" i="3"/>
  <c r="F5164" i="3" a="1"/>
  <c r="F5164" i="3"/>
  <c r="F5163" i="3" a="1"/>
  <c r="F5163" i="3"/>
  <c r="F5162" i="3" a="1"/>
  <c r="F5162" i="3"/>
  <c r="F5161" i="3" a="1"/>
  <c r="F5161" i="3"/>
  <c r="F5160" i="3" a="1"/>
  <c r="F5160" i="3"/>
  <c r="F5159" i="3" a="1"/>
  <c r="F5159" i="3"/>
  <c r="F5158" i="3" a="1"/>
  <c r="F5158" i="3"/>
  <c r="F5157" i="3" a="1"/>
  <c r="F5157" i="3"/>
  <c r="F5156" i="3" a="1"/>
  <c r="F5156" i="3"/>
  <c r="F5155" i="3" a="1"/>
  <c r="F5155" i="3"/>
  <c r="F5154" i="3" a="1"/>
  <c r="F5154" i="3"/>
  <c r="F5153" i="3" a="1"/>
  <c r="F5153" i="3"/>
  <c r="F5152" i="3" a="1"/>
  <c r="F5152" i="3"/>
  <c r="F5151" i="3" a="1"/>
  <c r="F5151" i="3"/>
  <c r="F5150" i="3" a="1"/>
  <c r="F5150" i="3"/>
  <c r="F5149" i="3" a="1"/>
  <c r="F5149" i="3"/>
  <c r="F5148" i="3" a="1"/>
  <c r="F5148" i="3"/>
  <c r="F5147" i="3" a="1"/>
  <c r="F5147" i="3"/>
  <c r="F5146" i="3" a="1"/>
  <c r="F5146" i="3"/>
  <c r="F5145" i="3" a="1"/>
  <c r="F5145" i="3"/>
  <c r="F5144" i="3" a="1"/>
  <c r="F5144" i="3"/>
  <c r="F5143" i="3" a="1"/>
  <c r="F5143" i="3"/>
  <c r="F5142" i="3" a="1"/>
  <c r="F5142" i="3"/>
  <c r="F5141" i="3" a="1"/>
  <c r="F5141" i="3"/>
  <c r="F5140" i="3" a="1"/>
  <c r="F5140" i="3"/>
  <c r="F5139" i="3" a="1"/>
  <c r="F5139" i="3"/>
  <c r="F5138" i="3" a="1"/>
  <c r="F5138" i="3"/>
  <c r="F5137" i="3" a="1"/>
  <c r="F5137" i="3"/>
  <c r="F5136" i="3" a="1"/>
  <c r="F5136" i="3"/>
  <c r="F5135" i="3" a="1"/>
  <c r="F5135" i="3"/>
  <c r="F5134" i="3" a="1"/>
  <c r="F5134" i="3"/>
  <c r="F5133" i="3" a="1"/>
  <c r="F5133" i="3"/>
  <c r="F5132" i="3" a="1"/>
  <c r="F5132" i="3"/>
  <c r="F5131" i="3" a="1"/>
  <c r="F5131" i="3"/>
  <c r="F5130" i="3" a="1"/>
  <c r="F5130" i="3"/>
  <c r="F5129" i="3" a="1"/>
  <c r="F5129" i="3"/>
  <c r="F5128" i="3" a="1"/>
  <c r="F5128" i="3"/>
  <c r="F5127" i="3" a="1"/>
  <c r="F5127" i="3"/>
  <c r="F5126" i="3" a="1"/>
  <c r="F5126" i="3"/>
  <c r="F5125" i="3" a="1"/>
  <c r="F5125" i="3"/>
  <c r="F5124" i="3" a="1"/>
  <c r="F5124" i="3"/>
  <c r="F5123" i="3" a="1"/>
  <c r="F5123" i="3"/>
  <c r="F5122" i="3" a="1"/>
  <c r="F5122" i="3"/>
  <c r="F5121" i="3" a="1"/>
  <c r="F5121" i="3"/>
  <c r="F5120" i="3" a="1"/>
  <c r="F5120" i="3"/>
  <c r="F5119" i="3" a="1"/>
  <c r="F5119" i="3"/>
  <c r="F5118" i="3" a="1"/>
  <c r="F5118" i="3"/>
  <c r="F5117" i="3" a="1"/>
  <c r="F5117" i="3"/>
  <c r="F5116" i="3" a="1"/>
  <c r="F5116" i="3"/>
  <c r="F5115" i="3" a="1"/>
  <c r="F5115" i="3"/>
  <c r="F5114" i="3" a="1"/>
  <c r="F5114" i="3"/>
  <c r="F5113" i="3" a="1"/>
  <c r="F5113" i="3"/>
  <c r="F5112" i="3" a="1"/>
  <c r="F5112" i="3"/>
  <c r="F5111" i="3" a="1"/>
  <c r="F5111" i="3"/>
  <c r="F5110" i="3" a="1"/>
  <c r="F5110" i="3"/>
  <c r="F5109" i="3" a="1"/>
  <c r="F5109" i="3"/>
  <c r="F5108" i="3" a="1"/>
  <c r="F5108" i="3"/>
  <c r="F5107" i="3" a="1"/>
  <c r="F5107" i="3"/>
  <c r="F5106" i="3" a="1"/>
  <c r="F5106" i="3"/>
  <c r="F5105" i="3" a="1"/>
  <c r="F5105" i="3"/>
  <c r="F5104" i="3" a="1"/>
  <c r="F5104" i="3"/>
  <c r="F5103" i="3" a="1"/>
  <c r="F5103" i="3"/>
  <c r="F5102" i="3" a="1"/>
  <c r="F5102" i="3"/>
  <c r="F5101" i="3" a="1"/>
  <c r="F5101" i="3"/>
  <c r="F5100" i="3" a="1"/>
  <c r="F5100" i="3"/>
  <c r="F5099" i="3" a="1"/>
  <c r="F5099" i="3"/>
  <c r="F5098" i="3" a="1"/>
  <c r="F5098" i="3"/>
  <c r="F5097" i="3" a="1"/>
  <c r="F5097" i="3"/>
  <c r="F5096" i="3" a="1"/>
  <c r="F5096" i="3"/>
  <c r="F5095" i="3" a="1"/>
  <c r="F5095" i="3"/>
  <c r="F5094" i="3" a="1"/>
  <c r="F5094" i="3"/>
  <c r="F5093" i="3" a="1"/>
  <c r="F5093" i="3"/>
  <c r="F5092" i="3" a="1"/>
  <c r="F5092" i="3"/>
  <c r="F5091" i="3" a="1"/>
  <c r="F5091" i="3"/>
  <c r="F5090" i="3" a="1"/>
  <c r="F5090" i="3"/>
  <c r="F5089" i="3" a="1"/>
  <c r="F5089" i="3"/>
  <c r="F5088" i="3" a="1"/>
  <c r="F5088" i="3"/>
  <c r="F5087" i="3" a="1"/>
  <c r="F5087" i="3"/>
  <c r="F5086" i="3" a="1"/>
  <c r="F5086" i="3"/>
  <c r="F5085" i="3" a="1"/>
  <c r="F5085" i="3"/>
  <c r="F5084" i="3" a="1"/>
  <c r="F5084" i="3"/>
  <c r="F5083" i="3" a="1"/>
  <c r="F5083" i="3"/>
  <c r="F5082" i="3" a="1"/>
  <c r="F5082" i="3"/>
  <c r="F5081" i="3" a="1"/>
  <c r="F5081" i="3"/>
  <c r="F5080" i="3" a="1"/>
  <c r="F5080" i="3"/>
  <c r="F5079" i="3" a="1"/>
  <c r="F5079" i="3"/>
  <c r="F5078" i="3" a="1"/>
  <c r="F5078" i="3"/>
  <c r="F5077" i="3" a="1"/>
  <c r="F5077" i="3"/>
  <c r="F5076" i="3" a="1"/>
  <c r="F5076" i="3"/>
  <c r="F5075" i="3" a="1"/>
  <c r="F5075" i="3"/>
  <c r="F5074" i="3" a="1"/>
  <c r="F5074" i="3"/>
  <c r="F5073" i="3" a="1"/>
  <c r="F5073" i="3"/>
  <c r="F5072" i="3" a="1"/>
  <c r="F5072" i="3"/>
  <c r="F5071" i="3" a="1"/>
  <c r="F5071" i="3"/>
  <c r="F5070" i="3" a="1"/>
  <c r="F5070" i="3"/>
  <c r="F5069" i="3" a="1"/>
  <c r="F5069" i="3"/>
  <c r="F5068" i="3" a="1"/>
  <c r="F5068" i="3"/>
  <c r="F5067" i="3" a="1"/>
  <c r="F5067" i="3"/>
  <c r="F5066" i="3" a="1"/>
  <c r="F5066" i="3"/>
  <c r="F5065" i="3" a="1"/>
  <c r="F5065" i="3"/>
  <c r="F5064" i="3" a="1"/>
  <c r="F5064" i="3"/>
  <c r="F5063" i="3" a="1"/>
  <c r="F5063" i="3"/>
  <c r="F5062" i="3" a="1"/>
  <c r="F5062" i="3"/>
  <c r="F5061" i="3" a="1"/>
  <c r="F5061" i="3"/>
  <c r="F5060" i="3" a="1"/>
  <c r="F5060" i="3"/>
  <c r="F5059" i="3" a="1"/>
  <c r="F5059" i="3"/>
  <c r="F5058" i="3" a="1"/>
  <c r="F5058" i="3"/>
  <c r="F5057" i="3" a="1"/>
  <c r="F5057" i="3"/>
  <c r="F5056" i="3" a="1"/>
  <c r="F5056" i="3"/>
  <c r="F5055" i="3" a="1"/>
  <c r="F5055" i="3"/>
  <c r="F5054" i="3" a="1"/>
  <c r="F5054" i="3"/>
  <c r="F5053" i="3" a="1"/>
  <c r="F5053" i="3"/>
  <c r="F5052" i="3" a="1"/>
  <c r="F5052" i="3"/>
  <c r="F5051" i="3" a="1"/>
  <c r="F5051" i="3"/>
  <c r="F5050" i="3" a="1"/>
  <c r="F5050" i="3"/>
  <c r="F5049" i="3" a="1"/>
  <c r="F5049" i="3"/>
  <c r="F5048" i="3" a="1"/>
  <c r="F5048" i="3"/>
  <c r="F5047" i="3" a="1"/>
  <c r="F5047" i="3"/>
  <c r="F5046" i="3" a="1"/>
  <c r="F5046" i="3"/>
  <c r="F5045" i="3" a="1"/>
  <c r="F5045" i="3"/>
  <c r="F5044" i="3" a="1"/>
  <c r="F5044" i="3"/>
  <c r="F5043" i="3" a="1"/>
  <c r="F5043" i="3"/>
  <c r="F5042" i="3" a="1"/>
  <c r="F5042" i="3"/>
  <c r="F5041" i="3" a="1"/>
  <c r="F5041" i="3"/>
  <c r="F5040" i="3" a="1"/>
  <c r="F5040" i="3"/>
  <c r="F5039" i="3" a="1"/>
  <c r="F5039" i="3"/>
  <c r="F5038" i="3" a="1"/>
  <c r="F5038" i="3"/>
  <c r="F5037" i="3" a="1"/>
  <c r="F5037" i="3"/>
  <c r="F5036" i="3" a="1"/>
  <c r="F5036" i="3"/>
  <c r="F5035" i="3" a="1"/>
  <c r="F5035" i="3"/>
  <c r="F5034" i="3" a="1"/>
  <c r="F5034" i="3"/>
  <c r="F5033" i="3" a="1"/>
  <c r="F5033" i="3"/>
  <c r="F5032" i="3" a="1"/>
  <c r="F5032" i="3"/>
  <c r="F5031" i="3" a="1"/>
  <c r="F5031" i="3"/>
  <c r="F5030" i="3" a="1"/>
  <c r="F5030" i="3"/>
  <c r="F5029" i="3" a="1"/>
  <c r="F5029" i="3"/>
  <c r="F5028" i="3" a="1"/>
  <c r="F5028" i="3"/>
  <c r="F5027" i="3" a="1"/>
  <c r="F5027" i="3"/>
  <c r="F5026" i="3" a="1"/>
  <c r="F5026" i="3"/>
  <c r="F5025" i="3" a="1"/>
  <c r="F5025" i="3"/>
  <c r="F5024" i="3" a="1"/>
  <c r="F5024" i="3"/>
  <c r="F5023" i="3" a="1"/>
  <c r="F5023" i="3"/>
  <c r="F5022" i="3" a="1"/>
  <c r="F5022" i="3"/>
  <c r="F5021" i="3" a="1"/>
  <c r="F5021" i="3"/>
  <c r="F5020" i="3" a="1"/>
  <c r="F5020" i="3"/>
  <c r="F5019" i="3" a="1"/>
  <c r="F5019" i="3"/>
  <c r="F5018" i="3" a="1"/>
  <c r="F5018" i="3"/>
  <c r="F5017" i="3" a="1"/>
  <c r="F5017" i="3"/>
  <c r="F5016" i="3" a="1"/>
  <c r="F5016" i="3"/>
  <c r="F5015" i="3" a="1"/>
  <c r="F5015" i="3"/>
  <c r="F5014" i="3" a="1"/>
  <c r="F5014" i="3"/>
  <c r="F5013" i="3" a="1"/>
  <c r="F5013" i="3"/>
  <c r="F5012" i="3" a="1"/>
  <c r="F5012" i="3"/>
  <c r="F5011" i="3" a="1"/>
  <c r="F5011" i="3"/>
  <c r="F5010" i="3" a="1"/>
  <c r="F5010" i="3"/>
  <c r="F5009" i="3" a="1"/>
  <c r="F5009" i="3"/>
  <c r="F5008" i="3" a="1"/>
  <c r="F5008" i="3"/>
  <c r="F5007" i="3" a="1"/>
  <c r="F5007" i="3"/>
  <c r="F5006" i="3" a="1"/>
  <c r="F5006" i="3"/>
  <c r="F5005" i="3" a="1"/>
  <c r="F5005" i="3"/>
  <c r="F5004" i="3" a="1"/>
  <c r="F5004" i="3"/>
  <c r="F5003" i="3" a="1"/>
  <c r="F5003" i="3"/>
  <c r="F5002" i="3" a="1"/>
  <c r="F5002" i="3"/>
  <c r="F5001" i="3" a="1"/>
  <c r="F5001" i="3"/>
  <c r="F5000" i="3" a="1"/>
  <c r="F5000" i="3"/>
  <c r="F4999" i="3" a="1"/>
  <c r="F4999" i="3"/>
  <c r="F4998" i="3" a="1"/>
  <c r="F4998" i="3"/>
  <c r="F4997" i="3" a="1"/>
  <c r="F4997" i="3"/>
  <c r="F4996" i="3" a="1"/>
  <c r="F4996" i="3"/>
  <c r="F4995" i="3" a="1"/>
  <c r="F4995" i="3"/>
  <c r="F4994" i="3" a="1"/>
  <c r="F4994" i="3"/>
  <c r="F4993" i="3" a="1"/>
  <c r="F4993" i="3"/>
  <c r="F4992" i="3" a="1"/>
  <c r="F4992" i="3"/>
  <c r="F4991" i="3" a="1"/>
  <c r="F4991" i="3"/>
  <c r="F4990" i="3" a="1"/>
  <c r="F4990" i="3"/>
  <c r="F4989" i="3" a="1"/>
  <c r="F4989" i="3"/>
  <c r="F4988" i="3" a="1"/>
  <c r="F4988" i="3"/>
  <c r="F4987" i="3" a="1"/>
  <c r="F4987" i="3"/>
  <c r="F4986" i="3" a="1"/>
  <c r="F4986" i="3"/>
  <c r="F4985" i="3" a="1"/>
  <c r="F4985" i="3"/>
  <c r="F4984" i="3" a="1"/>
  <c r="F4984" i="3"/>
  <c r="F4983" i="3" a="1"/>
  <c r="F4983" i="3"/>
  <c r="F4982" i="3" a="1"/>
  <c r="F4982" i="3"/>
  <c r="F4981" i="3" a="1"/>
  <c r="F4981" i="3"/>
  <c r="F4980" i="3" a="1"/>
  <c r="F4980" i="3"/>
  <c r="F4979" i="3" a="1"/>
  <c r="F4979" i="3"/>
  <c r="F4978" i="3" a="1"/>
  <c r="F4978" i="3"/>
  <c r="F4977" i="3" a="1"/>
  <c r="F4977" i="3"/>
  <c r="F4976" i="3" a="1"/>
  <c r="F4976" i="3"/>
  <c r="F4975" i="3" a="1"/>
  <c r="F4975" i="3"/>
  <c r="F4974" i="3" a="1"/>
  <c r="F4974" i="3"/>
  <c r="F4973" i="3" a="1"/>
  <c r="F4973" i="3"/>
  <c r="F4972" i="3" a="1"/>
  <c r="F4972" i="3"/>
  <c r="F4971" i="3" a="1"/>
  <c r="F4971" i="3"/>
  <c r="F4970" i="3" a="1"/>
  <c r="F4970" i="3"/>
  <c r="F4969" i="3" a="1"/>
  <c r="F4969" i="3"/>
  <c r="F4968" i="3" a="1"/>
  <c r="F4968" i="3"/>
  <c r="F4967" i="3" a="1"/>
  <c r="F4967" i="3"/>
  <c r="F4966" i="3" a="1"/>
  <c r="F4966" i="3"/>
  <c r="F4965" i="3" a="1"/>
  <c r="F4965" i="3"/>
  <c r="F4964" i="3" a="1"/>
  <c r="F4964" i="3"/>
  <c r="F4963" i="3" a="1"/>
  <c r="F4963" i="3"/>
  <c r="F4962" i="3" a="1"/>
  <c r="F4962" i="3"/>
  <c r="F4961" i="3" a="1"/>
  <c r="F4961" i="3"/>
  <c r="F4960" i="3" a="1"/>
  <c r="F4960" i="3"/>
  <c r="F4959" i="3" a="1"/>
  <c r="F4959" i="3"/>
  <c r="F4958" i="3" a="1"/>
  <c r="F4958" i="3"/>
  <c r="F4957" i="3" a="1"/>
  <c r="F4957" i="3"/>
  <c r="F4956" i="3" a="1"/>
  <c r="F4956" i="3"/>
  <c r="F4955" i="3" a="1"/>
  <c r="F4955" i="3"/>
  <c r="F4954" i="3" a="1"/>
  <c r="F4954" i="3"/>
  <c r="F4953" i="3" a="1"/>
  <c r="F4953" i="3"/>
  <c r="F4952" i="3" a="1"/>
  <c r="F4952" i="3"/>
  <c r="F4951" i="3" a="1"/>
  <c r="F4951" i="3"/>
  <c r="F4950" i="3" a="1"/>
  <c r="F4950" i="3"/>
  <c r="F4949" i="3" a="1"/>
  <c r="F4949" i="3"/>
  <c r="F4948" i="3" a="1"/>
  <c r="F4948" i="3"/>
  <c r="F4947" i="3" a="1"/>
  <c r="F4947" i="3"/>
  <c r="F4946" i="3" a="1"/>
  <c r="F4946" i="3"/>
  <c r="F4945" i="3" a="1"/>
  <c r="F4945" i="3"/>
  <c r="F4944" i="3" a="1"/>
  <c r="F4944" i="3"/>
  <c r="F4943" i="3" a="1"/>
  <c r="F4943" i="3"/>
  <c r="F4942" i="3" a="1"/>
  <c r="F4942" i="3"/>
  <c r="F4941" i="3" a="1"/>
  <c r="F4941" i="3"/>
  <c r="F4940" i="3" a="1"/>
  <c r="F4940" i="3"/>
  <c r="F4939" i="3" a="1"/>
  <c r="F4939" i="3"/>
  <c r="F4938" i="3" a="1"/>
  <c r="F4938" i="3"/>
  <c r="F4937" i="3" a="1"/>
  <c r="F4937" i="3"/>
  <c r="F4936" i="3" a="1"/>
  <c r="F4936" i="3"/>
  <c r="F4935" i="3" a="1"/>
  <c r="F4935" i="3"/>
  <c r="F4934" i="3" a="1"/>
  <c r="F4934" i="3"/>
  <c r="F4933" i="3" a="1"/>
  <c r="F4933" i="3"/>
  <c r="F4932" i="3" a="1"/>
  <c r="F4932" i="3"/>
  <c r="F4931" i="3" a="1"/>
  <c r="F4931" i="3"/>
  <c r="F4930" i="3" a="1"/>
  <c r="F4930" i="3"/>
  <c r="F4929" i="3" a="1"/>
  <c r="F4929" i="3"/>
  <c r="F4928" i="3" a="1"/>
  <c r="F4928" i="3"/>
  <c r="F4927" i="3" a="1"/>
  <c r="F4927" i="3"/>
  <c r="F4926" i="3" a="1"/>
  <c r="F4926" i="3"/>
  <c r="F4925" i="3" a="1"/>
  <c r="F4925" i="3"/>
  <c r="F4924" i="3" a="1"/>
  <c r="F4924" i="3"/>
  <c r="F4923" i="3" a="1"/>
  <c r="F4923" i="3"/>
  <c r="F4922" i="3" a="1"/>
  <c r="F4922" i="3"/>
  <c r="F4921" i="3" a="1"/>
  <c r="F4921" i="3"/>
  <c r="F4920" i="3" a="1"/>
  <c r="F4920" i="3"/>
  <c r="F4919" i="3" a="1"/>
  <c r="F4919" i="3"/>
  <c r="F4918" i="3" a="1"/>
  <c r="F4918" i="3"/>
  <c r="F4917" i="3" a="1"/>
  <c r="F4917" i="3"/>
  <c r="F4916" i="3" a="1"/>
  <c r="F4916" i="3"/>
  <c r="F4915" i="3" a="1"/>
  <c r="F4915" i="3"/>
  <c r="F4914" i="3" a="1"/>
  <c r="F4914" i="3"/>
  <c r="F4913" i="3" a="1"/>
  <c r="F4913" i="3"/>
  <c r="F4912" i="3" a="1"/>
  <c r="F4912" i="3"/>
  <c r="F4911" i="3" a="1"/>
  <c r="F4911" i="3"/>
  <c r="F4910" i="3" a="1"/>
  <c r="F4910" i="3"/>
  <c r="F4909" i="3" a="1"/>
  <c r="F4909" i="3"/>
  <c r="F4908" i="3" a="1"/>
  <c r="F4908" i="3"/>
  <c r="F4907" i="3" a="1"/>
  <c r="F4907" i="3"/>
  <c r="F4906" i="3" a="1"/>
  <c r="F4906" i="3"/>
  <c r="F4905" i="3" a="1"/>
  <c r="F4905" i="3"/>
  <c r="F4904" i="3" a="1"/>
  <c r="F4904" i="3"/>
  <c r="F4903" i="3" a="1"/>
  <c r="F4903" i="3"/>
  <c r="F4902" i="3" a="1"/>
  <c r="F4902" i="3"/>
  <c r="F4901" i="3" a="1"/>
  <c r="F4901" i="3"/>
  <c r="F4900" i="3" a="1"/>
  <c r="F4900" i="3"/>
  <c r="F4899" i="3" a="1"/>
  <c r="F4899" i="3"/>
  <c r="F4898" i="3" a="1"/>
  <c r="F4898" i="3"/>
  <c r="F4897" i="3" a="1"/>
  <c r="F4897" i="3"/>
  <c r="F4896" i="3" a="1"/>
  <c r="F4896" i="3"/>
  <c r="F4895" i="3" a="1"/>
  <c r="F4895" i="3"/>
  <c r="F4894" i="3" a="1"/>
  <c r="F4894" i="3"/>
  <c r="F4893" i="3" a="1"/>
  <c r="F4893" i="3"/>
  <c r="F4892" i="3" a="1"/>
  <c r="F4892" i="3"/>
  <c r="F4891" i="3" a="1"/>
  <c r="F4891" i="3"/>
  <c r="F4890" i="3" a="1"/>
  <c r="F4890" i="3"/>
  <c r="F4889" i="3" a="1"/>
  <c r="F4889" i="3"/>
  <c r="F4888" i="3" a="1"/>
  <c r="F4888" i="3"/>
  <c r="F4887" i="3" a="1"/>
  <c r="F4887" i="3"/>
  <c r="F4886" i="3" a="1"/>
  <c r="F4886" i="3"/>
  <c r="F4885" i="3" a="1"/>
  <c r="F4885" i="3"/>
  <c r="F4884" i="3" a="1"/>
  <c r="F4884" i="3"/>
  <c r="F4883" i="3" a="1"/>
  <c r="F4883" i="3"/>
  <c r="F4882" i="3" a="1"/>
  <c r="F4882" i="3"/>
  <c r="F4881" i="3" a="1"/>
  <c r="F4881" i="3"/>
  <c r="F4880" i="3" a="1"/>
  <c r="F4880" i="3"/>
  <c r="F4879" i="3" a="1"/>
  <c r="F4879" i="3"/>
  <c r="F4878" i="3" a="1"/>
  <c r="F4878" i="3"/>
  <c r="F4877" i="3" a="1"/>
  <c r="F4877" i="3"/>
  <c r="F4876" i="3" a="1"/>
  <c r="F4876" i="3"/>
  <c r="F4875" i="3" a="1"/>
  <c r="F4875" i="3"/>
  <c r="F4874" i="3" a="1"/>
  <c r="F4874" i="3"/>
  <c r="F4873" i="3" a="1"/>
  <c r="F4873" i="3"/>
  <c r="F4872" i="3" a="1"/>
  <c r="F4872" i="3"/>
  <c r="F4871" i="3" a="1"/>
  <c r="F4871" i="3"/>
  <c r="F4870" i="3" a="1"/>
  <c r="F4870" i="3"/>
  <c r="F4869" i="3" a="1"/>
  <c r="F4869" i="3"/>
  <c r="F4868" i="3" a="1"/>
  <c r="F4868" i="3"/>
  <c r="F4867" i="3" a="1"/>
  <c r="F4867" i="3"/>
  <c r="F4866" i="3" a="1"/>
  <c r="F4866" i="3"/>
  <c r="F4865" i="3" a="1"/>
  <c r="F4865" i="3"/>
  <c r="F4864" i="3" a="1"/>
  <c r="F4864" i="3"/>
  <c r="F4863" i="3" a="1"/>
  <c r="F4863" i="3"/>
  <c r="F4862" i="3" a="1"/>
  <c r="F4862" i="3"/>
  <c r="F4861" i="3" a="1"/>
  <c r="F4861" i="3"/>
  <c r="F4860" i="3" a="1"/>
  <c r="F4860" i="3"/>
  <c r="F4859" i="3" a="1"/>
  <c r="F4859" i="3"/>
  <c r="F4858" i="3" a="1"/>
  <c r="F4858" i="3"/>
  <c r="F4857" i="3" a="1"/>
  <c r="F4857" i="3"/>
  <c r="F4856" i="3" a="1"/>
  <c r="F4856" i="3"/>
  <c r="F4855" i="3" a="1"/>
  <c r="F4855" i="3"/>
  <c r="F4854" i="3" a="1"/>
  <c r="F4854" i="3"/>
  <c r="F4853" i="3" a="1"/>
  <c r="F4853" i="3"/>
  <c r="F4852" i="3" a="1"/>
  <c r="F4852" i="3"/>
  <c r="F4851" i="3" a="1"/>
  <c r="F4851" i="3"/>
  <c r="F4850" i="3" a="1"/>
  <c r="F4850" i="3"/>
  <c r="F4849" i="3" a="1"/>
  <c r="F4849" i="3"/>
  <c r="F4848" i="3" a="1"/>
  <c r="F4848" i="3"/>
  <c r="F4847" i="3" a="1"/>
  <c r="F4847" i="3"/>
  <c r="F4846" i="3" a="1"/>
  <c r="F4846" i="3"/>
  <c r="F4845" i="3" a="1"/>
  <c r="F4845" i="3"/>
  <c r="F4844" i="3" a="1"/>
  <c r="F4844" i="3"/>
  <c r="F4843" i="3" a="1"/>
  <c r="F4843" i="3"/>
  <c r="F4842" i="3" a="1"/>
  <c r="F4842" i="3"/>
  <c r="F4841" i="3" a="1"/>
  <c r="F4841" i="3"/>
  <c r="F4840" i="3" a="1"/>
  <c r="F4840" i="3"/>
  <c r="F4839" i="3" a="1"/>
  <c r="F4839" i="3"/>
  <c r="F4838" i="3" a="1"/>
  <c r="F4838" i="3"/>
  <c r="F4837" i="3" a="1"/>
  <c r="F4837" i="3"/>
  <c r="F4836" i="3" a="1"/>
  <c r="F4836" i="3"/>
  <c r="F4835" i="3" a="1"/>
  <c r="F4835" i="3"/>
  <c r="F4834" i="3" a="1"/>
  <c r="F4834" i="3"/>
  <c r="F4833" i="3" a="1"/>
  <c r="F4833" i="3"/>
  <c r="F4832" i="3" a="1"/>
  <c r="F4832" i="3"/>
  <c r="F4831" i="3" a="1"/>
  <c r="F4831" i="3"/>
  <c r="F4830" i="3" a="1"/>
  <c r="F4830" i="3"/>
  <c r="F4829" i="3" a="1"/>
  <c r="F4829" i="3"/>
  <c r="F4828" i="3" a="1"/>
  <c r="F4828" i="3"/>
  <c r="F4827" i="3" a="1"/>
  <c r="F4827" i="3"/>
  <c r="F4826" i="3" a="1"/>
  <c r="F4826" i="3"/>
  <c r="F4825" i="3" a="1"/>
  <c r="F4825" i="3"/>
  <c r="F4824" i="3" a="1"/>
  <c r="F4824" i="3"/>
  <c r="F4823" i="3" a="1"/>
  <c r="F4823" i="3"/>
  <c r="F4822" i="3" a="1"/>
  <c r="F4822" i="3"/>
  <c r="F4821" i="3" a="1"/>
  <c r="F4821" i="3"/>
  <c r="F4820" i="3" a="1"/>
  <c r="F4820" i="3"/>
  <c r="F4819" i="3" a="1"/>
  <c r="F4819" i="3"/>
  <c r="F4818" i="3" a="1"/>
  <c r="F4818" i="3"/>
  <c r="F4817" i="3" a="1"/>
  <c r="F4817" i="3"/>
  <c r="F4816" i="3" a="1"/>
  <c r="F4816" i="3"/>
  <c r="F4815" i="3" a="1"/>
  <c r="F4815" i="3"/>
  <c r="F4814" i="3" a="1"/>
  <c r="F4814" i="3"/>
  <c r="F4813" i="3" a="1"/>
  <c r="F4813" i="3"/>
  <c r="F4812" i="3" a="1"/>
  <c r="F4812" i="3"/>
  <c r="F4811" i="3" a="1"/>
  <c r="F4811" i="3"/>
  <c r="F4810" i="3" a="1"/>
  <c r="F4810" i="3"/>
  <c r="F4809" i="3" a="1"/>
  <c r="F4809" i="3"/>
  <c r="F4808" i="3" a="1"/>
  <c r="F4808" i="3"/>
  <c r="F4807" i="3" a="1"/>
  <c r="F4807" i="3"/>
  <c r="F4806" i="3" a="1"/>
  <c r="F4806" i="3"/>
  <c r="F4805" i="3" a="1"/>
  <c r="F4805" i="3"/>
  <c r="F4804" i="3" a="1"/>
  <c r="F4804" i="3"/>
  <c r="F4803" i="3" a="1"/>
  <c r="F4803" i="3"/>
  <c r="F4802" i="3" a="1"/>
  <c r="F4802" i="3"/>
  <c r="F4801" i="3" a="1"/>
  <c r="F4801" i="3"/>
  <c r="F4800" i="3" a="1"/>
  <c r="F4800" i="3"/>
  <c r="F4799" i="3" a="1"/>
  <c r="F4799" i="3"/>
  <c r="F4798" i="3" a="1"/>
  <c r="F4798" i="3"/>
  <c r="F4797" i="3" a="1"/>
  <c r="F4797" i="3"/>
  <c r="F4796" i="3" a="1"/>
  <c r="F4796" i="3"/>
  <c r="F4795" i="3" a="1"/>
  <c r="F4795" i="3"/>
  <c r="F4794" i="3" a="1"/>
  <c r="F4794" i="3"/>
  <c r="F4793" i="3" a="1"/>
  <c r="F4793" i="3"/>
  <c r="F4792" i="3" a="1"/>
  <c r="F4792" i="3"/>
  <c r="F4791" i="3" a="1"/>
  <c r="F4791" i="3"/>
  <c r="F4790" i="3" a="1"/>
  <c r="F4790" i="3"/>
  <c r="F4789" i="3" a="1"/>
  <c r="F4789" i="3"/>
  <c r="F4788" i="3" a="1"/>
  <c r="F4788" i="3"/>
  <c r="F4787" i="3" a="1"/>
  <c r="F4787" i="3"/>
  <c r="F4786" i="3" a="1"/>
  <c r="F4786" i="3"/>
  <c r="F4785" i="3" a="1"/>
  <c r="F4785" i="3"/>
  <c r="F4784" i="3" a="1"/>
  <c r="F4784" i="3"/>
  <c r="F4783" i="3" a="1"/>
  <c r="F4783" i="3"/>
  <c r="F4782" i="3" a="1"/>
  <c r="F4782" i="3"/>
  <c r="F4781" i="3" a="1"/>
  <c r="F4781" i="3"/>
  <c r="F4780" i="3" a="1"/>
  <c r="F4780" i="3"/>
  <c r="F4779" i="3" a="1"/>
  <c r="F4779" i="3"/>
  <c r="F4778" i="3" a="1"/>
  <c r="F4778" i="3"/>
  <c r="F4777" i="3" a="1"/>
  <c r="F4777" i="3"/>
  <c r="F4776" i="3" a="1"/>
  <c r="F4776" i="3"/>
  <c r="F4775" i="3" a="1"/>
  <c r="F4775" i="3"/>
  <c r="F4774" i="3" a="1"/>
  <c r="F4774" i="3"/>
  <c r="F4773" i="3" a="1"/>
  <c r="F4773" i="3"/>
  <c r="F4772" i="3" a="1"/>
  <c r="F4772" i="3"/>
  <c r="F4771" i="3" a="1"/>
  <c r="F4771" i="3"/>
  <c r="F4770" i="3" a="1"/>
  <c r="F4770" i="3"/>
  <c r="F4769" i="3" a="1"/>
  <c r="F4769" i="3"/>
  <c r="F4768" i="3" a="1"/>
  <c r="F4768" i="3"/>
  <c r="F4767" i="3" a="1"/>
  <c r="F4767" i="3"/>
  <c r="F4766" i="3" a="1"/>
  <c r="F4766" i="3"/>
  <c r="F4765" i="3" a="1"/>
  <c r="F4765" i="3"/>
  <c r="F4764" i="3" a="1"/>
  <c r="F4764" i="3"/>
  <c r="F4763" i="3" a="1"/>
  <c r="F4763" i="3"/>
  <c r="F4762" i="3" a="1"/>
  <c r="F4762" i="3"/>
  <c r="F4761" i="3" a="1"/>
  <c r="F4761" i="3"/>
  <c r="F4760" i="3" a="1"/>
  <c r="F4760" i="3"/>
  <c r="F4759" i="3" a="1"/>
  <c r="F4759" i="3"/>
  <c r="F4758" i="3" a="1"/>
  <c r="F4758" i="3"/>
  <c r="F4757" i="3" a="1"/>
  <c r="F4757" i="3"/>
  <c r="F4756" i="3" a="1"/>
  <c r="F4756" i="3"/>
  <c r="F4755" i="3" a="1"/>
  <c r="F4755" i="3"/>
  <c r="F4754" i="3" a="1"/>
  <c r="F4754" i="3"/>
  <c r="F4753" i="3" a="1"/>
  <c r="F4753" i="3"/>
  <c r="F4752" i="3" a="1"/>
  <c r="F4752" i="3"/>
  <c r="F4751" i="3" a="1"/>
  <c r="F4751" i="3"/>
  <c r="F4750" i="3" a="1"/>
  <c r="F4750" i="3"/>
  <c r="F4749" i="3" a="1"/>
  <c r="F4749" i="3"/>
  <c r="F4748" i="3" a="1"/>
  <c r="F4748" i="3"/>
  <c r="F4747" i="3" a="1"/>
  <c r="F4747" i="3"/>
  <c r="F4746" i="3" a="1"/>
  <c r="F4746" i="3"/>
  <c r="F4745" i="3" a="1"/>
  <c r="F4745" i="3"/>
  <c r="F4744" i="3" a="1"/>
  <c r="F4744" i="3"/>
  <c r="F4743" i="3" a="1"/>
  <c r="F4743" i="3"/>
  <c r="F4742" i="3" a="1"/>
  <c r="F4742" i="3"/>
  <c r="F4741" i="3" a="1"/>
  <c r="F4741" i="3"/>
  <c r="F4740" i="3" a="1"/>
  <c r="F4740" i="3"/>
  <c r="F4739" i="3" a="1"/>
  <c r="F4739" i="3"/>
  <c r="F4738" i="3" a="1"/>
  <c r="F4738" i="3"/>
  <c r="F4737" i="3" a="1"/>
  <c r="F4737" i="3"/>
  <c r="F4736" i="3" a="1"/>
  <c r="F4736" i="3"/>
  <c r="F4735" i="3" a="1"/>
  <c r="F4735" i="3"/>
  <c r="F4734" i="3" a="1"/>
  <c r="F4734" i="3"/>
  <c r="F4733" i="3" a="1"/>
  <c r="F4733" i="3"/>
  <c r="F4732" i="3" a="1"/>
  <c r="F4732" i="3"/>
  <c r="F4731" i="3" a="1"/>
  <c r="F4731" i="3"/>
  <c r="F4730" i="3" a="1"/>
  <c r="F4730" i="3"/>
  <c r="F4729" i="3" a="1"/>
  <c r="F4729" i="3"/>
  <c r="F4728" i="3" a="1"/>
  <c r="F4728" i="3"/>
  <c r="F4727" i="3" a="1"/>
  <c r="F4727" i="3"/>
  <c r="F4726" i="3" a="1"/>
  <c r="F4726" i="3"/>
  <c r="F4725" i="3" a="1"/>
  <c r="F4725" i="3"/>
  <c r="F4724" i="3" a="1"/>
  <c r="F4724" i="3"/>
  <c r="F4723" i="3" a="1"/>
  <c r="F4723" i="3"/>
  <c r="F4722" i="3" a="1"/>
  <c r="F4722" i="3"/>
  <c r="F4721" i="3" a="1"/>
  <c r="F4721" i="3"/>
  <c r="F4720" i="3" a="1"/>
  <c r="F4720" i="3"/>
  <c r="F4719" i="3" a="1"/>
  <c r="F4719" i="3"/>
  <c r="F4718" i="3" a="1"/>
  <c r="F4718" i="3"/>
  <c r="F4717" i="3" a="1"/>
  <c r="F4717" i="3"/>
  <c r="F4716" i="3" a="1"/>
  <c r="F4716" i="3"/>
  <c r="F4715" i="3" a="1"/>
  <c r="F4715" i="3"/>
  <c r="F4714" i="3" a="1"/>
  <c r="F4714" i="3"/>
  <c r="F4713" i="3" a="1"/>
  <c r="F4713" i="3"/>
  <c r="F4712" i="3" a="1"/>
  <c r="F4712" i="3"/>
  <c r="F4711" i="3" a="1"/>
  <c r="F4711" i="3"/>
  <c r="F4710" i="3" a="1"/>
  <c r="F4710" i="3"/>
  <c r="F4709" i="3" a="1"/>
  <c r="F4709" i="3"/>
  <c r="F4708" i="3" a="1"/>
  <c r="F4708" i="3"/>
  <c r="F4707" i="3" a="1"/>
  <c r="F4707" i="3"/>
  <c r="F4706" i="3" a="1"/>
  <c r="F4706" i="3"/>
  <c r="F4705" i="3" a="1"/>
  <c r="F4705" i="3"/>
  <c r="F4704" i="3" a="1"/>
  <c r="F4704" i="3"/>
  <c r="F4703" i="3" a="1"/>
  <c r="F4703" i="3"/>
  <c r="F4702" i="3" a="1"/>
  <c r="F4702" i="3"/>
  <c r="F4701" i="3" a="1"/>
  <c r="F4701" i="3"/>
  <c r="F4700" i="3" a="1"/>
  <c r="F4700" i="3"/>
  <c r="F4699" i="3" a="1"/>
  <c r="F4699" i="3"/>
  <c r="F4698" i="3" a="1"/>
  <c r="F4698" i="3"/>
  <c r="F4697" i="3" a="1"/>
  <c r="F4697" i="3"/>
  <c r="F4696" i="3" a="1"/>
  <c r="F4696" i="3"/>
  <c r="F4695" i="3" a="1"/>
  <c r="F4695" i="3"/>
  <c r="F4694" i="3" a="1"/>
  <c r="F4694" i="3"/>
  <c r="F4693" i="3" a="1"/>
  <c r="F4693" i="3"/>
  <c r="F4692" i="3" a="1"/>
  <c r="F4692" i="3"/>
  <c r="F4691" i="3" a="1"/>
  <c r="F4691" i="3"/>
  <c r="F4690" i="3" a="1"/>
  <c r="F4690" i="3"/>
  <c r="F4689" i="3" a="1"/>
  <c r="F4689" i="3"/>
  <c r="F4688" i="3" a="1"/>
  <c r="F4688" i="3"/>
  <c r="F4687" i="3" a="1"/>
  <c r="F4687" i="3"/>
  <c r="F4686" i="3" a="1"/>
  <c r="F4686" i="3"/>
  <c r="F4685" i="3" a="1"/>
  <c r="F4685" i="3"/>
  <c r="F4684" i="3" a="1"/>
  <c r="F4684" i="3"/>
  <c r="F4683" i="3" a="1"/>
  <c r="F4683" i="3"/>
  <c r="F4682" i="3" a="1"/>
  <c r="F4682" i="3"/>
  <c r="F4681" i="3" a="1"/>
  <c r="F4681" i="3"/>
  <c r="F4680" i="3" a="1"/>
  <c r="F4680" i="3"/>
  <c r="F4679" i="3" a="1"/>
  <c r="F4679" i="3"/>
  <c r="F4678" i="3" a="1"/>
  <c r="F4678" i="3"/>
  <c r="F4677" i="3" a="1"/>
  <c r="F4677" i="3"/>
  <c r="F4676" i="3" a="1"/>
  <c r="F4676" i="3"/>
  <c r="F4675" i="3" a="1"/>
  <c r="F4675" i="3"/>
  <c r="F4674" i="3" a="1"/>
  <c r="F4674" i="3"/>
  <c r="F4673" i="3" a="1"/>
  <c r="F4673" i="3"/>
  <c r="F4672" i="3" a="1"/>
  <c r="F4672" i="3"/>
  <c r="F4671" i="3" a="1"/>
  <c r="F4671" i="3"/>
  <c r="F4670" i="3" a="1"/>
  <c r="F4670" i="3"/>
  <c r="F4669" i="3" a="1"/>
  <c r="F4669" i="3"/>
  <c r="F4668" i="3" a="1"/>
  <c r="F4668" i="3"/>
  <c r="F4667" i="3" a="1"/>
  <c r="F4667" i="3"/>
  <c r="F4666" i="3" a="1"/>
  <c r="F4666" i="3"/>
  <c r="F4665" i="3" a="1"/>
  <c r="F4665" i="3"/>
  <c r="F4664" i="3" a="1"/>
  <c r="F4664" i="3"/>
  <c r="F4663" i="3" a="1"/>
  <c r="F4663" i="3"/>
  <c r="F4662" i="3" a="1"/>
  <c r="F4662" i="3"/>
  <c r="F4661" i="3" a="1"/>
  <c r="F4661" i="3"/>
  <c r="F4660" i="3" a="1"/>
  <c r="F4660" i="3"/>
  <c r="F4659" i="3" a="1"/>
  <c r="F4659" i="3"/>
  <c r="F4658" i="3" a="1"/>
  <c r="F4658" i="3"/>
  <c r="F4657" i="3" a="1"/>
  <c r="F4657" i="3"/>
  <c r="F4656" i="3" a="1"/>
  <c r="F4656" i="3"/>
  <c r="F4655" i="3" a="1"/>
  <c r="F4655" i="3"/>
  <c r="F4654" i="3" a="1"/>
  <c r="F4654" i="3"/>
  <c r="F4653" i="3" a="1"/>
  <c r="F4653" i="3"/>
  <c r="F4652" i="3" a="1"/>
  <c r="F4652" i="3"/>
  <c r="F4651" i="3" a="1"/>
  <c r="F4651" i="3"/>
  <c r="F4650" i="3" a="1"/>
  <c r="F4650" i="3"/>
  <c r="F4649" i="3" a="1"/>
  <c r="F4649" i="3"/>
  <c r="F4648" i="3" a="1"/>
  <c r="F4648" i="3"/>
  <c r="F4647" i="3" a="1"/>
  <c r="F4647" i="3"/>
  <c r="F4646" i="3" a="1"/>
  <c r="F4646" i="3"/>
  <c r="F4645" i="3" a="1"/>
  <c r="F4645" i="3"/>
  <c r="F4644" i="3" a="1"/>
  <c r="F4644" i="3"/>
  <c r="F4643" i="3" a="1"/>
  <c r="F4643" i="3"/>
  <c r="F4642" i="3" a="1"/>
  <c r="F4642" i="3"/>
  <c r="F4641" i="3" a="1"/>
  <c r="F4641" i="3"/>
  <c r="F4640" i="3" a="1"/>
  <c r="F4640" i="3"/>
  <c r="F4639" i="3" a="1"/>
  <c r="F4639" i="3"/>
  <c r="F4638" i="3" a="1"/>
  <c r="F4638" i="3"/>
  <c r="F4637" i="3" a="1"/>
  <c r="F4637" i="3"/>
  <c r="F4636" i="3" a="1"/>
  <c r="F4636" i="3"/>
  <c r="F4635" i="3" a="1"/>
  <c r="F4635" i="3"/>
  <c r="F4634" i="3" a="1"/>
  <c r="F4634" i="3"/>
  <c r="F4633" i="3" a="1"/>
  <c r="F4633" i="3"/>
  <c r="F4632" i="3" a="1"/>
  <c r="F4632" i="3"/>
  <c r="F4631" i="3" a="1"/>
  <c r="F4631" i="3"/>
  <c r="F4630" i="3" a="1"/>
  <c r="F4630" i="3"/>
  <c r="F4629" i="3" a="1"/>
  <c r="F4629" i="3"/>
  <c r="F4628" i="3" a="1"/>
  <c r="F4628" i="3"/>
  <c r="F4627" i="3" a="1"/>
  <c r="F4627" i="3"/>
  <c r="F4626" i="3" a="1"/>
  <c r="F4626" i="3"/>
  <c r="F4625" i="3" a="1"/>
  <c r="F4625" i="3"/>
  <c r="F4624" i="3" a="1"/>
  <c r="F4624" i="3"/>
  <c r="F4623" i="3" a="1"/>
  <c r="F4623" i="3"/>
  <c r="F4622" i="3" a="1"/>
  <c r="F4622" i="3"/>
  <c r="F4621" i="3" a="1"/>
  <c r="F4621" i="3"/>
  <c r="F4620" i="3" a="1"/>
  <c r="F4620" i="3"/>
  <c r="F4619" i="3" a="1"/>
  <c r="F4619" i="3"/>
  <c r="F4618" i="3" a="1"/>
  <c r="F4618" i="3"/>
  <c r="F4617" i="3" a="1"/>
  <c r="F4617" i="3"/>
  <c r="F4616" i="3" a="1"/>
  <c r="F4616" i="3"/>
  <c r="F4615" i="3" a="1"/>
  <c r="F4615" i="3"/>
  <c r="F4614" i="3" a="1"/>
  <c r="F4614" i="3"/>
  <c r="F4613" i="3" a="1"/>
  <c r="F4613" i="3"/>
  <c r="F4612" i="3" a="1"/>
  <c r="F4612" i="3"/>
  <c r="F4611" i="3" a="1"/>
  <c r="F4611" i="3"/>
  <c r="F4610" i="3" a="1"/>
  <c r="F4610" i="3"/>
  <c r="F4609" i="3" a="1"/>
  <c r="F4609" i="3"/>
  <c r="F4608" i="3" a="1"/>
  <c r="F4608" i="3"/>
  <c r="F4607" i="3" a="1"/>
  <c r="F4607" i="3"/>
  <c r="F4606" i="3" a="1"/>
  <c r="F4606" i="3"/>
  <c r="F4605" i="3" a="1"/>
  <c r="F4605" i="3"/>
  <c r="F4604" i="3" a="1"/>
  <c r="F4604" i="3"/>
  <c r="F4603" i="3" a="1"/>
  <c r="F4603" i="3"/>
  <c r="F4602" i="3" a="1"/>
  <c r="F4602" i="3"/>
  <c r="F4601" i="3" a="1"/>
  <c r="F4601" i="3"/>
  <c r="F4600" i="3" a="1"/>
  <c r="F4600" i="3"/>
  <c r="F4599" i="3" a="1"/>
  <c r="F4599" i="3"/>
  <c r="F4598" i="3" a="1"/>
  <c r="F4598" i="3"/>
  <c r="F4597" i="3" a="1"/>
  <c r="F4597" i="3"/>
  <c r="F4596" i="3" a="1"/>
  <c r="F4596" i="3"/>
  <c r="F4595" i="3" a="1"/>
  <c r="F4595" i="3"/>
  <c r="F4594" i="3" a="1"/>
  <c r="F4594" i="3"/>
  <c r="F4593" i="3" a="1"/>
  <c r="F4593" i="3"/>
  <c r="F4592" i="3" a="1"/>
  <c r="F4592" i="3"/>
  <c r="F4591" i="3" a="1"/>
  <c r="F4591" i="3"/>
  <c r="F4590" i="3" a="1"/>
  <c r="F4590" i="3"/>
  <c r="F4589" i="3" a="1"/>
  <c r="F4589" i="3"/>
  <c r="F4588" i="3" a="1"/>
  <c r="F4588" i="3"/>
  <c r="F4587" i="3" a="1"/>
  <c r="F4587" i="3"/>
  <c r="F4586" i="3" a="1"/>
  <c r="F4586" i="3"/>
  <c r="F4585" i="3" a="1"/>
  <c r="F4585" i="3"/>
  <c r="F4584" i="3" a="1"/>
  <c r="F4584" i="3"/>
  <c r="F4583" i="3" a="1"/>
  <c r="F4583" i="3"/>
  <c r="F4582" i="3" a="1"/>
  <c r="F4582" i="3"/>
  <c r="F4581" i="3" a="1"/>
  <c r="F4581" i="3"/>
  <c r="F4580" i="3" a="1"/>
  <c r="F4580" i="3"/>
  <c r="F4579" i="3" a="1"/>
  <c r="F4579" i="3"/>
  <c r="F4578" i="3" a="1"/>
  <c r="F4578" i="3"/>
  <c r="F4577" i="3" a="1"/>
  <c r="F4577" i="3"/>
  <c r="F4576" i="3" a="1"/>
  <c r="F4576" i="3"/>
  <c r="F4575" i="3" a="1"/>
  <c r="F4575" i="3"/>
  <c r="F4574" i="3" a="1"/>
  <c r="F4574" i="3"/>
  <c r="F4573" i="3" a="1"/>
  <c r="F4573" i="3"/>
  <c r="F4572" i="3" a="1"/>
  <c r="F4572" i="3"/>
  <c r="F4571" i="3" a="1"/>
  <c r="F4571" i="3"/>
  <c r="F4570" i="3" a="1"/>
  <c r="F4570" i="3"/>
  <c r="F4569" i="3" a="1"/>
  <c r="F4569" i="3"/>
  <c r="F4568" i="3" a="1"/>
  <c r="F4568" i="3"/>
  <c r="F4567" i="3" a="1"/>
  <c r="F4567" i="3"/>
  <c r="F4566" i="3" a="1"/>
  <c r="F4566" i="3"/>
  <c r="F4565" i="3" a="1"/>
  <c r="F4565" i="3"/>
  <c r="F4564" i="3" a="1"/>
  <c r="F4564" i="3"/>
  <c r="F4563" i="3" a="1"/>
  <c r="F4563" i="3"/>
  <c r="F4562" i="3" a="1"/>
  <c r="F4562" i="3"/>
  <c r="F4561" i="3" a="1"/>
  <c r="F4561" i="3"/>
  <c r="F4560" i="3" a="1"/>
  <c r="F4560" i="3"/>
  <c r="F4559" i="3" a="1"/>
  <c r="F4559" i="3"/>
  <c r="F4558" i="3" a="1"/>
  <c r="F4558" i="3"/>
  <c r="F4557" i="3" a="1"/>
  <c r="F4557" i="3"/>
  <c r="F4556" i="3" a="1"/>
  <c r="F4556" i="3"/>
  <c r="F4555" i="3" a="1"/>
  <c r="F4555" i="3"/>
  <c r="F4554" i="3" a="1"/>
  <c r="F4554" i="3"/>
  <c r="F4553" i="3" a="1"/>
  <c r="F4553" i="3"/>
  <c r="F4552" i="3" a="1"/>
  <c r="F4552" i="3"/>
  <c r="F4551" i="3" a="1"/>
  <c r="F4551" i="3"/>
  <c r="F4550" i="3" a="1"/>
  <c r="F4550" i="3"/>
  <c r="F4549" i="3" a="1"/>
  <c r="F4549" i="3"/>
  <c r="F4548" i="3" a="1"/>
  <c r="F4548" i="3"/>
  <c r="F4547" i="3" a="1"/>
  <c r="F4547" i="3"/>
  <c r="F4546" i="3" a="1"/>
  <c r="F4546" i="3"/>
  <c r="F4545" i="3" a="1"/>
  <c r="F4545" i="3"/>
  <c r="F4544" i="3" a="1"/>
  <c r="F4544" i="3"/>
  <c r="F4543" i="3" a="1"/>
  <c r="F4543" i="3"/>
  <c r="F4542" i="3" a="1"/>
  <c r="F4542" i="3"/>
  <c r="F4541" i="3" a="1"/>
  <c r="F4541" i="3"/>
  <c r="F4540" i="3" a="1"/>
  <c r="F4540" i="3"/>
  <c r="F4539" i="3" a="1"/>
  <c r="F4539" i="3"/>
  <c r="F4538" i="3" a="1"/>
  <c r="F4538" i="3"/>
  <c r="F4537" i="3" a="1"/>
  <c r="F4537" i="3"/>
  <c r="F4536" i="3" a="1"/>
  <c r="F4536" i="3"/>
  <c r="F4535" i="3" a="1"/>
  <c r="F4535" i="3"/>
  <c r="F4534" i="3" a="1"/>
  <c r="F4534" i="3"/>
  <c r="F4533" i="3" a="1"/>
  <c r="F4533" i="3"/>
  <c r="F4532" i="3" a="1"/>
  <c r="F4532" i="3"/>
  <c r="F4531" i="3" a="1"/>
  <c r="F4531" i="3"/>
  <c r="F4530" i="3" a="1"/>
  <c r="F4530" i="3"/>
  <c r="F4529" i="3" a="1"/>
  <c r="F4529" i="3"/>
  <c r="F4528" i="3" a="1"/>
  <c r="F4528" i="3"/>
  <c r="F4527" i="3" a="1"/>
  <c r="F4527" i="3"/>
  <c r="F4526" i="3" a="1"/>
  <c r="F4526" i="3"/>
  <c r="F4525" i="3" a="1"/>
  <c r="F4525" i="3"/>
  <c r="F4524" i="3" a="1"/>
  <c r="F4524" i="3"/>
  <c r="F4523" i="3" a="1"/>
  <c r="F4523" i="3"/>
  <c r="F4522" i="3" a="1"/>
  <c r="F4522" i="3"/>
  <c r="F4521" i="3" a="1"/>
  <c r="F4521" i="3"/>
  <c r="F4520" i="3" a="1"/>
  <c r="F4520" i="3"/>
  <c r="F4519" i="3" a="1"/>
  <c r="F4519" i="3"/>
  <c r="F4518" i="3" a="1"/>
  <c r="F4518" i="3"/>
  <c r="F4517" i="3" a="1"/>
  <c r="F4517" i="3"/>
  <c r="F4516" i="3" a="1"/>
  <c r="F4516" i="3"/>
  <c r="F4515" i="3" a="1"/>
  <c r="F4515" i="3"/>
  <c r="F4514" i="3" a="1"/>
  <c r="F4514" i="3"/>
  <c r="F4513" i="3" a="1"/>
  <c r="F4513" i="3"/>
  <c r="F4512" i="3" a="1"/>
  <c r="F4512" i="3"/>
  <c r="F4511" i="3" a="1"/>
  <c r="F4511" i="3"/>
  <c r="F4510" i="3" a="1"/>
  <c r="F4510" i="3"/>
  <c r="F4509" i="3" a="1"/>
  <c r="F4509" i="3"/>
  <c r="F4508" i="3" a="1"/>
  <c r="F4508" i="3"/>
  <c r="F4507" i="3" a="1"/>
  <c r="F4507" i="3"/>
  <c r="F4506" i="3" a="1"/>
  <c r="F4506" i="3"/>
  <c r="F4505" i="3" a="1"/>
  <c r="F4505" i="3"/>
  <c r="F4504" i="3" a="1"/>
  <c r="F4504" i="3"/>
  <c r="F4503" i="3" a="1"/>
  <c r="F4503" i="3"/>
  <c r="F4502" i="3" a="1"/>
  <c r="F4502" i="3"/>
  <c r="F4501" i="3" a="1"/>
  <c r="F4501" i="3"/>
  <c r="F4500" i="3" a="1"/>
  <c r="F4500" i="3"/>
  <c r="F4499" i="3" a="1"/>
  <c r="F4499" i="3"/>
  <c r="F4498" i="3" a="1"/>
  <c r="F4498" i="3"/>
  <c r="F4497" i="3" a="1"/>
  <c r="F4497" i="3"/>
  <c r="F4496" i="3" a="1"/>
  <c r="F4496" i="3"/>
  <c r="F4495" i="3" a="1"/>
  <c r="F4495" i="3"/>
  <c r="F4494" i="3" a="1"/>
  <c r="F4494" i="3"/>
  <c r="F4493" i="3" a="1"/>
  <c r="F4493" i="3"/>
  <c r="F4492" i="3" a="1"/>
  <c r="F4492" i="3"/>
  <c r="F4491" i="3" a="1"/>
  <c r="F4491" i="3"/>
  <c r="F4490" i="3" a="1"/>
  <c r="F4490" i="3"/>
  <c r="F4489" i="3" a="1"/>
  <c r="F4489" i="3"/>
  <c r="F4488" i="3" a="1"/>
  <c r="F4488" i="3"/>
  <c r="F4487" i="3" a="1"/>
  <c r="F4487" i="3"/>
  <c r="F4486" i="3" a="1"/>
  <c r="F4486" i="3"/>
  <c r="F4485" i="3" a="1"/>
  <c r="F4485" i="3"/>
  <c r="F4484" i="3" a="1"/>
  <c r="F4484" i="3"/>
  <c r="F4483" i="3" a="1"/>
  <c r="F4483" i="3"/>
  <c r="F4482" i="3" a="1"/>
  <c r="F4482" i="3"/>
  <c r="F4481" i="3" a="1"/>
  <c r="F4481" i="3"/>
  <c r="F4480" i="3" a="1"/>
  <c r="F4480" i="3"/>
  <c r="F4479" i="3" a="1"/>
  <c r="F4479" i="3"/>
  <c r="F4478" i="3" a="1"/>
  <c r="F4478" i="3"/>
  <c r="F4477" i="3" a="1"/>
  <c r="F4477" i="3"/>
  <c r="F4476" i="3" a="1"/>
  <c r="F4476" i="3"/>
  <c r="F4475" i="3" a="1"/>
  <c r="F4475" i="3"/>
  <c r="F4474" i="3" a="1"/>
  <c r="F4474" i="3"/>
  <c r="F4473" i="3" a="1"/>
  <c r="F4473" i="3"/>
  <c r="F4472" i="3" a="1"/>
  <c r="F4472" i="3"/>
  <c r="F4471" i="3" a="1"/>
  <c r="F4471" i="3"/>
  <c r="F4470" i="3" a="1"/>
  <c r="F4470" i="3"/>
  <c r="F4469" i="3" a="1"/>
  <c r="F4469" i="3"/>
  <c r="F4468" i="3" a="1"/>
  <c r="F4468" i="3"/>
  <c r="F4467" i="3" a="1"/>
  <c r="F4467" i="3"/>
  <c r="F4466" i="3" a="1"/>
  <c r="F4466" i="3"/>
  <c r="F4465" i="3" a="1"/>
  <c r="F4465" i="3"/>
  <c r="F4464" i="3" a="1"/>
  <c r="F4464" i="3"/>
  <c r="F4463" i="3" a="1"/>
  <c r="F4463" i="3"/>
  <c r="F4462" i="3" a="1"/>
  <c r="F4462" i="3"/>
  <c r="F4461" i="3" a="1"/>
  <c r="F4461" i="3"/>
  <c r="F4460" i="3" a="1"/>
  <c r="F4460" i="3"/>
  <c r="F4459" i="3" a="1"/>
  <c r="F4459" i="3"/>
  <c r="F4458" i="3" a="1"/>
  <c r="F4458" i="3"/>
  <c r="F4457" i="3" a="1"/>
  <c r="F4457" i="3"/>
  <c r="F4456" i="3" a="1"/>
  <c r="F4456" i="3"/>
  <c r="F4455" i="3" a="1"/>
  <c r="F4455" i="3"/>
  <c r="F4454" i="3" a="1"/>
  <c r="F4454" i="3"/>
  <c r="F4453" i="3" a="1"/>
  <c r="F4453" i="3"/>
  <c r="F4452" i="3" a="1"/>
  <c r="F4452" i="3"/>
  <c r="F4451" i="3" a="1"/>
  <c r="F4451" i="3"/>
  <c r="F4450" i="3" a="1"/>
  <c r="F4450" i="3"/>
  <c r="F4449" i="3" a="1"/>
  <c r="F4449" i="3"/>
  <c r="F4448" i="3" a="1"/>
  <c r="F4448" i="3"/>
  <c r="F4447" i="3" a="1"/>
  <c r="F4447" i="3"/>
  <c r="F4446" i="3" a="1"/>
  <c r="F4446" i="3"/>
  <c r="F4445" i="3" a="1"/>
  <c r="F4445" i="3"/>
  <c r="F4444" i="3" a="1"/>
  <c r="F4444" i="3"/>
  <c r="F4443" i="3" a="1"/>
  <c r="F4443" i="3"/>
  <c r="F4442" i="3" a="1"/>
  <c r="F4442" i="3"/>
  <c r="F4441" i="3" a="1"/>
  <c r="F4441" i="3"/>
  <c r="F4440" i="3" a="1"/>
  <c r="F4440" i="3"/>
  <c r="F4439" i="3" a="1"/>
  <c r="F4439" i="3"/>
  <c r="F4438" i="3" a="1"/>
  <c r="F4438" i="3"/>
  <c r="F4437" i="3" a="1"/>
  <c r="F4437" i="3"/>
  <c r="F4436" i="3" a="1"/>
  <c r="F4436" i="3"/>
  <c r="F4435" i="3" a="1"/>
  <c r="F4435" i="3"/>
  <c r="F4434" i="3" a="1"/>
  <c r="F4434" i="3"/>
  <c r="F4433" i="3" a="1"/>
  <c r="F4433" i="3"/>
  <c r="F4432" i="3" a="1"/>
  <c r="F4432" i="3"/>
  <c r="F4431" i="3" a="1"/>
  <c r="F4431" i="3"/>
  <c r="F4430" i="3" a="1"/>
  <c r="F4430" i="3"/>
  <c r="F4429" i="3" a="1"/>
  <c r="F4429" i="3"/>
  <c r="F4428" i="3" a="1"/>
  <c r="F4428" i="3"/>
  <c r="F4427" i="3" a="1"/>
  <c r="F4427" i="3"/>
  <c r="F4426" i="3" a="1"/>
  <c r="F4426" i="3"/>
  <c r="F4425" i="3" a="1"/>
  <c r="F4425" i="3"/>
  <c r="F4424" i="3" a="1"/>
  <c r="F4424" i="3"/>
  <c r="F4423" i="3" a="1"/>
  <c r="F4423" i="3"/>
  <c r="F4422" i="3" a="1"/>
  <c r="F4422" i="3"/>
  <c r="F4421" i="3" a="1"/>
  <c r="F4421" i="3"/>
  <c r="F4420" i="3" a="1"/>
  <c r="F4420" i="3"/>
  <c r="F4419" i="3" a="1"/>
  <c r="F4419" i="3"/>
  <c r="F4418" i="3" a="1"/>
  <c r="F4418" i="3"/>
  <c r="F4417" i="3" a="1"/>
  <c r="F4417" i="3"/>
  <c r="F4416" i="3" a="1"/>
  <c r="F4416" i="3"/>
  <c r="F4415" i="3" a="1"/>
  <c r="F4415" i="3"/>
  <c r="F4414" i="3" a="1"/>
  <c r="F4414" i="3"/>
  <c r="F4413" i="3" a="1"/>
  <c r="F4413" i="3"/>
  <c r="F4412" i="3" a="1"/>
  <c r="F4412" i="3"/>
  <c r="F4411" i="3" a="1"/>
  <c r="F4411" i="3"/>
  <c r="F4410" i="3" a="1"/>
  <c r="F4410" i="3"/>
  <c r="F4409" i="3" a="1"/>
  <c r="F4409" i="3"/>
  <c r="F4408" i="3" a="1"/>
  <c r="F4408" i="3"/>
  <c r="F4407" i="3" a="1"/>
  <c r="F4407" i="3"/>
  <c r="F4406" i="3" a="1"/>
  <c r="F4406" i="3"/>
  <c r="F4405" i="3" a="1"/>
  <c r="F4405" i="3"/>
  <c r="F4404" i="3" a="1"/>
  <c r="F4404" i="3"/>
  <c r="F4403" i="3" a="1"/>
  <c r="F4403" i="3"/>
  <c r="F4402" i="3" a="1"/>
  <c r="F4402" i="3"/>
  <c r="F4401" i="3" a="1"/>
  <c r="F4401" i="3"/>
  <c r="F4400" i="3" a="1"/>
  <c r="F4400" i="3"/>
  <c r="F4399" i="3" a="1"/>
  <c r="F4399" i="3"/>
  <c r="F4398" i="3" a="1"/>
  <c r="F4398" i="3"/>
  <c r="F4397" i="3" a="1"/>
  <c r="F4397" i="3"/>
  <c r="F4396" i="3" a="1"/>
  <c r="F4396" i="3"/>
  <c r="F4395" i="3" a="1"/>
  <c r="F4395" i="3"/>
  <c r="F4394" i="3" a="1"/>
  <c r="F4394" i="3"/>
  <c r="F4393" i="3" a="1"/>
  <c r="F4393" i="3"/>
  <c r="F4392" i="3" a="1"/>
  <c r="F4392" i="3"/>
  <c r="F4391" i="3" a="1"/>
  <c r="F4391" i="3"/>
  <c r="F4390" i="3" a="1"/>
  <c r="F4390" i="3"/>
  <c r="F4389" i="3" a="1"/>
  <c r="F4389" i="3"/>
  <c r="F4388" i="3" a="1"/>
  <c r="F4388" i="3"/>
  <c r="F4387" i="3" a="1"/>
  <c r="F4387" i="3"/>
  <c r="F4386" i="3" a="1"/>
  <c r="F4386" i="3"/>
  <c r="F4385" i="3" a="1"/>
  <c r="F4385" i="3"/>
  <c r="F4384" i="3" a="1"/>
  <c r="F4384" i="3"/>
  <c r="F4383" i="3" a="1"/>
  <c r="F4383" i="3"/>
  <c r="F4382" i="3" a="1"/>
  <c r="F4382" i="3"/>
  <c r="F4381" i="3" a="1"/>
  <c r="F4381" i="3"/>
  <c r="F4380" i="3" a="1"/>
  <c r="F4380" i="3"/>
  <c r="F4379" i="3" a="1"/>
  <c r="F4379" i="3"/>
  <c r="F4378" i="3" a="1"/>
  <c r="F4378" i="3"/>
  <c r="F4377" i="3" a="1"/>
  <c r="F4377" i="3"/>
  <c r="F4376" i="3" a="1"/>
  <c r="F4376" i="3"/>
  <c r="F4375" i="3" a="1"/>
  <c r="F4375" i="3"/>
  <c r="F4374" i="3" a="1"/>
  <c r="F4374" i="3"/>
  <c r="F4373" i="3" a="1"/>
  <c r="F4373" i="3"/>
  <c r="F4372" i="3" a="1"/>
  <c r="F4372" i="3"/>
  <c r="F4371" i="3" a="1"/>
  <c r="F4371" i="3"/>
  <c r="F4370" i="3" a="1"/>
  <c r="F4370" i="3"/>
  <c r="F4369" i="3" a="1"/>
  <c r="F4369" i="3"/>
  <c r="F4368" i="3" a="1"/>
  <c r="F4368" i="3"/>
  <c r="F4367" i="3" a="1"/>
  <c r="F4367" i="3"/>
  <c r="F4366" i="3" a="1"/>
  <c r="F4366" i="3"/>
  <c r="F4365" i="3" a="1"/>
  <c r="F4365" i="3"/>
  <c r="F4364" i="3" a="1"/>
  <c r="F4364" i="3"/>
  <c r="F4363" i="3" a="1"/>
  <c r="F4363" i="3"/>
  <c r="F4362" i="3" a="1"/>
  <c r="F4362" i="3"/>
  <c r="F4361" i="3" a="1"/>
  <c r="F4361" i="3"/>
  <c r="F4360" i="3" a="1"/>
  <c r="F4360" i="3"/>
  <c r="F4359" i="3" a="1"/>
  <c r="F4359" i="3"/>
  <c r="F4358" i="3" a="1"/>
  <c r="F4358" i="3"/>
  <c r="F4357" i="3" a="1"/>
  <c r="F4357" i="3"/>
  <c r="F4356" i="3" a="1"/>
  <c r="F4356" i="3"/>
  <c r="F4355" i="3" a="1"/>
  <c r="F4355" i="3"/>
  <c r="F4354" i="3" a="1"/>
  <c r="F4354" i="3"/>
  <c r="F4353" i="3" a="1"/>
  <c r="F4353" i="3"/>
  <c r="F4352" i="3" a="1"/>
  <c r="F4352" i="3"/>
  <c r="F4351" i="3" a="1"/>
  <c r="F4351" i="3"/>
  <c r="F4350" i="3" a="1"/>
  <c r="F4350" i="3"/>
  <c r="F4349" i="3" a="1"/>
  <c r="F4349" i="3"/>
  <c r="F4348" i="3" a="1"/>
  <c r="F4348" i="3"/>
  <c r="F4347" i="3" a="1"/>
  <c r="F4347" i="3"/>
  <c r="F4346" i="3" a="1"/>
  <c r="F4346" i="3"/>
  <c r="F4345" i="3" a="1"/>
  <c r="F4345" i="3"/>
  <c r="F4344" i="3" a="1"/>
  <c r="F4344" i="3"/>
  <c r="F4343" i="3" a="1"/>
  <c r="F4343" i="3"/>
  <c r="F4342" i="3" a="1"/>
  <c r="F4342" i="3"/>
  <c r="F4341" i="3" a="1"/>
  <c r="F4341" i="3"/>
  <c r="F4340" i="3" a="1"/>
  <c r="F4340" i="3"/>
  <c r="F4339" i="3" a="1"/>
  <c r="F4339" i="3"/>
  <c r="F4338" i="3" a="1"/>
  <c r="F4338" i="3"/>
  <c r="F4337" i="3" a="1"/>
  <c r="F4337" i="3"/>
  <c r="F4336" i="3" a="1"/>
  <c r="F4336" i="3"/>
  <c r="F4335" i="3" a="1"/>
  <c r="F4335" i="3"/>
  <c r="F4334" i="3" a="1"/>
  <c r="F4334" i="3"/>
  <c r="F4333" i="3" a="1"/>
  <c r="F4333" i="3"/>
  <c r="F4332" i="3" a="1"/>
  <c r="F4332" i="3"/>
  <c r="F4331" i="3" a="1"/>
  <c r="F4331" i="3"/>
  <c r="F4330" i="3" a="1"/>
  <c r="F4330" i="3"/>
  <c r="F4329" i="3" a="1"/>
  <c r="F4329" i="3"/>
  <c r="F4328" i="3" a="1"/>
  <c r="F4328" i="3"/>
  <c r="F4327" i="3" a="1"/>
  <c r="F4327" i="3"/>
  <c r="F4326" i="3" a="1"/>
  <c r="F4326" i="3"/>
  <c r="F4325" i="3" a="1"/>
  <c r="F4325" i="3"/>
  <c r="F4324" i="3" a="1"/>
  <c r="F4324" i="3"/>
  <c r="F4323" i="3" a="1"/>
  <c r="F4323" i="3"/>
  <c r="F4322" i="3" a="1"/>
  <c r="F4322" i="3"/>
  <c r="F4321" i="3" a="1"/>
  <c r="F4321" i="3"/>
  <c r="F4320" i="3" a="1"/>
  <c r="F4320" i="3"/>
  <c r="F4319" i="3" a="1"/>
  <c r="F4319" i="3"/>
  <c r="F4318" i="3" a="1"/>
  <c r="F4318" i="3"/>
  <c r="F4317" i="3" a="1"/>
  <c r="F4317" i="3"/>
  <c r="F4316" i="3" a="1"/>
  <c r="F4316" i="3"/>
  <c r="F4315" i="3" a="1"/>
  <c r="F4315" i="3"/>
  <c r="F4314" i="3" a="1"/>
  <c r="F4314" i="3"/>
  <c r="F4313" i="3" a="1"/>
  <c r="F4313" i="3"/>
  <c r="F4312" i="3" a="1"/>
  <c r="F4312" i="3"/>
  <c r="F4311" i="3" a="1"/>
  <c r="F4311" i="3"/>
  <c r="F4310" i="3" a="1"/>
  <c r="F4310" i="3"/>
  <c r="F4309" i="3" a="1"/>
  <c r="F4309" i="3"/>
  <c r="F4308" i="3" a="1"/>
  <c r="F4308" i="3"/>
  <c r="F4307" i="3" a="1"/>
  <c r="F4307" i="3"/>
  <c r="F4306" i="3" a="1"/>
  <c r="F4306" i="3"/>
  <c r="F4305" i="3" a="1"/>
  <c r="F4305" i="3"/>
  <c r="F4304" i="3" a="1"/>
  <c r="F4304" i="3"/>
  <c r="F4303" i="3" a="1"/>
  <c r="F4303" i="3"/>
  <c r="F4302" i="3" a="1"/>
  <c r="F4302" i="3"/>
  <c r="F4301" i="3" a="1"/>
  <c r="F4301" i="3"/>
  <c r="F4300" i="3" a="1"/>
  <c r="F4300" i="3"/>
  <c r="F4299" i="3" a="1"/>
  <c r="F4299" i="3"/>
  <c r="F4298" i="3" a="1"/>
  <c r="F4298" i="3"/>
  <c r="F4297" i="3" a="1"/>
  <c r="F4297" i="3"/>
  <c r="F4296" i="3" a="1"/>
  <c r="F4296" i="3"/>
  <c r="F4295" i="3" a="1"/>
  <c r="F4295" i="3"/>
  <c r="F4294" i="3" a="1"/>
  <c r="F4294" i="3"/>
  <c r="F4293" i="3" a="1"/>
  <c r="F4293" i="3"/>
  <c r="F4292" i="3" a="1"/>
  <c r="F4292" i="3"/>
  <c r="F4291" i="3" a="1"/>
  <c r="F4291" i="3"/>
  <c r="F4290" i="3" a="1"/>
  <c r="F4290" i="3"/>
  <c r="F4289" i="3" a="1"/>
  <c r="F4289" i="3"/>
  <c r="F4288" i="3" a="1"/>
  <c r="F4288" i="3"/>
  <c r="F4287" i="3" a="1"/>
  <c r="F4287" i="3"/>
  <c r="F4286" i="3" a="1"/>
  <c r="F4286" i="3"/>
  <c r="F4285" i="3" a="1"/>
  <c r="F4285" i="3"/>
  <c r="F4284" i="3" a="1"/>
  <c r="F4284" i="3"/>
  <c r="F4283" i="3" a="1"/>
  <c r="F4283" i="3"/>
  <c r="F4282" i="3" a="1"/>
  <c r="F4282" i="3"/>
  <c r="F4281" i="3" a="1"/>
  <c r="F4281" i="3"/>
  <c r="F4280" i="3" a="1"/>
  <c r="F4280" i="3"/>
  <c r="F4279" i="3" a="1"/>
  <c r="F4279" i="3"/>
  <c r="F4278" i="3" a="1"/>
  <c r="F4278" i="3"/>
  <c r="F4277" i="3" a="1"/>
  <c r="F4277" i="3"/>
  <c r="F4276" i="3" a="1"/>
  <c r="F4276" i="3"/>
  <c r="F4275" i="3" a="1"/>
  <c r="F4275" i="3"/>
  <c r="F4274" i="3" a="1"/>
  <c r="F4274" i="3"/>
  <c r="F4273" i="3" a="1"/>
  <c r="F4273" i="3"/>
  <c r="F4272" i="3" a="1"/>
  <c r="F4272" i="3"/>
  <c r="F4271" i="3" a="1"/>
  <c r="F4271" i="3"/>
  <c r="F4270" i="3" a="1"/>
  <c r="F4270" i="3"/>
  <c r="F4269" i="3" a="1"/>
  <c r="F4269" i="3"/>
  <c r="F4268" i="3" a="1"/>
  <c r="F4268" i="3"/>
  <c r="F4267" i="3" a="1"/>
  <c r="F4267" i="3"/>
  <c r="F4266" i="3" a="1"/>
  <c r="F4266" i="3"/>
  <c r="F4265" i="3" a="1"/>
  <c r="F4265" i="3"/>
  <c r="F4264" i="3" a="1"/>
  <c r="F4264" i="3"/>
  <c r="F4263" i="3" a="1"/>
  <c r="F4263" i="3"/>
  <c r="F4262" i="3" a="1"/>
  <c r="F4262" i="3"/>
  <c r="F4261" i="3" a="1"/>
  <c r="F4261" i="3"/>
  <c r="F4260" i="3" a="1"/>
  <c r="F4260" i="3"/>
  <c r="F4259" i="3" a="1"/>
  <c r="F4259" i="3"/>
  <c r="F4258" i="3" a="1"/>
  <c r="F4258" i="3"/>
  <c r="F4257" i="3" a="1"/>
  <c r="F4257" i="3"/>
  <c r="F4256" i="3" a="1"/>
  <c r="F4256" i="3"/>
  <c r="F4255" i="3" a="1"/>
  <c r="F4255" i="3"/>
  <c r="F4254" i="3" a="1"/>
  <c r="F4254" i="3"/>
  <c r="F4253" i="3" a="1"/>
  <c r="F4253" i="3"/>
  <c r="F4252" i="3" a="1"/>
  <c r="F4252" i="3"/>
  <c r="F4251" i="3" a="1"/>
  <c r="F4251" i="3"/>
  <c r="F4250" i="3" a="1"/>
  <c r="F4250" i="3"/>
  <c r="F4249" i="3" a="1"/>
  <c r="F4249" i="3"/>
  <c r="F4248" i="3" a="1"/>
  <c r="F4248" i="3"/>
  <c r="F4247" i="3" a="1"/>
  <c r="F4247" i="3"/>
  <c r="F4246" i="3" a="1"/>
  <c r="F4246" i="3"/>
  <c r="F4245" i="3" a="1"/>
  <c r="F4245" i="3"/>
  <c r="F4244" i="3" a="1"/>
  <c r="F4244" i="3"/>
  <c r="F4243" i="3" a="1"/>
  <c r="F4243" i="3"/>
  <c r="F4242" i="3" a="1"/>
  <c r="F4242" i="3"/>
  <c r="F4241" i="3" a="1"/>
  <c r="F4241" i="3"/>
  <c r="F4240" i="3" a="1"/>
  <c r="F4240" i="3"/>
  <c r="F4239" i="3" a="1"/>
  <c r="F4239" i="3"/>
  <c r="F4238" i="3" a="1"/>
  <c r="F4238" i="3"/>
  <c r="F4237" i="3" a="1"/>
  <c r="F4237" i="3"/>
  <c r="F4236" i="3" a="1"/>
  <c r="F4236" i="3"/>
  <c r="F4235" i="3" a="1"/>
  <c r="F4235" i="3"/>
  <c r="F4234" i="3" a="1"/>
  <c r="F4234" i="3"/>
  <c r="F4233" i="3" a="1"/>
  <c r="F4233" i="3"/>
  <c r="F4232" i="3" a="1"/>
  <c r="F4232" i="3"/>
  <c r="F4231" i="3" a="1"/>
  <c r="F4231" i="3"/>
  <c r="F4230" i="3" a="1"/>
  <c r="F4230" i="3"/>
  <c r="F4229" i="3" a="1"/>
  <c r="F4229" i="3"/>
  <c r="F4228" i="3" a="1"/>
  <c r="F4228" i="3"/>
  <c r="F4227" i="3" a="1"/>
  <c r="F4227" i="3"/>
  <c r="F4226" i="3" a="1"/>
  <c r="F4226" i="3"/>
  <c r="F4225" i="3" a="1"/>
  <c r="F4225" i="3"/>
  <c r="F4224" i="3" a="1"/>
  <c r="F4224" i="3"/>
  <c r="F4223" i="3" a="1"/>
  <c r="F4223" i="3"/>
  <c r="F4222" i="3" a="1"/>
  <c r="F4222" i="3"/>
  <c r="F4221" i="3" a="1"/>
  <c r="F4221" i="3"/>
  <c r="F4220" i="3" a="1"/>
  <c r="F4220" i="3"/>
  <c r="F4219" i="3" a="1"/>
  <c r="F4219" i="3"/>
  <c r="F4218" i="3" a="1"/>
  <c r="F4218" i="3"/>
  <c r="F4217" i="3" a="1"/>
  <c r="F4217" i="3"/>
  <c r="F4216" i="3" a="1"/>
  <c r="F4216" i="3"/>
  <c r="F4215" i="3" a="1"/>
  <c r="F4215" i="3"/>
  <c r="F4214" i="3" a="1"/>
  <c r="F4214" i="3"/>
  <c r="F4213" i="3" a="1"/>
  <c r="F4213" i="3"/>
  <c r="F4212" i="3" a="1"/>
  <c r="F4212" i="3"/>
  <c r="F4211" i="3" a="1"/>
  <c r="F4211" i="3"/>
  <c r="F4210" i="3" a="1"/>
  <c r="F4210" i="3"/>
  <c r="F4209" i="3" a="1"/>
  <c r="F4209" i="3"/>
  <c r="F4208" i="3" a="1"/>
  <c r="F4208" i="3"/>
  <c r="F4207" i="3" a="1"/>
  <c r="F4207" i="3"/>
  <c r="F4206" i="3" a="1"/>
  <c r="F4206" i="3"/>
  <c r="F4205" i="3" a="1"/>
  <c r="F4205" i="3"/>
  <c r="F4204" i="3" a="1"/>
  <c r="F4204" i="3"/>
  <c r="F4203" i="3" a="1"/>
  <c r="F4203" i="3"/>
  <c r="F4202" i="3" a="1"/>
  <c r="F4202" i="3"/>
  <c r="F4201" i="3" a="1"/>
  <c r="F4201" i="3"/>
  <c r="F4200" i="3" a="1"/>
  <c r="F4200" i="3"/>
  <c r="F4199" i="3" a="1"/>
  <c r="F4199" i="3"/>
  <c r="F4198" i="3" a="1"/>
  <c r="F4198" i="3"/>
  <c r="F4197" i="3" a="1"/>
  <c r="F4197" i="3"/>
  <c r="F4196" i="3" a="1"/>
  <c r="F4196" i="3"/>
  <c r="F4195" i="3" a="1"/>
  <c r="F4195" i="3"/>
  <c r="F4194" i="3" a="1"/>
  <c r="F4194" i="3"/>
  <c r="F4193" i="3" a="1"/>
  <c r="F4193" i="3"/>
  <c r="F4192" i="3" a="1"/>
  <c r="F4192" i="3"/>
  <c r="F4191" i="3" a="1"/>
  <c r="F4191" i="3"/>
  <c r="F4190" i="3" a="1"/>
  <c r="F4190" i="3"/>
  <c r="F4189" i="3" a="1"/>
  <c r="F4189" i="3"/>
  <c r="F4188" i="3" a="1"/>
  <c r="F4188" i="3"/>
  <c r="F4187" i="3" a="1"/>
  <c r="F4187" i="3"/>
  <c r="F4186" i="3" a="1"/>
  <c r="F4186" i="3"/>
  <c r="F4185" i="3" a="1"/>
  <c r="F4185" i="3"/>
  <c r="F4184" i="3" a="1"/>
  <c r="F4184" i="3"/>
  <c r="F4183" i="3" a="1"/>
  <c r="F4183" i="3"/>
  <c r="F4182" i="3" a="1"/>
  <c r="F4182" i="3"/>
  <c r="F4181" i="3" a="1"/>
  <c r="F4181" i="3"/>
  <c r="F4180" i="3" a="1"/>
  <c r="F4180" i="3"/>
  <c r="F4179" i="3" a="1"/>
  <c r="F4179" i="3"/>
  <c r="F4178" i="3" a="1"/>
  <c r="F4178" i="3"/>
  <c r="F4177" i="3" a="1"/>
  <c r="F4177" i="3"/>
  <c r="F4176" i="3" a="1"/>
  <c r="F4176" i="3"/>
  <c r="F4175" i="3" a="1"/>
  <c r="F4175" i="3"/>
  <c r="F4174" i="3" a="1"/>
  <c r="F4174" i="3"/>
  <c r="F4173" i="3" a="1"/>
  <c r="F4173" i="3"/>
  <c r="F4172" i="3" a="1"/>
  <c r="F4172" i="3"/>
  <c r="F4171" i="3" a="1"/>
  <c r="F4171" i="3"/>
  <c r="F4170" i="3" a="1"/>
  <c r="F4170" i="3"/>
  <c r="F4169" i="3" a="1"/>
  <c r="F4169" i="3"/>
  <c r="F4168" i="3" a="1"/>
  <c r="F4168" i="3"/>
  <c r="F4167" i="3" a="1"/>
  <c r="F4167" i="3"/>
  <c r="F4166" i="3" a="1"/>
  <c r="F4166" i="3"/>
  <c r="F4165" i="3" a="1"/>
  <c r="F4165" i="3"/>
  <c r="F4164" i="3" a="1"/>
  <c r="F4164" i="3"/>
  <c r="F4163" i="3" a="1"/>
  <c r="F4163" i="3"/>
  <c r="F4162" i="3" a="1"/>
  <c r="F4162" i="3"/>
  <c r="F4161" i="3" a="1"/>
  <c r="F4161" i="3"/>
  <c r="F4160" i="3" a="1"/>
  <c r="F4160" i="3"/>
  <c r="F4159" i="3" a="1"/>
  <c r="F4159" i="3"/>
  <c r="F4158" i="3" a="1"/>
  <c r="F4158" i="3"/>
  <c r="F4157" i="3" a="1"/>
  <c r="F4157" i="3"/>
  <c r="F4156" i="3" a="1"/>
  <c r="F4156" i="3"/>
  <c r="F4155" i="3" a="1"/>
  <c r="F4155" i="3"/>
  <c r="F4154" i="3" a="1"/>
  <c r="F4154" i="3"/>
  <c r="F4153" i="3" a="1"/>
  <c r="F4153" i="3"/>
  <c r="F4152" i="3" a="1"/>
  <c r="F4152" i="3"/>
  <c r="F4151" i="3" a="1"/>
  <c r="F4151" i="3"/>
  <c r="F4150" i="3" a="1"/>
  <c r="F4150" i="3"/>
  <c r="F4149" i="3" a="1"/>
  <c r="F4149" i="3"/>
  <c r="F4148" i="3" a="1"/>
  <c r="F4148" i="3"/>
  <c r="F4147" i="3" a="1"/>
  <c r="F4147" i="3"/>
  <c r="F4146" i="3" a="1"/>
  <c r="F4146" i="3"/>
  <c r="F4145" i="3" a="1"/>
  <c r="F4145" i="3"/>
  <c r="F4144" i="3" a="1"/>
  <c r="F4144" i="3"/>
  <c r="F4143" i="3" a="1"/>
  <c r="F4143" i="3"/>
  <c r="F4142" i="3" a="1"/>
  <c r="F4142" i="3"/>
  <c r="F4141" i="3" a="1"/>
  <c r="F4141" i="3"/>
  <c r="F4140" i="3" a="1"/>
  <c r="F4140" i="3"/>
  <c r="F4139" i="3" a="1"/>
  <c r="F4139" i="3"/>
  <c r="F4138" i="3" a="1"/>
  <c r="F4138" i="3"/>
  <c r="F4137" i="3" a="1"/>
  <c r="F4137" i="3"/>
  <c r="F4136" i="3" a="1"/>
  <c r="F4136" i="3"/>
  <c r="F4135" i="3" a="1"/>
  <c r="F4135" i="3"/>
  <c r="F4134" i="3" a="1"/>
  <c r="F4134" i="3"/>
  <c r="F4133" i="3" a="1"/>
  <c r="F4133" i="3"/>
  <c r="F4132" i="3" a="1"/>
  <c r="F4132" i="3"/>
  <c r="F4131" i="3" a="1"/>
  <c r="F4131" i="3"/>
  <c r="F4130" i="3" a="1"/>
  <c r="F4130" i="3"/>
  <c r="F4129" i="3" a="1"/>
  <c r="F4129" i="3"/>
  <c r="F4128" i="3" a="1"/>
  <c r="F4128" i="3"/>
  <c r="F4127" i="3" a="1"/>
  <c r="F4127" i="3"/>
  <c r="F4126" i="3" a="1"/>
  <c r="F4126" i="3"/>
  <c r="F4125" i="3" a="1"/>
  <c r="F4125" i="3"/>
  <c r="F4124" i="3" a="1"/>
  <c r="F4124" i="3"/>
  <c r="F4123" i="3" a="1"/>
  <c r="F4123" i="3"/>
  <c r="F4122" i="3" a="1"/>
  <c r="F4122" i="3"/>
  <c r="F4121" i="3" a="1"/>
  <c r="F4121" i="3"/>
  <c r="F4120" i="3" a="1"/>
  <c r="F4120" i="3"/>
  <c r="F4119" i="3" a="1"/>
  <c r="F4119" i="3"/>
  <c r="F4118" i="3" a="1"/>
  <c r="F4118" i="3"/>
  <c r="F4117" i="3" a="1"/>
  <c r="F4117" i="3"/>
  <c r="F4116" i="3" a="1"/>
  <c r="F4116" i="3"/>
  <c r="F4115" i="3" a="1"/>
  <c r="F4115" i="3"/>
  <c r="F4114" i="3" a="1"/>
  <c r="F4114" i="3"/>
  <c r="F4113" i="3" a="1"/>
  <c r="F4113" i="3"/>
  <c r="F4112" i="3" a="1"/>
  <c r="F4112" i="3"/>
  <c r="F4111" i="3" a="1"/>
  <c r="F4111" i="3"/>
  <c r="F4110" i="3" a="1"/>
  <c r="F4110" i="3"/>
  <c r="F4109" i="3" a="1"/>
  <c r="F4109" i="3"/>
  <c r="F4108" i="3" a="1"/>
  <c r="F4108" i="3"/>
  <c r="F4107" i="3" a="1"/>
  <c r="F4107" i="3"/>
  <c r="F4106" i="3" a="1"/>
  <c r="F4106" i="3"/>
  <c r="F4105" i="3" a="1"/>
  <c r="F4105" i="3"/>
  <c r="F4104" i="3" a="1"/>
  <c r="F4104" i="3"/>
  <c r="F4103" i="3" a="1"/>
  <c r="F4103" i="3"/>
  <c r="F4102" i="3" a="1"/>
  <c r="F4102" i="3"/>
  <c r="F4101" i="3" a="1"/>
  <c r="F4101" i="3"/>
  <c r="F4100" i="3" a="1"/>
  <c r="F4100" i="3"/>
  <c r="F4099" i="3" a="1"/>
  <c r="F4099" i="3"/>
  <c r="F4098" i="3" a="1"/>
  <c r="F4098" i="3"/>
  <c r="F4097" i="3" a="1"/>
  <c r="F4097" i="3"/>
  <c r="F4096" i="3" a="1"/>
  <c r="F4096" i="3"/>
  <c r="F4095" i="3" a="1"/>
  <c r="F4095" i="3"/>
  <c r="F4094" i="3" a="1"/>
  <c r="F4094" i="3"/>
  <c r="F4093" i="3" a="1"/>
  <c r="F4093" i="3"/>
  <c r="F4092" i="3" a="1"/>
  <c r="F4092" i="3"/>
  <c r="F4091" i="3" a="1"/>
  <c r="F4091" i="3"/>
  <c r="F4090" i="3" a="1"/>
  <c r="F4090" i="3"/>
  <c r="F4089" i="3" a="1"/>
  <c r="F4089" i="3"/>
  <c r="F4088" i="3" a="1"/>
  <c r="F4088" i="3"/>
  <c r="F4087" i="3" a="1"/>
  <c r="F4087" i="3"/>
  <c r="F4086" i="3" a="1"/>
  <c r="F4086" i="3"/>
  <c r="F4085" i="3" a="1"/>
  <c r="F4085" i="3"/>
  <c r="F4084" i="3" a="1"/>
  <c r="F4084" i="3"/>
  <c r="F4083" i="3" a="1"/>
  <c r="F4083" i="3"/>
  <c r="F4082" i="3" a="1"/>
  <c r="F4082" i="3"/>
  <c r="F4081" i="3" a="1"/>
  <c r="F4081" i="3"/>
  <c r="F4080" i="3" a="1"/>
  <c r="F4080" i="3"/>
  <c r="F4079" i="3" a="1"/>
  <c r="F4079" i="3"/>
  <c r="F4078" i="3" a="1"/>
  <c r="F4078" i="3"/>
  <c r="F4077" i="3" a="1"/>
  <c r="F4077" i="3"/>
  <c r="F4076" i="3" a="1"/>
  <c r="F4076" i="3"/>
  <c r="F4075" i="3" a="1"/>
  <c r="F4075" i="3"/>
  <c r="F4074" i="3" a="1"/>
  <c r="F4074" i="3"/>
  <c r="F4073" i="3" a="1"/>
  <c r="F4073" i="3"/>
  <c r="F4072" i="3" a="1"/>
  <c r="F4072" i="3"/>
  <c r="F4071" i="3" a="1"/>
  <c r="F4071" i="3"/>
  <c r="F4070" i="3" a="1"/>
  <c r="F4070" i="3"/>
  <c r="F4069" i="3" a="1"/>
  <c r="F4069" i="3"/>
  <c r="F4068" i="3" a="1"/>
  <c r="F4068" i="3"/>
  <c r="F4067" i="3" a="1"/>
  <c r="F4067" i="3"/>
  <c r="F4066" i="3" a="1"/>
  <c r="F4066" i="3"/>
  <c r="F4065" i="3" a="1"/>
  <c r="F4065" i="3"/>
  <c r="F4064" i="3" a="1"/>
  <c r="F4064" i="3"/>
  <c r="F4063" i="3" a="1"/>
  <c r="F4063" i="3"/>
  <c r="F4062" i="3" a="1"/>
  <c r="F4062" i="3"/>
  <c r="F4061" i="3" a="1"/>
  <c r="F4061" i="3"/>
  <c r="F4060" i="3" a="1"/>
  <c r="F4060" i="3"/>
  <c r="F4059" i="3" a="1"/>
  <c r="F4059" i="3"/>
  <c r="F4058" i="3" a="1"/>
  <c r="F4058" i="3"/>
  <c r="F4057" i="3" a="1"/>
  <c r="F4057" i="3"/>
  <c r="F4056" i="3" a="1"/>
  <c r="F4056" i="3"/>
  <c r="F4055" i="3" a="1"/>
  <c r="F4055" i="3"/>
  <c r="F4054" i="3" a="1"/>
  <c r="F4054" i="3"/>
  <c r="F4053" i="3" a="1"/>
  <c r="F4053" i="3"/>
  <c r="F4052" i="3" a="1"/>
  <c r="F4052" i="3"/>
  <c r="F4051" i="3" a="1"/>
  <c r="F4051" i="3"/>
  <c r="F4050" i="3" a="1"/>
  <c r="F4050" i="3"/>
  <c r="F4049" i="3" a="1"/>
  <c r="F4049" i="3"/>
  <c r="F4048" i="3" a="1"/>
  <c r="F4048" i="3"/>
  <c r="F4047" i="3" a="1"/>
  <c r="F4047" i="3"/>
  <c r="F4046" i="3" a="1"/>
  <c r="F4046" i="3"/>
  <c r="F4045" i="3" a="1"/>
  <c r="F4045" i="3"/>
  <c r="F4044" i="3" a="1"/>
  <c r="F4044" i="3"/>
  <c r="F4043" i="3" a="1"/>
  <c r="F4043" i="3"/>
  <c r="F4042" i="3" a="1"/>
  <c r="F4042" i="3"/>
  <c r="F4041" i="3" a="1"/>
  <c r="F4041" i="3"/>
  <c r="F4040" i="3" a="1"/>
  <c r="F4040" i="3"/>
  <c r="F4039" i="3" a="1"/>
  <c r="F4039" i="3"/>
  <c r="F4038" i="3" a="1"/>
  <c r="F4038" i="3"/>
  <c r="F4037" i="3" a="1"/>
  <c r="F4037" i="3"/>
  <c r="F4036" i="3" a="1"/>
  <c r="F4036" i="3"/>
  <c r="F4035" i="3" a="1"/>
  <c r="F4035" i="3"/>
  <c r="F4034" i="3" a="1"/>
  <c r="F4034" i="3"/>
  <c r="F4033" i="3" a="1"/>
  <c r="F4033" i="3"/>
  <c r="F4032" i="3" a="1"/>
  <c r="F4032" i="3"/>
  <c r="F4031" i="3" a="1"/>
  <c r="F4031" i="3"/>
  <c r="F4030" i="3" a="1"/>
  <c r="F4030" i="3"/>
  <c r="F4029" i="3" a="1"/>
  <c r="F4029" i="3"/>
  <c r="F4028" i="3" a="1"/>
  <c r="F4028" i="3"/>
  <c r="F4027" i="3" a="1"/>
  <c r="F4027" i="3"/>
  <c r="F4026" i="3" a="1"/>
  <c r="F4026" i="3"/>
  <c r="F4025" i="3" a="1"/>
  <c r="F4025" i="3"/>
  <c r="F4024" i="3" a="1"/>
  <c r="F4024" i="3"/>
  <c r="F4023" i="3" a="1"/>
  <c r="F4023" i="3"/>
  <c r="F4022" i="3" a="1"/>
  <c r="F4022" i="3"/>
  <c r="F4021" i="3" a="1"/>
  <c r="F4021" i="3"/>
  <c r="F4020" i="3" a="1"/>
  <c r="F4020" i="3"/>
  <c r="F4019" i="3" a="1"/>
  <c r="F4019" i="3"/>
  <c r="F4018" i="3" a="1"/>
  <c r="F4018" i="3"/>
  <c r="F4017" i="3" a="1"/>
  <c r="F4017" i="3"/>
  <c r="F4016" i="3" a="1"/>
  <c r="F4016" i="3"/>
  <c r="F4015" i="3" a="1"/>
  <c r="F4015" i="3"/>
  <c r="F4014" i="3" a="1"/>
  <c r="F4014" i="3"/>
  <c r="F4013" i="3" a="1"/>
  <c r="F4013" i="3"/>
  <c r="F4012" i="3" a="1"/>
  <c r="F4012" i="3"/>
  <c r="F4011" i="3" a="1"/>
  <c r="F4011" i="3"/>
  <c r="F4010" i="3" a="1"/>
  <c r="F4010" i="3"/>
  <c r="F4009" i="3" a="1"/>
  <c r="F4009" i="3"/>
  <c r="F4008" i="3" a="1"/>
  <c r="F4008" i="3"/>
  <c r="F4007" i="3" a="1"/>
  <c r="F4007" i="3"/>
  <c r="F4006" i="3" a="1"/>
  <c r="F4006" i="3"/>
  <c r="F4005" i="3" a="1"/>
  <c r="F4005" i="3"/>
  <c r="F4004" i="3" a="1"/>
  <c r="F4004" i="3"/>
  <c r="F4003" i="3" a="1"/>
  <c r="F4003" i="3"/>
  <c r="F4002" i="3" a="1"/>
  <c r="F4002" i="3"/>
  <c r="F4001" i="3" a="1"/>
  <c r="F4001" i="3"/>
  <c r="F4000" i="3" a="1"/>
  <c r="F4000" i="3"/>
  <c r="F3999" i="3" a="1"/>
  <c r="F3999" i="3"/>
  <c r="F3998" i="3" a="1"/>
  <c r="F3998" i="3"/>
  <c r="F3997" i="3" a="1"/>
  <c r="F3997" i="3"/>
  <c r="F3996" i="3" a="1"/>
  <c r="F3996" i="3"/>
  <c r="F3995" i="3" a="1"/>
  <c r="F3995" i="3"/>
  <c r="F3994" i="3" a="1"/>
  <c r="F3994" i="3"/>
  <c r="F3993" i="3" a="1"/>
  <c r="F3993" i="3"/>
  <c r="F3992" i="3" a="1"/>
  <c r="F3992" i="3"/>
  <c r="F3991" i="3" a="1"/>
  <c r="F3991" i="3"/>
  <c r="F3990" i="3" a="1"/>
  <c r="F3990" i="3"/>
  <c r="F3989" i="3" a="1"/>
  <c r="F3989" i="3"/>
  <c r="F3988" i="3" a="1"/>
  <c r="F3988" i="3"/>
  <c r="F3987" i="3" a="1"/>
  <c r="F3987" i="3"/>
  <c r="F3986" i="3" a="1"/>
  <c r="F3986" i="3"/>
  <c r="F3985" i="3" a="1"/>
  <c r="F3985" i="3"/>
  <c r="F3984" i="3" a="1"/>
  <c r="F3984" i="3"/>
  <c r="F3983" i="3" a="1"/>
  <c r="F3983" i="3"/>
  <c r="F3982" i="3" a="1"/>
  <c r="F3982" i="3"/>
  <c r="F3981" i="3" a="1"/>
  <c r="F3981" i="3"/>
  <c r="F3980" i="3" a="1"/>
  <c r="F3980" i="3"/>
  <c r="F3979" i="3" a="1"/>
  <c r="F3979" i="3"/>
  <c r="F3978" i="3" a="1"/>
  <c r="F3978" i="3"/>
  <c r="F3977" i="3" a="1"/>
  <c r="F3977" i="3"/>
  <c r="F3976" i="3" a="1"/>
  <c r="F3976" i="3"/>
  <c r="F3975" i="3" a="1"/>
  <c r="F3975" i="3"/>
  <c r="F3974" i="3" a="1"/>
  <c r="F3974" i="3"/>
  <c r="F3973" i="3" a="1"/>
  <c r="F3973" i="3"/>
  <c r="F3972" i="3" a="1"/>
  <c r="F3972" i="3"/>
  <c r="F3971" i="3" a="1"/>
  <c r="F3971" i="3"/>
  <c r="F3970" i="3" a="1"/>
  <c r="F3970" i="3"/>
  <c r="F3969" i="3" a="1"/>
  <c r="F3969" i="3"/>
  <c r="F3968" i="3" a="1"/>
  <c r="F3968" i="3"/>
  <c r="F3967" i="3" a="1"/>
  <c r="F3967" i="3"/>
  <c r="F3966" i="3" a="1"/>
  <c r="F3966" i="3"/>
  <c r="F3965" i="3" a="1"/>
  <c r="F3965" i="3"/>
  <c r="F3964" i="3" a="1"/>
  <c r="F3964" i="3"/>
  <c r="F3963" i="3" a="1"/>
  <c r="F3963" i="3"/>
  <c r="F3962" i="3" a="1"/>
  <c r="F3962" i="3"/>
  <c r="F3961" i="3" a="1"/>
  <c r="F3961" i="3"/>
  <c r="F3960" i="3" a="1"/>
  <c r="F3960" i="3"/>
  <c r="F3959" i="3" a="1"/>
  <c r="F3959" i="3"/>
  <c r="F3958" i="3" a="1"/>
  <c r="F3958" i="3"/>
  <c r="F3957" i="3" a="1"/>
  <c r="F3957" i="3"/>
  <c r="F3956" i="3" a="1"/>
  <c r="F3956" i="3"/>
  <c r="F3955" i="3" a="1"/>
  <c r="F3955" i="3"/>
  <c r="F3954" i="3" a="1"/>
  <c r="F3954" i="3"/>
  <c r="F3953" i="3" a="1"/>
  <c r="F3953" i="3"/>
  <c r="F3952" i="3" a="1"/>
  <c r="F3952" i="3"/>
  <c r="F3951" i="3" a="1"/>
  <c r="F3951" i="3"/>
  <c r="F3950" i="3" a="1"/>
  <c r="F3950" i="3"/>
  <c r="F3949" i="3" a="1"/>
  <c r="F3949" i="3"/>
  <c r="F3948" i="3" a="1"/>
  <c r="F3948" i="3"/>
  <c r="F3947" i="3" a="1"/>
  <c r="F3947" i="3"/>
  <c r="F3946" i="3" a="1"/>
  <c r="F3946" i="3"/>
  <c r="F3945" i="3" a="1"/>
  <c r="F3945" i="3"/>
  <c r="F3944" i="3" a="1"/>
  <c r="F3944" i="3"/>
  <c r="F3943" i="3" a="1"/>
  <c r="F3943" i="3"/>
  <c r="F3942" i="3" a="1"/>
  <c r="F3942" i="3"/>
  <c r="F3941" i="3" a="1"/>
  <c r="F3941" i="3"/>
  <c r="F3940" i="3" a="1"/>
  <c r="F3940" i="3"/>
  <c r="F3939" i="3" a="1"/>
  <c r="F3939" i="3"/>
  <c r="F3938" i="3" a="1"/>
  <c r="F3938" i="3"/>
  <c r="F3937" i="3" a="1"/>
  <c r="F3937" i="3"/>
  <c r="F3936" i="3" a="1"/>
  <c r="F3936" i="3"/>
  <c r="F3935" i="3" a="1"/>
  <c r="F3935" i="3"/>
  <c r="F3934" i="3" a="1"/>
  <c r="F3934" i="3"/>
  <c r="F3933" i="3" a="1"/>
  <c r="F3933" i="3"/>
  <c r="F3932" i="3" a="1"/>
  <c r="F3932" i="3"/>
  <c r="F3931" i="3" a="1"/>
  <c r="F3931" i="3"/>
  <c r="F3930" i="3" a="1"/>
  <c r="F3930" i="3"/>
  <c r="F3929" i="3" a="1"/>
  <c r="F3929" i="3"/>
  <c r="F3928" i="3" a="1"/>
  <c r="F3928" i="3"/>
  <c r="F3927" i="3" a="1"/>
  <c r="F3927" i="3"/>
  <c r="F3926" i="3" a="1"/>
  <c r="F3926" i="3"/>
  <c r="F3925" i="3" a="1"/>
  <c r="F3925" i="3"/>
  <c r="F3924" i="3" a="1"/>
  <c r="F3924" i="3"/>
  <c r="F3923" i="3" a="1"/>
  <c r="F3923" i="3"/>
  <c r="F3922" i="3" a="1"/>
  <c r="F3922" i="3"/>
  <c r="F3921" i="3" a="1"/>
  <c r="F3921" i="3"/>
  <c r="F3920" i="3" a="1"/>
  <c r="F3920" i="3"/>
  <c r="F3919" i="3" a="1"/>
  <c r="F3919" i="3"/>
  <c r="F3918" i="3" a="1"/>
  <c r="F3918" i="3"/>
  <c r="F3917" i="3" a="1"/>
  <c r="F3917" i="3"/>
  <c r="F3916" i="3" a="1"/>
  <c r="F3916" i="3"/>
  <c r="F3915" i="3" a="1"/>
  <c r="F3915" i="3"/>
  <c r="F3914" i="3" a="1"/>
  <c r="F3914" i="3"/>
  <c r="F3913" i="3" a="1"/>
  <c r="F3913" i="3"/>
  <c r="F3912" i="3" a="1"/>
  <c r="F3912" i="3"/>
  <c r="F3911" i="3" a="1"/>
  <c r="F3911" i="3"/>
  <c r="F3910" i="3" a="1"/>
  <c r="F3910" i="3"/>
  <c r="F3909" i="3" a="1"/>
  <c r="F3909" i="3"/>
  <c r="F3908" i="3" a="1"/>
  <c r="F3908" i="3"/>
  <c r="F3907" i="3" a="1"/>
  <c r="F3907" i="3"/>
  <c r="F3906" i="3" a="1"/>
  <c r="F3906" i="3"/>
  <c r="F3905" i="3" a="1"/>
  <c r="F3905" i="3"/>
  <c r="F3904" i="3" a="1"/>
  <c r="F3904" i="3"/>
  <c r="F3903" i="3" a="1"/>
  <c r="F3903" i="3"/>
  <c r="F3902" i="3" a="1"/>
  <c r="F3902" i="3"/>
  <c r="F3901" i="3" a="1"/>
  <c r="F3901" i="3"/>
  <c r="F3900" i="3" a="1"/>
  <c r="F3900" i="3"/>
  <c r="F3899" i="3" a="1"/>
  <c r="F3899" i="3"/>
  <c r="F3898" i="3" a="1"/>
  <c r="F3898" i="3"/>
  <c r="F3897" i="3" a="1"/>
  <c r="F3897" i="3"/>
  <c r="F3896" i="3" a="1"/>
  <c r="F3896" i="3"/>
  <c r="F3895" i="3" a="1"/>
  <c r="F3895" i="3"/>
  <c r="F3894" i="3" a="1"/>
  <c r="F3894" i="3"/>
  <c r="F3893" i="3" a="1"/>
  <c r="F3893" i="3"/>
  <c r="F3892" i="3" a="1"/>
  <c r="F3892" i="3"/>
  <c r="F3891" i="3" a="1"/>
  <c r="F3891" i="3"/>
  <c r="F3890" i="3" a="1"/>
  <c r="F3890" i="3"/>
  <c r="F3889" i="3" a="1"/>
  <c r="F3889" i="3"/>
  <c r="F3888" i="3" a="1"/>
  <c r="F3888" i="3"/>
  <c r="F3887" i="3" a="1"/>
  <c r="F3887" i="3"/>
  <c r="F3886" i="3" a="1"/>
  <c r="F3886" i="3"/>
  <c r="F3885" i="3" a="1"/>
  <c r="F3885" i="3"/>
  <c r="F3884" i="3" a="1"/>
  <c r="F3884" i="3"/>
  <c r="F3883" i="3" a="1"/>
  <c r="F3883" i="3"/>
  <c r="F3882" i="3" a="1"/>
  <c r="F3882" i="3"/>
  <c r="F3881" i="3" a="1"/>
  <c r="F3881" i="3"/>
  <c r="F3880" i="3" a="1"/>
  <c r="F3880" i="3"/>
  <c r="F3879" i="3" a="1"/>
  <c r="F3879" i="3"/>
  <c r="F3878" i="3" a="1"/>
  <c r="F3878" i="3"/>
  <c r="F3877" i="3" a="1"/>
  <c r="F3877" i="3"/>
  <c r="F3876" i="3" a="1"/>
  <c r="F3876" i="3"/>
  <c r="F3875" i="3" a="1"/>
  <c r="F3875" i="3"/>
  <c r="F3874" i="3" a="1"/>
  <c r="F3874" i="3"/>
  <c r="F3873" i="3" a="1"/>
  <c r="F3873" i="3"/>
  <c r="F3872" i="3" a="1"/>
  <c r="F3872" i="3"/>
  <c r="F3871" i="3" a="1"/>
  <c r="F3871" i="3"/>
  <c r="F3870" i="3" a="1"/>
  <c r="F3870" i="3"/>
  <c r="F3869" i="3" a="1"/>
  <c r="F3869" i="3"/>
  <c r="F3868" i="3" a="1"/>
  <c r="F3868" i="3"/>
  <c r="F3867" i="3" a="1"/>
  <c r="F3867" i="3"/>
  <c r="F3866" i="3" a="1"/>
  <c r="F3866" i="3"/>
  <c r="F3865" i="3" a="1"/>
  <c r="F3865" i="3"/>
  <c r="F3864" i="3" a="1"/>
  <c r="F3864" i="3"/>
  <c r="F3863" i="3" a="1"/>
  <c r="F3863" i="3"/>
  <c r="F3862" i="3" a="1"/>
  <c r="F3862" i="3"/>
  <c r="F3861" i="3" a="1"/>
  <c r="F3861" i="3"/>
  <c r="F3860" i="3" a="1"/>
  <c r="F3860" i="3"/>
  <c r="F3859" i="3" a="1"/>
  <c r="F3859" i="3"/>
  <c r="F3858" i="3" a="1"/>
  <c r="F3858" i="3"/>
  <c r="F3857" i="3" a="1"/>
  <c r="F3857" i="3"/>
  <c r="F3856" i="3" a="1"/>
  <c r="F3856" i="3"/>
  <c r="F3855" i="3" a="1"/>
  <c r="F3855" i="3"/>
  <c r="F3854" i="3" a="1"/>
  <c r="F3854" i="3"/>
  <c r="F3853" i="3" a="1"/>
  <c r="F3853" i="3"/>
  <c r="F3852" i="3" a="1"/>
  <c r="F3852" i="3"/>
  <c r="F3851" i="3" a="1"/>
  <c r="F3851" i="3"/>
  <c r="F3850" i="3" a="1"/>
  <c r="F3850" i="3"/>
  <c r="F3849" i="3" a="1"/>
  <c r="F3849" i="3"/>
  <c r="F3848" i="3" a="1"/>
  <c r="F3848" i="3"/>
  <c r="F3847" i="3" a="1"/>
  <c r="F3847" i="3"/>
  <c r="F3846" i="3" a="1"/>
  <c r="F3846" i="3"/>
  <c r="F3845" i="3" a="1"/>
  <c r="F3845" i="3"/>
  <c r="F3844" i="3" a="1"/>
  <c r="F3844" i="3"/>
  <c r="F3843" i="3" a="1"/>
  <c r="F3843" i="3"/>
  <c r="F3842" i="3" a="1"/>
  <c r="F3842" i="3"/>
  <c r="F3841" i="3" a="1"/>
  <c r="F3841" i="3"/>
  <c r="F3840" i="3" a="1"/>
  <c r="F3840" i="3"/>
  <c r="F3839" i="3" a="1"/>
  <c r="F3839" i="3"/>
  <c r="F3838" i="3" a="1"/>
  <c r="F3838" i="3"/>
  <c r="F3837" i="3" a="1"/>
  <c r="F3837" i="3"/>
  <c r="F3836" i="3" a="1"/>
  <c r="F3836" i="3"/>
  <c r="F3835" i="3" a="1"/>
  <c r="F3835" i="3"/>
  <c r="F3834" i="3" a="1"/>
  <c r="F3834" i="3"/>
  <c r="F3833" i="3" a="1"/>
  <c r="F3833" i="3"/>
  <c r="F3832" i="3" a="1"/>
  <c r="F3832" i="3"/>
  <c r="F3831" i="3" a="1"/>
  <c r="F3831" i="3"/>
  <c r="F3830" i="3" a="1"/>
  <c r="F3830" i="3"/>
  <c r="F3829" i="3" a="1"/>
  <c r="F3829" i="3"/>
  <c r="F3828" i="3" a="1"/>
  <c r="F3828" i="3"/>
  <c r="F3827" i="3" a="1"/>
  <c r="F3827" i="3"/>
  <c r="F3826" i="3" a="1"/>
  <c r="F3826" i="3"/>
  <c r="F3825" i="3" a="1"/>
  <c r="F3825" i="3"/>
  <c r="F3824" i="3" a="1"/>
  <c r="F3824" i="3"/>
  <c r="F3823" i="3" a="1"/>
  <c r="F3823" i="3"/>
  <c r="F3822" i="3" a="1"/>
  <c r="F3822" i="3"/>
  <c r="F3821" i="3" a="1"/>
  <c r="F3821" i="3"/>
  <c r="F3820" i="3" a="1"/>
  <c r="F3820" i="3"/>
  <c r="F3819" i="3" a="1"/>
  <c r="F3819" i="3"/>
  <c r="F3818" i="3" a="1"/>
  <c r="F3818" i="3"/>
  <c r="F3817" i="3" a="1"/>
  <c r="F3817" i="3"/>
  <c r="F3816" i="3" a="1"/>
  <c r="F3816" i="3"/>
  <c r="F3815" i="3" a="1"/>
  <c r="F3815" i="3"/>
  <c r="F3814" i="3" a="1"/>
  <c r="F3814" i="3"/>
  <c r="F3813" i="3" a="1"/>
  <c r="F3813" i="3"/>
  <c r="F3812" i="3" a="1"/>
  <c r="F3812" i="3"/>
  <c r="F3811" i="3" a="1"/>
  <c r="F3811" i="3"/>
  <c r="F3810" i="3" a="1"/>
  <c r="F3810" i="3"/>
  <c r="F3809" i="3" a="1"/>
  <c r="F3809" i="3"/>
  <c r="F3808" i="3" a="1"/>
  <c r="F3808" i="3"/>
  <c r="F3807" i="3" a="1"/>
  <c r="F3807" i="3"/>
  <c r="F3806" i="3" a="1"/>
  <c r="F3806" i="3"/>
  <c r="F3805" i="3" a="1"/>
  <c r="F3805" i="3"/>
  <c r="F3804" i="3" a="1"/>
  <c r="F3804" i="3"/>
  <c r="F3803" i="3" a="1"/>
  <c r="F3803" i="3"/>
  <c r="F3802" i="3" a="1"/>
  <c r="F3802" i="3"/>
  <c r="F3801" i="3" a="1"/>
  <c r="F3801" i="3"/>
  <c r="F3800" i="3" a="1"/>
  <c r="F3800" i="3"/>
  <c r="F3799" i="3" a="1"/>
  <c r="F3799" i="3"/>
  <c r="F3798" i="3" a="1"/>
  <c r="F3798" i="3"/>
  <c r="F3797" i="3" a="1"/>
  <c r="F3797" i="3"/>
  <c r="F3796" i="3" a="1"/>
  <c r="F3796" i="3"/>
  <c r="F3795" i="3" a="1"/>
  <c r="F3795" i="3"/>
  <c r="F3794" i="3" a="1"/>
  <c r="F3794" i="3"/>
  <c r="F3793" i="3" a="1"/>
  <c r="F3793" i="3"/>
  <c r="F3792" i="3" a="1"/>
  <c r="F3792" i="3"/>
  <c r="F3791" i="3" a="1"/>
  <c r="F3791" i="3"/>
  <c r="F3790" i="3" a="1"/>
  <c r="F3790" i="3"/>
  <c r="F3789" i="3" a="1"/>
  <c r="F3789" i="3"/>
  <c r="F3788" i="3" a="1"/>
  <c r="F3788" i="3"/>
  <c r="F3787" i="3" a="1"/>
  <c r="F3787" i="3"/>
  <c r="F3786" i="3" a="1"/>
  <c r="F3786" i="3"/>
  <c r="F3785" i="3" a="1"/>
  <c r="F3785" i="3"/>
  <c r="F3784" i="3" a="1"/>
  <c r="F3784" i="3"/>
  <c r="F3783" i="3" a="1"/>
  <c r="F3783" i="3"/>
  <c r="F3782" i="3" a="1"/>
  <c r="F3782" i="3"/>
  <c r="F3781" i="3" a="1"/>
  <c r="F3781" i="3"/>
  <c r="F3780" i="3" a="1"/>
  <c r="F3780" i="3"/>
  <c r="F3779" i="3" a="1"/>
  <c r="F3779" i="3"/>
  <c r="F3778" i="3" a="1"/>
  <c r="F3778" i="3"/>
  <c r="F3777" i="3" a="1"/>
  <c r="F3777" i="3"/>
  <c r="F3776" i="3" a="1"/>
  <c r="F3776" i="3"/>
  <c r="F3775" i="3" a="1"/>
  <c r="F3775" i="3"/>
  <c r="F3774" i="3" a="1"/>
  <c r="F3774" i="3"/>
  <c r="F3773" i="3" a="1"/>
  <c r="F3773" i="3"/>
  <c r="F3772" i="3" a="1"/>
  <c r="F3772" i="3"/>
  <c r="F3771" i="3" a="1"/>
  <c r="F3771" i="3"/>
  <c r="F3770" i="3" a="1"/>
  <c r="F3770" i="3"/>
  <c r="F3769" i="3" a="1"/>
  <c r="F3769" i="3"/>
  <c r="F3768" i="3" a="1"/>
  <c r="F3768" i="3"/>
  <c r="F3767" i="3" a="1"/>
  <c r="F3767" i="3"/>
  <c r="F3766" i="3" a="1"/>
  <c r="F3766" i="3"/>
  <c r="F3765" i="3" a="1"/>
  <c r="F3765" i="3"/>
  <c r="F3764" i="3" a="1"/>
  <c r="F3764" i="3"/>
  <c r="F3763" i="3" a="1"/>
  <c r="F3763" i="3"/>
  <c r="F3762" i="3" a="1"/>
  <c r="F3762" i="3"/>
  <c r="F3761" i="3" a="1"/>
  <c r="F3761" i="3"/>
  <c r="F3760" i="3" a="1"/>
  <c r="F3760" i="3"/>
  <c r="F3759" i="3" a="1"/>
  <c r="F3759" i="3"/>
  <c r="F3758" i="3" a="1"/>
  <c r="F3758" i="3"/>
  <c r="F3757" i="3" a="1"/>
  <c r="F3757" i="3"/>
  <c r="F3756" i="3" a="1"/>
  <c r="F3756" i="3"/>
  <c r="F3755" i="3" a="1"/>
  <c r="F3755" i="3"/>
  <c r="F3754" i="3" a="1"/>
  <c r="F3754" i="3"/>
  <c r="F3753" i="3" a="1"/>
  <c r="F3753" i="3"/>
  <c r="F3752" i="3" a="1"/>
  <c r="F3752" i="3"/>
  <c r="F3751" i="3" a="1"/>
  <c r="F3751" i="3"/>
  <c r="F3750" i="3" a="1"/>
  <c r="F3750" i="3"/>
  <c r="F3749" i="3" a="1"/>
  <c r="F3749" i="3"/>
  <c r="F3748" i="3" a="1"/>
  <c r="F3748" i="3"/>
  <c r="F3747" i="3" a="1"/>
  <c r="F3747" i="3"/>
  <c r="F3746" i="3" a="1"/>
  <c r="F3746" i="3"/>
  <c r="F3745" i="3" a="1"/>
  <c r="F3745" i="3"/>
  <c r="F3744" i="3" a="1"/>
  <c r="F3744" i="3"/>
  <c r="F3743" i="3" a="1"/>
  <c r="F3743" i="3"/>
  <c r="F3742" i="3" a="1"/>
  <c r="F3742" i="3"/>
  <c r="F3741" i="3" a="1"/>
  <c r="F3741" i="3"/>
  <c r="F3740" i="3" a="1"/>
  <c r="F3740" i="3"/>
  <c r="F3739" i="3" a="1"/>
  <c r="F3739" i="3"/>
  <c r="F3738" i="3" a="1"/>
  <c r="F3738" i="3"/>
  <c r="F3737" i="3" a="1"/>
  <c r="F3737" i="3"/>
  <c r="F3736" i="3" a="1"/>
  <c r="F3736" i="3"/>
  <c r="F3735" i="3" a="1"/>
  <c r="F3735" i="3"/>
  <c r="F3734" i="3" a="1"/>
  <c r="F3734" i="3"/>
  <c r="F3733" i="3" a="1"/>
  <c r="F3733" i="3"/>
  <c r="F3732" i="3" a="1"/>
  <c r="F3732" i="3"/>
  <c r="F3731" i="3" a="1"/>
  <c r="F3731" i="3"/>
  <c r="F3730" i="3" a="1"/>
  <c r="F3730" i="3"/>
  <c r="F3729" i="3" a="1"/>
  <c r="F3729" i="3"/>
  <c r="F3728" i="3" a="1"/>
  <c r="F3728" i="3"/>
  <c r="F3727" i="3" a="1"/>
  <c r="F3727" i="3"/>
  <c r="F3726" i="3" a="1"/>
  <c r="F3726" i="3"/>
  <c r="F3725" i="3" a="1"/>
  <c r="F3725" i="3"/>
  <c r="F3724" i="3" a="1"/>
  <c r="F3724" i="3"/>
  <c r="F3723" i="3" a="1"/>
  <c r="F3723" i="3"/>
  <c r="F3722" i="3" a="1"/>
  <c r="F3722" i="3"/>
  <c r="F3721" i="3" a="1"/>
  <c r="F3721" i="3"/>
  <c r="F3720" i="3" a="1"/>
  <c r="F3720" i="3"/>
  <c r="F3719" i="3" a="1"/>
  <c r="F3719" i="3"/>
  <c r="F3718" i="3" a="1"/>
  <c r="F3718" i="3"/>
  <c r="F3717" i="3" a="1"/>
  <c r="F3717" i="3"/>
  <c r="F3716" i="3" a="1"/>
  <c r="F3716" i="3"/>
  <c r="F3715" i="3" a="1"/>
  <c r="F3715" i="3"/>
  <c r="F3714" i="3" a="1"/>
  <c r="F3714" i="3"/>
  <c r="F3713" i="3" a="1"/>
  <c r="F3713" i="3"/>
  <c r="F3712" i="3" a="1"/>
  <c r="F3712" i="3"/>
  <c r="F3711" i="3" a="1"/>
  <c r="F3711" i="3"/>
  <c r="F3710" i="3" a="1"/>
  <c r="F3710" i="3"/>
  <c r="F3709" i="3" a="1"/>
  <c r="F3709" i="3"/>
  <c r="F3708" i="3" a="1"/>
  <c r="F3708" i="3"/>
  <c r="F3707" i="3" a="1"/>
  <c r="F3707" i="3"/>
  <c r="F3706" i="3" a="1"/>
  <c r="F3706" i="3"/>
  <c r="F3705" i="3" a="1"/>
  <c r="F3705" i="3"/>
  <c r="F3704" i="3" a="1"/>
  <c r="F3704" i="3"/>
  <c r="F3703" i="3" a="1"/>
  <c r="F3703" i="3"/>
  <c r="F3702" i="3" a="1"/>
  <c r="F3702" i="3"/>
  <c r="F3701" i="3" a="1"/>
  <c r="F3701" i="3"/>
  <c r="F3700" i="3" a="1"/>
  <c r="F3700" i="3"/>
  <c r="F3699" i="3" a="1"/>
  <c r="F3699" i="3"/>
  <c r="F3698" i="3" a="1"/>
  <c r="F3698" i="3"/>
  <c r="F3697" i="3" a="1"/>
  <c r="F3697" i="3"/>
  <c r="F3696" i="3" a="1"/>
  <c r="F3696" i="3"/>
  <c r="F3695" i="3" a="1"/>
  <c r="F3695" i="3"/>
  <c r="F3694" i="3" a="1"/>
  <c r="F3694" i="3"/>
  <c r="F3693" i="3" a="1"/>
  <c r="F3693" i="3"/>
  <c r="F3692" i="3" a="1"/>
  <c r="F3692" i="3"/>
  <c r="F3691" i="3" a="1"/>
  <c r="F3691" i="3"/>
  <c r="F3690" i="3" a="1"/>
  <c r="F3690" i="3"/>
  <c r="F3689" i="3" a="1"/>
  <c r="F3689" i="3"/>
  <c r="F3688" i="3" a="1"/>
  <c r="F3688" i="3"/>
  <c r="F3687" i="3" a="1"/>
  <c r="F3687" i="3"/>
  <c r="F3686" i="3" a="1"/>
  <c r="F3686" i="3"/>
  <c r="F3685" i="3" a="1"/>
  <c r="F3685" i="3"/>
  <c r="F3684" i="3" a="1"/>
  <c r="F3684" i="3"/>
  <c r="F3683" i="3" a="1"/>
  <c r="F3683" i="3"/>
  <c r="F3682" i="3" a="1"/>
  <c r="F3682" i="3"/>
  <c r="F3681" i="3" a="1"/>
  <c r="F3681" i="3"/>
  <c r="F3680" i="3" a="1"/>
  <c r="F3680" i="3"/>
  <c r="F3679" i="3" a="1"/>
  <c r="F3679" i="3"/>
  <c r="F3678" i="3" a="1"/>
  <c r="F3678" i="3"/>
  <c r="F3677" i="3" a="1"/>
  <c r="F3677" i="3"/>
  <c r="F3676" i="3" a="1"/>
  <c r="F3676" i="3"/>
  <c r="F3675" i="3" a="1"/>
  <c r="F3675" i="3"/>
  <c r="F3674" i="3" a="1"/>
  <c r="F3674" i="3"/>
  <c r="F3673" i="3" a="1"/>
  <c r="F3673" i="3"/>
  <c r="F3672" i="3" a="1"/>
  <c r="F3672" i="3"/>
  <c r="F3671" i="3" a="1"/>
  <c r="F3671" i="3"/>
  <c r="F3670" i="3" a="1"/>
  <c r="F3670" i="3"/>
  <c r="F3669" i="3" a="1"/>
  <c r="F3669" i="3"/>
  <c r="F3668" i="3" a="1"/>
  <c r="F3668" i="3"/>
  <c r="F3667" i="3" a="1"/>
  <c r="F3667" i="3"/>
  <c r="F3666" i="3" a="1"/>
  <c r="F3666" i="3"/>
  <c r="F3665" i="3" a="1"/>
  <c r="F3665" i="3"/>
  <c r="F3664" i="3" a="1"/>
  <c r="F3664" i="3"/>
  <c r="F3663" i="3" a="1"/>
  <c r="F3663" i="3"/>
  <c r="F3662" i="3" a="1"/>
  <c r="F3662" i="3"/>
  <c r="F3661" i="3" a="1"/>
  <c r="F3661" i="3"/>
  <c r="F3660" i="3" a="1"/>
  <c r="F3660" i="3"/>
  <c r="F3659" i="3" a="1"/>
  <c r="F3659" i="3"/>
  <c r="F3658" i="3" a="1"/>
  <c r="F3658" i="3"/>
  <c r="F3657" i="3" a="1"/>
  <c r="F3657" i="3"/>
  <c r="F3656" i="3" a="1"/>
  <c r="F3656" i="3"/>
  <c r="F3655" i="3" a="1"/>
  <c r="F3655" i="3"/>
  <c r="F3654" i="3" a="1"/>
  <c r="F3654" i="3"/>
  <c r="F3653" i="3" a="1"/>
  <c r="F3653" i="3"/>
  <c r="F3652" i="3" a="1"/>
  <c r="F3652" i="3"/>
  <c r="F3651" i="3" a="1"/>
  <c r="F3651" i="3"/>
  <c r="F3650" i="3" a="1"/>
  <c r="F3650" i="3"/>
  <c r="F3649" i="3" a="1"/>
  <c r="F3649" i="3"/>
  <c r="F3648" i="3" a="1"/>
  <c r="F3648" i="3"/>
  <c r="F3647" i="3" a="1"/>
  <c r="F3647" i="3"/>
  <c r="F3646" i="3" a="1"/>
  <c r="F3646" i="3"/>
  <c r="F3645" i="3" a="1"/>
  <c r="F3645" i="3"/>
  <c r="F3644" i="3" a="1"/>
  <c r="F3644" i="3"/>
  <c r="F3643" i="3" a="1"/>
  <c r="F3643" i="3"/>
  <c r="F3642" i="3" a="1"/>
  <c r="F3642" i="3"/>
  <c r="F3641" i="3" a="1"/>
  <c r="F3641" i="3"/>
  <c r="F3640" i="3" a="1"/>
  <c r="F3640" i="3"/>
  <c r="F3639" i="3" a="1"/>
  <c r="F3639" i="3"/>
  <c r="F3638" i="3" a="1"/>
  <c r="F3638" i="3"/>
  <c r="F3637" i="3" a="1"/>
  <c r="F3637" i="3"/>
  <c r="F3636" i="3" a="1"/>
  <c r="F3636" i="3"/>
  <c r="F3635" i="3" a="1"/>
  <c r="F3635" i="3"/>
  <c r="F3634" i="3" a="1"/>
  <c r="F3634" i="3"/>
  <c r="F3633" i="3" a="1"/>
  <c r="F3633" i="3"/>
  <c r="F3632" i="3" a="1"/>
  <c r="F3632" i="3"/>
  <c r="F3631" i="3" a="1"/>
  <c r="F3631" i="3"/>
  <c r="F3630" i="3" a="1"/>
  <c r="F3630" i="3"/>
  <c r="F3629" i="3" a="1"/>
  <c r="F3629" i="3"/>
  <c r="F3628" i="3" a="1"/>
  <c r="F3628" i="3"/>
  <c r="F3627" i="3" a="1"/>
  <c r="F3627" i="3"/>
  <c r="F3626" i="3" a="1"/>
  <c r="F3626" i="3"/>
  <c r="F3625" i="3" a="1"/>
  <c r="F3625" i="3"/>
  <c r="F3624" i="3" a="1"/>
  <c r="F3624" i="3"/>
  <c r="F3623" i="3" a="1"/>
  <c r="F3623" i="3"/>
  <c r="F3622" i="3" a="1"/>
  <c r="F3622" i="3"/>
  <c r="F3621" i="3" a="1"/>
  <c r="F3621" i="3"/>
  <c r="F3620" i="3" a="1"/>
  <c r="F3620" i="3"/>
  <c r="F3619" i="3" a="1"/>
  <c r="F3619" i="3"/>
  <c r="F3618" i="3" a="1"/>
  <c r="F3618" i="3"/>
  <c r="F3617" i="3" a="1"/>
  <c r="F3617" i="3"/>
  <c r="F3616" i="3" a="1"/>
  <c r="F3616" i="3"/>
  <c r="F3615" i="3" a="1"/>
  <c r="F3615" i="3"/>
  <c r="F3614" i="3" a="1"/>
  <c r="F3614" i="3"/>
  <c r="F3613" i="3" a="1"/>
  <c r="F3613" i="3"/>
  <c r="F3612" i="3" a="1"/>
  <c r="F3612" i="3"/>
  <c r="F3611" i="3" a="1"/>
  <c r="F3611" i="3"/>
  <c r="F3610" i="3" a="1"/>
  <c r="F3610" i="3"/>
  <c r="F3609" i="3" a="1"/>
  <c r="F3609" i="3"/>
  <c r="F3608" i="3" a="1"/>
  <c r="F3608" i="3"/>
  <c r="F3607" i="3" a="1"/>
  <c r="F3607" i="3"/>
  <c r="F3606" i="3" a="1"/>
  <c r="F3606" i="3"/>
  <c r="F3605" i="3" a="1"/>
  <c r="F3605" i="3"/>
  <c r="F3604" i="3" a="1"/>
  <c r="F3604" i="3"/>
  <c r="F3603" i="3" a="1"/>
  <c r="F3603" i="3"/>
  <c r="F3602" i="3" a="1"/>
  <c r="F3602" i="3"/>
  <c r="F3601" i="3" a="1"/>
  <c r="F3601" i="3"/>
  <c r="F3600" i="3" a="1"/>
  <c r="F3600" i="3"/>
  <c r="F3599" i="3" a="1"/>
  <c r="F3599" i="3"/>
  <c r="F3598" i="3" a="1"/>
  <c r="F3598" i="3"/>
  <c r="F3597" i="3" a="1"/>
  <c r="F3597" i="3"/>
  <c r="F3596" i="3" a="1"/>
  <c r="F3596" i="3"/>
  <c r="F3595" i="3" a="1"/>
  <c r="F3595" i="3"/>
  <c r="F3594" i="3" a="1"/>
  <c r="F3594" i="3"/>
  <c r="F3593" i="3" a="1"/>
  <c r="F3593" i="3"/>
  <c r="F3592" i="3" a="1"/>
  <c r="F3592" i="3"/>
  <c r="F3591" i="3" a="1"/>
  <c r="F3591" i="3"/>
  <c r="F3590" i="3" a="1"/>
  <c r="F3590" i="3"/>
  <c r="F3589" i="3" a="1"/>
  <c r="F3589" i="3"/>
  <c r="F3588" i="3" a="1"/>
  <c r="F3588" i="3"/>
  <c r="F3587" i="3" a="1"/>
  <c r="F3587" i="3"/>
  <c r="F3586" i="3" a="1"/>
  <c r="F3586" i="3"/>
  <c r="F3585" i="3" a="1"/>
  <c r="F3585" i="3"/>
  <c r="F3584" i="3" a="1"/>
  <c r="F3584" i="3"/>
  <c r="F3583" i="3" a="1"/>
  <c r="F3583" i="3"/>
  <c r="F3582" i="3" a="1"/>
  <c r="F3582" i="3"/>
  <c r="F3581" i="3" a="1"/>
  <c r="F3581" i="3"/>
  <c r="F3580" i="3" a="1"/>
  <c r="F3580" i="3"/>
  <c r="F3579" i="3" a="1"/>
  <c r="F3579" i="3"/>
  <c r="F3578" i="3" a="1"/>
  <c r="F3578" i="3"/>
  <c r="F3577" i="3" a="1"/>
  <c r="F3577" i="3"/>
  <c r="F3576" i="3" a="1"/>
  <c r="F3576" i="3"/>
  <c r="F3575" i="3" a="1"/>
  <c r="F3575" i="3"/>
  <c r="F3574" i="3" a="1"/>
  <c r="F3574" i="3"/>
  <c r="F3573" i="3" a="1"/>
  <c r="F3573" i="3"/>
  <c r="F3572" i="3" a="1"/>
  <c r="F3572" i="3"/>
  <c r="F3571" i="3" a="1"/>
  <c r="F3571" i="3"/>
  <c r="F3570" i="3" a="1"/>
  <c r="F3570" i="3"/>
  <c r="F3569" i="3" a="1"/>
  <c r="F3569" i="3"/>
  <c r="F3568" i="3" a="1"/>
  <c r="F3568" i="3"/>
  <c r="F3567" i="3" a="1"/>
  <c r="F3567" i="3"/>
  <c r="F3566" i="3" a="1"/>
  <c r="F3566" i="3"/>
  <c r="F3565" i="3" a="1"/>
  <c r="F3565" i="3"/>
  <c r="F3564" i="3" a="1"/>
  <c r="F3564" i="3"/>
  <c r="F3563" i="3" a="1"/>
  <c r="F3563" i="3"/>
  <c r="F3562" i="3" a="1"/>
  <c r="F3562" i="3"/>
  <c r="F3561" i="3" a="1"/>
  <c r="F3561" i="3"/>
  <c r="F3560" i="3" a="1"/>
  <c r="F3560" i="3"/>
  <c r="F3559" i="3" a="1"/>
  <c r="F3559" i="3"/>
  <c r="F3558" i="3" a="1"/>
  <c r="F3558" i="3"/>
  <c r="F3557" i="3" a="1"/>
  <c r="F3557" i="3"/>
  <c r="F3556" i="3" a="1"/>
  <c r="F3556" i="3"/>
  <c r="F3555" i="3" a="1"/>
  <c r="F3555" i="3"/>
  <c r="F3554" i="3" a="1"/>
  <c r="F3554" i="3"/>
  <c r="F3553" i="3" a="1"/>
  <c r="F3553" i="3"/>
  <c r="F3552" i="3" a="1"/>
  <c r="F3552" i="3"/>
  <c r="F3551" i="3" a="1"/>
  <c r="F3551" i="3"/>
  <c r="F3550" i="3" a="1"/>
  <c r="F3550" i="3"/>
  <c r="F3549" i="3" a="1"/>
  <c r="F3549" i="3"/>
  <c r="F3548" i="3" a="1"/>
  <c r="F3548" i="3"/>
  <c r="F3547" i="3" a="1"/>
  <c r="F3547" i="3"/>
  <c r="F3546" i="3" a="1"/>
  <c r="F3546" i="3"/>
  <c r="F3545" i="3" a="1"/>
  <c r="F3545" i="3"/>
  <c r="F3544" i="3" a="1"/>
  <c r="F3544" i="3"/>
  <c r="F3543" i="3" a="1"/>
  <c r="F3543" i="3"/>
  <c r="F3542" i="3" a="1"/>
  <c r="F3542" i="3"/>
  <c r="F3541" i="3" a="1"/>
  <c r="F3541" i="3"/>
  <c r="F3540" i="3" a="1"/>
  <c r="F3540" i="3"/>
  <c r="F3539" i="3" a="1"/>
  <c r="F3539" i="3"/>
  <c r="F3538" i="3" a="1"/>
  <c r="F3538" i="3"/>
  <c r="F3537" i="3" a="1"/>
  <c r="F3537" i="3"/>
  <c r="F3536" i="3" a="1"/>
  <c r="F3536" i="3"/>
  <c r="F3535" i="3" a="1"/>
  <c r="F3535" i="3"/>
  <c r="F3534" i="3" a="1"/>
  <c r="F3534" i="3"/>
  <c r="F3533" i="3" a="1"/>
  <c r="F3533" i="3"/>
  <c r="F3532" i="3" a="1"/>
  <c r="F3532" i="3"/>
  <c r="F3531" i="3" a="1"/>
  <c r="F3531" i="3"/>
  <c r="F3530" i="3" a="1"/>
  <c r="F3530" i="3"/>
  <c r="F3529" i="3" a="1"/>
  <c r="F3529" i="3"/>
  <c r="F3528" i="3" a="1"/>
  <c r="F3528" i="3"/>
  <c r="F3527" i="3" a="1"/>
  <c r="F3527" i="3"/>
  <c r="F3526" i="3" a="1"/>
  <c r="F3526" i="3"/>
  <c r="F3525" i="3" a="1"/>
  <c r="F3525" i="3"/>
  <c r="F3524" i="3" a="1"/>
  <c r="F3524" i="3"/>
  <c r="F3523" i="3" a="1"/>
  <c r="F3523" i="3"/>
  <c r="F3522" i="3" a="1"/>
  <c r="F3522" i="3"/>
  <c r="F3521" i="3" a="1"/>
  <c r="F3521" i="3"/>
  <c r="F3520" i="3" a="1"/>
  <c r="F3520" i="3"/>
  <c r="F3519" i="3" a="1"/>
  <c r="F3519" i="3"/>
  <c r="F3518" i="3" a="1"/>
  <c r="F3518" i="3"/>
  <c r="F3517" i="3" a="1"/>
  <c r="F3517" i="3"/>
  <c r="F3516" i="3" a="1"/>
  <c r="F3516" i="3"/>
  <c r="F3515" i="3" a="1"/>
  <c r="F3515" i="3"/>
  <c r="F3514" i="3" a="1"/>
  <c r="F3514" i="3"/>
  <c r="F3513" i="3" a="1"/>
  <c r="F3513" i="3"/>
  <c r="F3512" i="3" a="1"/>
  <c r="F3512" i="3"/>
  <c r="F3511" i="3" a="1"/>
  <c r="F3511" i="3"/>
  <c r="F3510" i="3" a="1"/>
  <c r="F3510" i="3"/>
  <c r="F3509" i="3" a="1"/>
  <c r="F3509" i="3"/>
  <c r="F3508" i="3" a="1"/>
  <c r="F3508" i="3"/>
  <c r="F3507" i="3" a="1"/>
  <c r="F3507" i="3"/>
  <c r="F3506" i="3" a="1"/>
  <c r="F3506" i="3"/>
  <c r="F3505" i="3" a="1"/>
  <c r="F3505" i="3"/>
  <c r="F3504" i="3" a="1"/>
  <c r="F3504" i="3"/>
  <c r="F3503" i="3" a="1"/>
  <c r="F3503" i="3"/>
  <c r="F3502" i="3" a="1"/>
  <c r="F3502" i="3"/>
  <c r="F3501" i="3" a="1"/>
  <c r="F3501" i="3"/>
  <c r="F3500" i="3" a="1"/>
  <c r="F3500" i="3"/>
  <c r="F3499" i="3" a="1"/>
  <c r="F3499" i="3"/>
  <c r="F3498" i="3" a="1"/>
  <c r="F3498" i="3"/>
  <c r="F3497" i="3" a="1"/>
  <c r="F3497" i="3"/>
  <c r="F3496" i="3" a="1"/>
  <c r="F3496" i="3"/>
  <c r="F3495" i="3" a="1"/>
  <c r="F3495" i="3"/>
  <c r="F3494" i="3" a="1"/>
  <c r="F3494" i="3"/>
  <c r="F3493" i="3" a="1"/>
  <c r="F3493" i="3"/>
  <c r="F3492" i="3" a="1"/>
  <c r="F3492" i="3"/>
  <c r="F3491" i="3" a="1"/>
  <c r="F3491" i="3"/>
  <c r="F3490" i="3" a="1"/>
  <c r="F3490" i="3"/>
  <c r="F3489" i="3" a="1"/>
  <c r="F3489" i="3"/>
  <c r="F3488" i="3" a="1"/>
  <c r="F3488" i="3"/>
  <c r="F3487" i="3" a="1"/>
  <c r="F3487" i="3"/>
  <c r="F3486" i="3" a="1"/>
  <c r="F3486" i="3"/>
  <c r="F3485" i="3" a="1"/>
  <c r="F3485" i="3"/>
  <c r="F3484" i="3" a="1"/>
  <c r="F3484" i="3"/>
  <c r="F3483" i="3" a="1"/>
  <c r="F3483" i="3"/>
  <c r="F3482" i="3" a="1"/>
  <c r="F3482" i="3"/>
  <c r="F3481" i="3" a="1"/>
  <c r="F3481" i="3"/>
  <c r="F3480" i="3" a="1"/>
  <c r="F3480" i="3"/>
  <c r="F3479" i="3" a="1"/>
  <c r="F3479" i="3"/>
  <c r="F3478" i="3" a="1"/>
  <c r="F3478" i="3"/>
  <c r="F3477" i="3" a="1"/>
  <c r="F3477" i="3"/>
  <c r="F3476" i="3" a="1"/>
  <c r="F3476" i="3"/>
  <c r="F3475" i="3" a="1"/>
  <c r="F3475" i="3"/>
  <c r="F3474" i="3" a="1"/>
  <c r="F3474" i="3"/>
  <c r="F3473" i="3" a="1"/>
  <c r="F3473" i="3"/>
  <c r="F3472" i="3" a="1"/>
  <c r="F3472" i="3"/>
  <c r="F3471" i="3" a="1"/>
  <c r="F3471" i="3"/>
  <c r="F3470" i="3" a="1"/>
  <c r="F3470" i="3"/>
  <c r="F3469" i="3" a="1"/>
  <c r="F3469" i="3"/>
  <c r="F3468" i="3" a="1"/>
  <c r="F3468" i="3"/>
  <c r="F3467" i="3" a="1"/>
  <c r="F3467" i="3"/>
  <c r="F3466" i="3" a="1"/>
  <c r="F3466" i="3"/>
  <c r="F3465" i="3" a="1"/>
  <c r="F3465" i="3"/>
  <c r="F3464" i="3" a="1"/>
  <c r="F3464" i="3"/>
  <c r="F3463" i="3" a="1"/>
  <c r="F3463" i="3"/>
  <c r="F3462" i="3" a="1"/>
  <c r="F3462" i="3"/>
  <c r="F3461" i="3" a="1"/>
  <c r="F3461" i="3"/>
  <c r="F3460" i="3" a="1"/>
  <c r="F3460" i="3"/>
  <c r="F3459" i="3" a="1"/>
  <c r="F3459" i="3"/>
  <c r="F3458" i="3" a="1"/>
  <c r="F3458" i="3"/>
  <c r="F3457" i="3" a="1"/>
  <c r="F3457" i="3"/>
  <c r="F3456" i="3" a="1"/>
  <c r="F3456" i="3"/>
  <c r="F3455" i="3" a="1"/>
  <c r="F3455" i="3"/>
  <c r="F3454" i="3" a="1"/>
  <c r="F3454" i="3"/>
  <c r="F3453" i="3" a="1"/>
  <c r="F3453" i="3"/>
  <c r="F3452" i="3" a="1"/>
  <c r="F3452" i="3"/>
  <c r="F3451" i="3" a="1"/>
  <c r="F3451" i="3"/>
  <c r="F3450" i="3" a="1"/>
  <c r="F3450" i="3"/>
  <c r="F3449" i="3" a="1"/>
  <c r="F3449" i="3"/>
  <c r="F3448" i="3" a="1"/>
  <c r="F3448" i="3"/>
  <c r="F3447" i="3" a="1"/>
  <c r="F3447" i="3"/>
  <c r="F3446" i="3" a="1"/>
  <c r="F3446" i="3"/>
  <c r="F3445" i="3" a="1"/>
  <c r="F3445" i="3"/>
  <c r="F3444" i="3" a="1"/>
  <c r="F3444" i="3"/>
  <c r="F3443" i="3" a="1"/>
  <c r="F3443" i="3"/>
  <c r="F3442" i="3" a="1"/>
  <c r="F3442" i="3"/>
  <c r="F3441" i="3" a="1"/>
  <c r="F3441" i="3"/>
  <c r="F3440" i="3" a="1"/>
  <c r="F3440" i="3"/>
  <c r="F3439" i="3" a="1"/>
  <c r="F3439" i="3"/>
  <c r="F3438" i="3" a="1"/>
  <c r="F3438" i="3"/>
  <c r="F3437" i="3" a="1"/>
  <c r="F3437" i="3"/>
  <c r="F3436" i="3" a="1"/>
  <c r="F3436" i="3"/>
  <c r="F3435" i="3" a="1"/>
  <c r="F3435" i="3"/>
  <c r="F3434" i="3" a="1"/>
  <c r="F3434" i="3"/>
  <c r="F3433" i="3" a="1"/>
  <c r="F3433" i="3"/>
  <c r="F3432" i="3" a="1"/>
  <c r="F3432" i="3"/>
  <c r="F3431" i="3" a="1"/>
  <c r="F3431" i="3"/>
  <c r="F3430" i="3" a="1"/>
  <c r="F3430" i="3"/>
  <c r="F3429" i="3" a="1"/>
  <c r="F3429" i="3"/>
  <c r="F3428" i="3" a="1"/>
  <c r="F3428" i="3"/>
  <c r="F3427" i="3" a="1"/>
  <c r="F3427" i="3"/>
  <c r="F3426" i="3" a="1"/>
  <c r="F3426" i="3"/>
  <c r="F3425" i="3" a="1"/>
  <c r="F3425" i="3"/>
  <c r="F3424" i="3" a="1"/>
  <c r="F3424" i="3"/>
  <c r="F3423" i="3" a="1"/>
  <c r="F3423" i="3"/>
  <c r="F3422" i="3" a="1"/>
  <c r="F3422" i="3"/>
  <c r="F3421" i="3" a="1"/>
  <c r="F3421" i="3"/>
  <c r="F3420" i="3" a="1"/>
  <c r="F3420" i="3"/>
  <c r="F3419" i="3" a="1"/>
  <c r="F3419" i="3"/>
  <c r="F3418" i="3" a="1"/>
  <c r="F3418" i="3"/>
  <c r="F3417" i="3" a="1"/>
  <c r="F3417" i="3"/>
  <c r="F3416" i="3" a="1"/>
  <c r="F3416" i="3"/>
  <c r="F3415" i="3" a="1"/>
  <c r="F3415" i="3"/>
  <c r="F3414" i="3" a="1"/>
  <c r="F3414" i="3"/>
  <c r="F3413" i="3" a="1"/>
  <c r="F3413" i="3"/>
  <c r="F3412" i="3" a="1"/>
  <c r="F3412" i="3"/>
  <c r="F3411" i="3" a="1"/>
  <c r="F3411" i="3"/>
  <c r="F3410" i="3" a="1"/>
  <c r="F3410" i="3"/>
  <c r="F3409" i="3" a="1"/>
  <c r="F3409" i="3"/>
  <c r="F3408" i="3" a="1"/>
  <c r="F3408" i="3"/>
  <c r="F3407" i="3" a="1"/>
  <c r="F3407" i="3"/>
  <c r="F3406" i="3" a="1"/>
  <c r="F3406" i="3"/>
  <c r="F3405" i="3" a="1"/>
  <c r="F3405" i="3"/>
  <c r="F3404" i="3" a="1"/>
  <c r="F3404" i="3"/>
  <c r="F3403" i="3" a="1"/>
  <c r="F3403" i="3"/>
  <c r="F3402" i="3" a="1"/>
  <c r="F3402" i="3"/>
  <c r="F3401" i="3" a="1"/>
  <c r="F3401" i="3"/>
  <c r="F3400" i="3" a="1"/>
  <c r="F3400" i="3"/>
  <c r="F3399" i="3" a="1"/>
  <c r="F3399" i="3"/>
  <c r="F3398" i="3" a="1"/>
  <c r="F3398" i="3"/>
  <c r="F3397" i="3" a="1"/>
  <c r="F3397" i="3"/>
  <c r="F3396" i="3" a="1"/>
  <c r="F3396" i="3"/>
  <c r="F3395" i="3" a="1"/>
  <c r="F3395" i="3"/>
  <c r="F3394" i="3" a="1"/>
  <c r="F3394" i="3"/>
  <c r="F3393" i="3" a="1"/>
  <c r="F3393" i="3"/>
  <c r="F3392" i="3" a="1"/>
  <c r="F3392" i="3"/>
  <c r="F3391" i="3" a="1"/>
  <c r="F3391" i="3"/>
  <c r="F3390" i="3" a="1"/>
  <c r="F3390" i="3"/>
  <c r="F3389" i="3" a="1"/>
  <c r="F3389" i="3"/>
  <c r="F3388" i="3" a="1"/>
  <c r="F3388" i="3"/>
  <c r="F3387" i="3" a="1"/>
  <c r="F3387" i="3"/>
  <c r="F3386" i="3" a="1"/>
  <c r="F3386" i="3"/>
  <c r="F3385" i="3" a="1"/>
  <c r="F3385" i="3"/>
  <c r="F3384" i="3" a="1"/>
  <c r="F3384" i="3"/>
  <c r="F3383" i="3" a="1"/>
  <c r="F3383" i="3"/>
  <c r="F3382" i="3" a="1"/>
  <c r="F3382" i="3"/>
  <c r="F3381" i="3" a="1"/>
  <c r="F3381" i="3"/>
  <c r="F3380" i="3" a="1"/>
  <c r="F3380" i="3"/>
  <c r="F3379" i="3" a="1"/>
  <c r="F3379" i="3"/>
  <c r="F3378" i="3" a="1"/>
  <c r="F3378" i="3"/>
  <c r="F3377" i="3" a="1"/>
  <c r="F3377" i="3"/>
  <c r="F3376" i="3" a="1"/>
  <c r="F3376" i="3"/>
  <c r="F3375" i="3" a="1"/>
  <c r="F3375" i="3"/>
  <c r="F3374" i="3" a="1"/>
  <c r="F3374" i="3"/>
  <c r="F3373" i="3" a="1"/>
  <c r="F3373" i="3"/>
  <c r="F3372" i="3" a="1"/>
  <c r="F3372" i="3"/>
  <c r="F3371" i="3" a="1"/>
  <c r="F3371" i="3"/>
  <c r="F3370" i="3" a="1"/>
  <c r="F3370" i="3"/>
  <c r="F3369" i="3" a="1"/>
  <c r="F3369" i="3"/>
  <c r="F3368" i="3" a="1"/>
  <c r="F3368" i="3"/>
  <c r="F3367" i="3" a="1"/>
  <c r="F3367" i="3"/>
  <c r="F3366" i="3" a="1"/>
  <c r="F3366" i="3"/>
  <c r="F3365" i="3" a="1"/>
  <c r="F3365" i="3"/>
  <c r="F3364" i="3" a="1"/>
  <c r="F3364" i="3"/>
  <c r="F3363" i="3" a="1"/>
  <c r="F3363" i="3"/>
  <c r="F3362" i="3" a="1"/>
  <c r="F3362" i="3"/>
  <c r="F3361" i="3" a="1"/>
  <c r="F3361" i="3"/>
  <c r="F3360" i="3" a="1"/>
  <c r="F3360" i="3"/>
  <c r="F3359" i="3" a="1"/>
  <c r="F3359" i="3"/>
  <c r="F3358" i="3" a="1"/>
  <c r="F3358" i="3"/>
  <c r="F3357" i="3" a="1"/>
  <c r="F3357" i="3"/>
  <c r="F3356" i="3" a="1"/>
  <c r="F3356" i="3"/>
  <c r="F3355" i="3" a="1"/>
  <c r="F3355" i="3"/>
  <c r="F3354" i="3" a="1"/>
  <c r="F3354" i="3"/>
  <c r="F3353" i="3" a="1"/>
  <c r="F3353" i="3"/>
  <c r="F3352" i="3" a="1"/>
  <c r="F3352" i="3"/>
  <c r="F3351" i="3" a="1"/>
  <c r="F3351" i="3"/>
  <c r="F3350" i="3" a="1"/>
  <c r="F3350" i="3"/>
  <c r="F3349" i="3" a="1"/>
  <c r="F3349" i="3"/>
  <c r="F3348" i="3" a="1"/>
  <c r="F3348" i="3"/>
  <c r="F3347" i="3" a="1"/>
  <c r="F3347" i="3"/>
  <c r="F3346" i="3" a="1"/>
  <c r="F3346" i="3"/>
  <c r="F3345" i="3" a="1"/>
  <c r="F3345" i="3"/>
  <c r="F3344" i="3" a="1"/>
  <c r="F3344" i="3"/>
  <c r="F3343" i="3" a="1"/>
  <c r="F3343" i="3"/>
  <c r="F3342" i="3" a="1"/>
  <c r="F3342" i="3"/>
  <c r="F3341" i="3" a="1"/>
  <c r="F3341" i="3"/>
  <c r="F3340" i="3" a="1"/>
  <c r="F3340" i="3"/>
  <c r="F3339" i="3" a="1"/>
  <c r="F3339" i="3"/>
  <c r="F3338" i="3" a="1"/>
  <c r="F3338" i="3"/>
  <c r="F3337" i="3" a="1"/>
  <c r="F3337" i="3"/>
  <c r="F3336" i="3" a="1"/>
  <c r="F3336" i="3"/>
  <c r="F3335" i="3" a="1"/>
  <c r="F3335" i="3"/>
  <c r="F3334" i="3" a="1"/>
  <c r="F3334" i="3"/>
  <c r="F3333" i="3" a="1"/>
  <c r="F3333" i="3"/>
  <c r="F3332" i="3" a="1"/>
  <c r="F3332" i="3"/>
  <c r="F3331" i="3" a="1"/>
  <c r="F3331" i="3"/>
  <c r="F3330" i="3" a="1"/>
  <c r="F3330" i="3"/>
  <c r="F3329" i="3" a="1"/>
  <c r="F3329" i="3"/>
  <c r="F3328" i="3" a="1"/>
  <c r="F3328" i="3"/>
  <c r="F3327" i="3" a="1"/>
  <c r="F3327" i="3"/>
  <c r="F3326" i="3" a="1"/>
  <c r="F3326" i="3"/>
  <c r="F3325" i="3" a="1"/>
  <c r="F3325" i="3"/>
  <c r="F3324" i="3" a="1"/>
  <c r="F3324" i="3"/>
  <c r="F3323" i="3" a="1"/>
  <c r="F3323" i="3"/>
  <c r="F3322" i="3" a="1"/>
  <c r="F3322" i="3"/>
  <c r="F3321" i="3" a="1"/>
  <c r="F3321" i="3"/>
  <c r="F3320" i="3" a="1"/>
  <c r="F3320" i="3"/>
  <c r="F3319" i="3" a="1"/>
  <c r="F3319" i="3"/>
  <c r="F3318" i="3" a="1"/>
  <c r="F3318" i="3"/>
  <c r="F3317" i="3" a="1"/>
  <c r="F3317" i="3"/>
  <c r="F3316" i="3" a="1"/>
  <c r="F3316" i="3"/>
  <c r="F3315" i="3" a="1"/>
  <c r="F3315" i="3"/>
  <c r="F3314" i="3" a="1"/>
  <c r="F3314" i="3"/>
  <c r="F3313" i="3" a="1"/>
  <c r="F3313" i="3"/>
  <c r="F3312" i="3" a="1"/>
  <c r="F3312" i="3"/>
  <c r="F3311" i="3" a="1"/>
  <c r="F3311" i="3"/>
  <c r="F3310" i="3" a="1"/>
  <c r="F3310" i="3"/>
  <c r="F3309" i="3" a="1"/>
  <c r="F3309" i="3"/>
  <c r="F3308" i="3" a="1"/>
  <c r="F3308" i="3"/>
  <c r="F3307" i="3" a="1"/>
  <c r="F3307" i="3"/>
  <c r="F3306" i="3" a="1"/>
  <c r="F3306" i="3"/>
  <c r="F3305" i="3" a="1"/>
  <c r="F3305" i="3"/>
  <c r="F3304" i="3" a="1"/>
  <c r="F3304" i="3"/>
  <c r="F3303" i="3" a="1"/>
  <c r="F3303" i="3"/>
  <c r="F3302" i="3" a="1"/>
  <c r="F3302" i="3"/>
  <c r="F3301" i="3" a="1"/>
  <c r="F3301" i="3"/>
  <c r="F3300" i="3" a="1"/>
  <c r="F3300" i="3"/>
  <c r="F3299" i="3" a="1"/>
  <c r="F3299" i="3"/>
  <c r="F3298" i="3" a="1"/>
  <c r="F3298" i="3"/>
  <c r="F3297" i="3" a="1"/>
  <c r="F3297" i="3"/>
  <c r="F3296" i="3" a="1"/>
  <c r="F3296" i="3"/>
  <c r="F3295" i="3" a="1"/>
  <c r="F3295" i="3"/>
  <c r="F3294" i="3" a="1"/>
  <c r="F3294" i="3"/>
  <c r="F3293" i="3" a="1"/>
  <c r="F3293" i="3"/>
  <c r="F3292" i="3" a="1"/>
  <c r="F3292" i="3"/>
  <c r="F3291" i="3" a="1"/>
  <c r="F3291" i="3"/>
  <c r="F3290" i="3" a="1"/>
  <c r="F3290" i="3"/>
  <c r="F3289" i="3" a="1"/>
  <c r="F3289" i="3"/>
  <c r="F3288" i="3" a="1"/>
  <c r="F3288" i="3"/>
  <c r="F3287" i="3" a="1"/>
  <c r="F3287" i="3"/>
  <c r="F3286" i="3" a="1"/>
  <c r="F3286" i="3"/>
  <c r="F3285" i="3" a="1"/>
  <c r="F3285" i="3"/>
  <c r="F3284" i="3" a="1"/>
  <c r="F3284" i="3"/>
  <c r="F3283" i="3" a="1"/>
  <c r="F3283" i="3"/>
  <c r="F3282" i="3" a="1"/>
  <c r="F3282" i="3"/>
  <c r="F3281" i="3" a="1"/>
  <c r="F3281" i="3"/>
  <c r="F3280" i="3" a="1"/>
  <c r="F3280" i="3"/>
  <c r="F3279" i="3" a="1"/>
  <c r="F3279" i="3"/>
  <c r="F3278" i="3" a="1"/>
  <c r="F3278" i="3"/>
  <c r="F3277" i="3" a="1"/>
  <c r="F3277" i="3"/>
  <c r="F3276" i="3" a="1"/>
  <c r="F3276" i="3"/>
  <c r="F3275" i="3" a="1"/>
  <c r="F3275" i="3"/>
  <c r="F3274" i="3" a="1"/>
  <c r="F3274" i="3"/>
  <c r="F3273" i="3" a="1"/>
  <c r="F3273" i="3"/>
  <c r="F3272" i="3" a="1"/>
  <c r="F3272" i="3"/>
  <c r="F3271" i="3" a="1"/>
  <c r="F3271" i="3"/>
  <c r="F3270" i="3" a="1"/>
  <c r="F3270" i="3"/>
  <c r="F3269" i="3" a="1"/>
  <c r="F3269" i="3"/>
  <c r="F3268" i="3" a="1"/>
  <c r="F3268" i="3"/>
  <c r="F3267" i="3" a="1"/>
  <c r="F3267" i="3"/>
  <c r="F3266" i="3" a="1"/>
  <c r="F3266" i="3"/>
  <c r="F3265" i="3" a="1"/>
  <c r="F3265" i="3"/>
  <c r="F3264" i="3" a="1"/>
  <c r="F3264" i="3"/>
  <c r="F3263" i="3" a="1"/>
  <c r="F3263" i="3"/>
  <c r="F3262" i="3" a="1"/>
  <c r="F3262" i="3"/>
  <c r="F3261" i="3" a="1"/>
  <c r="F3261" i="3"/>
  <c r="F3260" i="3" a="1"/>
  <c r="F3260" i="3"/>
  <c r="F3259" i="3" a="1"/>
  <c r="F3259" i="3"/>
  <c r="F3258" i="3" a="1"/>
  <c r="F3258" i="3"/>
  <c r="F3257" i="3" a="1"/>
  <c r="F3257" i="3"/>
  <c r="F3256" i="3" a="1"/>
  <c r="F3256" i="3"/>
  <c r="F3255" i="3" a="1"/>
  <c r="F3255" i="3"/>
  <c r="F3254" i="3" a="1"/>
  <c r="F3254" i="3"/>
  <c r="F3253" i="3" a="1"/>
  <c r="F3253" i="3"/>
  <c r="F3252" i="3" a="1"/>
  <c r="F3252" i="3"/>
  <c r="F3251" i="3" a="1"/>
  <c r="F3251" i="3"/>
  <c r="F3250" i="3" a="1"/>
  <c r="F3250" i="3"/>
  <c r="F3249" i="3" a="1"/>
  <c r="F3249" i="3"/>
  <c r="F3248" i="3" a="1"/>
  <c r="F3248" i="3"/>
  <c r="F3247" i="3" a="1"/>
  <c r="F3247" i="3"/>
  <c r="F3246" i="3" a="1"/>
  <c r="F3246" i="3"/>
  <c r="F3245" i="3" a="1"/>
  <c r="F3245" i="3"/>
  <c r="F3244" i="3" a="1"/>
  <c r="F3244" i="3"/>
  <c r="F3243" i="3" a="1"/>
  <c r="F3243" i="3"/>
  <c r="F3242" i="3" a="1"/>
  <c r="F3242" i="3"/>
  <c r="F3241" i="3" a="1"/>
  <c r="F3241" i="3"/>
  <c r="F3240" i="3" a="1"/>
  <c r="F3240" i="3"/>
  <c r="F3239" i="3" a="1"/>
  <c r="F3239" i="3"/>
  <c r="F3238" i="3" a="1"/>
  <c r="F3238" i="3"/>
  <c r="F3237" i="3" a="1"/>
  <c r="F3237" i="3"/>
  <c r="F3236" i="3" a="1"/>
  <c r="F3236" i="3"/>
  <c r="F3235" i="3" a="1"/>
  <c r="F3235" i="3"/>
  <c r="F3234" i="3" a="1"/>
  <c r="F3234" i="3"/>
  <c r="F3233" i="3" a="1"/>
  <c r="F3233" i="3"/>
  <c r="F3232" i="3" a="1"/>
  <c r="F3232" i="3"/>
  <c r="F3231" i="3" a="1"/>
  <c r="F3231" i="3"/>
  <c r="F3230" i="3" a="1"/>
  <c r="F3230" i="3"/>
  <c r="F3229" i="3" a="1"/>
  <c r="F3229" i="3"/>
  <c r="F3228" i="3" a="1"/>
  <c r="F3228" i="3"/>
  <c r="F3227" i="3" a="1"/>
  <c r="F3227" i="3"/>
  <c r="F3226" i="3" a="1"/>
  <c r="F3226" i="3"/>
  <c r="F3225" i="3" a="1"/>
  <c r="F3225" i="3"/>
  <c r="F3224" i="3" a="1"/>
  <c r="F3224" i="3"/>
  <c r="F3223" i="3" a="1"/>
  <c r="F3223" i="3"/>
  <c r="F3222" i="3" a="1"/>
  <c r="F3222" i="3"/>
  <c r="F3221" i="3" a="1"/>
  <c r="F3221" i="3"/>
  <c r="F3220" i="3" a="1"/>
  <c r="F3220" i="3"/>
  <c r="F3219" i="3" a="1"/>
  <c r="F3219" i="3"/>
  <c r="F3218" i="3" a="1"/>
  <c r="F3218" i="3"/>
  <c r="F3217" i="3" a="1"/>
  <c r="F3217" i="3"/>
  <c r="F3216" i="3" a="1"/>
  <c r="F3216" i="3"/>
  <c r="F3215" i="3" a="1"/>
  <c r="F3215" i="3"/>
  <c r="F3214" i="3" a="1"/>
  <c r="F3214" i="3"/>
  <c r="F3213" i="3" a="1"/>
  <c r="F3213" i="3"/>
  <c r="F3212" i="3" a="1"/>
  <c r="F3212" i="3"/>
  <c r="F3211" i="3" a="1"/>
  <c r="F3211" i="3"/>
  <c r="F3210" i="3" a="1"/>
  <c r="F3210" i="3"/>
  <c r="F3209" i="3" a="1"/>
  <c r="F3209" i="3"/>
  <c r="F3208" i="3" a="1"/>
  <c r="F3208" i="3"/>
  <c r="F3207" i="3" a="1"/>
  <c r="F3207" i="3"/>
  <c r="F3206" i="3" a="1"/>
  <c r="F3206" i="3"/>
  <c r="F3205" i="3" a="1"/>
  <c r="F3205" i="3"/>
  <c r="F3204" i="3" a="1"/>
  <c r="F3204" i="3"/>
  <c r="F3203" i="3" a="1"/>
  <c r="F3203" i="3"/>
  <c r="F3202" i="3" a="1"/>
  <c r="F3202" i="3"/>
  <c r="F3201" i="3" a="1"/>
  <c r="F3201" i="3"/>
  <c r="F3200" i="3" a="1"/>
  <c r="F3200" i="3"/>
  <c r="F3199" i="3" a="1"/>
  <c r="F3199" i="3"/>
  <c r="F3198" i="3" a="1"/>
  <c r="F3198" i="3"/>
  <c r="F3197" i="3" a="1"/>
  <c r="F3197" i="3"/>
  <c r="F3196" i="3" a="1"/>
  <c r="F3196" i="3"/>
  <c r="F3195" i="3" a="1"/>
  <c r="F3195" i="3"/>
  <c r="F3194" i="3" a="1"/>
  <c r="F3194" i="3"/>
  <c r="F3193" i="3" a="1"/>
  <c r="F3193" i="3"/>
  <c r="F3192" i="3" a="1"/>
  <c r="F3192" i="3"/>
  <c r="F3191" i="3" a="1"/>
  <c r="F3191" i="3"/>
  <c r="F3190" i="3" a="1"/>
  <c r="F3190" i="3"/>
  <c r="F3189" i="3" a="1"/>
  <c r="F3189" i="3"/>
  <c r="F3188" i="3" a="1"/>
  <c r="F3188" i="3"/>
  <c r="F3187" i="3" a="1"/>
  <c r="F3187" i="3"/>
  <c r="F3186" i="3" a="1"/>
  <c r="F3186" i="3"/>
  <c r="F3185" i="3" a="1"/>
  <c r="F3185" i="3"/>
  <c r="F3184" i="3" a="1"/>
  <c r="F3184" i="3"/>
  <c r="F3183" i="3" a="1"/>
  <c r="F3183" i="3"/>
  <c r="F3182" i="3" a="1"/>
  <c r="F3182" i="3"/>
  <c r="F3181" i="3" a="1"/>
  <c r="F3181" i="3"/>
  <c r="F3180" i="3" a="1"/>
  <c r="F3180" i="3"/>
  <c r="F3179" i="3" a="1"/>
  <c r="F3179" i="3"/>
  <c r="F3178" i="3" a="1"/>
  <c r="F3178" i="3"/>
  <c r="F3177" i="3" a="1"/>
  <c r="F3177" i="3"/>
  <c r="F3176" i="3" a="1"/>
  <c r="F3176" i="3"/>
  <c r="F3175" i="3" a="1"/>
  <c r="F3175" i="3"/>
  <c r="F3174" i="3" a="1"/>
  <c r="F3174" i="3"/>
  <c r="F3173" i="3" a="1"/>
  <c r="F3173" i="3"/>
  <c r="F3172" i="3" a="1"/>
  <c r="F3172" i="3"/>
  <c r="F3171" i="3" a="1"/>
  <c r="F3171" i="3"/>
  <c r="F3170" i="3" a="1"/>
  <c r="F3170" i="3"/>
  <c r="F3169" i="3" a="1"/>
  <c r="F3169" i="3"/>
  <c r="F3168" i="3" a="1"/>
  <c r="F3168" i="3"/>
  <c r="F3167" i="3" a="1"/>
  <c r="F3167" i="3"/>
  <c r="F3166" i="3" a="1"/>
  <c r="F3166" i="3"/>
  <c r="F3165" i="3" a="1"/>
  <c r="F3165" i="3"/>
  <c r="F3164" i="3" a="1"/>
  <c r="F3164" i="3"/>
  <c r="F3163" i="3" a="1"/>
  <c r="F3163" i="3"/>
  <c r="F3162" i="3" a="1"/>
  <c r="F3162" i="3"/>
  <c r="F3161" i="3" a="1"/>
  <c r="F3161" i="3"/>
  <c r="F3160" i="3" a="1"/>
  <c r="F3160" i="3"/>
  <c r="F3159" i="3" a="1"/>
  <c r="F3159" i="3"/>
  <c r="F3158" i="3" a="1"/>
  <c r="F3158" i="3"/>
  <c r="F3157" i="3" a="1"/>
  <c r="F3157" i="3"/>
  <c r="F3156" i="3" a="1"/>
  <c r="F3156" i="3"/>
  <c r="F3155" i="3" a="1"/>
  <c r="F3155" i="3"/>
  <c r="F3154" i="3" a="1"/>
  <c r="F3154" i="3"/>
  <c r="F3153" i="3" a="1"/>
  <c r="F3153" i="3"/>
  <c r="F3152" i="3" a="1"/>
  <c r="F3152" i="3"/>
  <c r="F3151" i="3" a="1"/>
  <c r="F3151" i="3"/>
  <c r="F3150" i="3" a="1"/>
  <c r="F3150" i="3"/>
  <c r="F3149" i="3" a="1"/>
  <c r="F3149" i="3"/>
  <c r="F3148" i="3" a="1"/>
  <c r="F3148" i="3"/>
  <c r="F3147" i="3" a="1"/>
  <c r="F3147" i="3"/>
  <c r="F3146" i="3" a="1"/>
  <c r="F3146" i="3"/>
  <c r="F3145" i="3" a="1"/>
  <c r="F3145" i="3"/>
  <c r="F3144" i="3" a="1"/>
  <c r="F3144" i="3"/>
  <c r="F3143" i="3" a="1"/>
  <c r="F3143" i="3"/>
  <c r="F3142" i="3" a="1"/>
  <c r="F3142" i="3"/>
  <c r="F3141" i="3" a="1"/>
  <c r="F3141" i="3"/>
  <c r="F3140" i="3" a="1"/>
  <c r="F3140" i="3"/>
  <c r="F3139" i="3" a="1"/>
  <c r="F3139" i="3"/>
  <c r="F3138" i="3" a="1"/>
  <c r="F3138" i="3"/>
  <c r="F3137" i="3" a="1"/>
  <c r="F3137" i="3"/>
  <c r="F3136" i="3" a="1"/>
  <c r="F3136" i="3"/>
  <c r="F3135" i="3" a="1"/>
  <c r="F3135" i="3"/>
  <c r="F3134" i="3" a="1"/>
  <c r="F3134" i="3"/>
  <c r="F3133" i="3" a="1"/>
  <c r="F3133" i="3"/>
  <c r="F3132" i="3" a="1"/>
  <c r="F3132" i="3"/>
  <c r="F3131" i="3" a="1"/>
  <c r="F3131" i="3"/>
  <c r="F3130" i="3" a="1"/>
  <c r="F3130" i="3"/>
  <c r="F3129" i="3" a="1"/>
  <c r="F3129" i="3"/>
  <c r="F3128" i="3" a="1"/>
  <c r="F3128" i="3"/>
  <c r="F3127" i="3" a="1"/>
  <c r="F3127" i="3"/>
  <c r="F3126" i="3" a="1"/>
  <c r="F3126" i="3"/>
  <c r="F3125" i="3" a="1"/>
  <c r="F3125" i="3"/>
  <c r="F3124" i="3" a="1"/>
  <c r="F3124" i="3"/>
  <c r="F3123" i="3" a="1"/>
  <c r="F3123" i="3"/>
  <c r="F3122" i="3" a="1"/>
  <c r="F3122" i="3"/>
  <c r="F3121" i="3" a="1"/>
  <c r="F3121" i="3"/>
  <c r="F3120" i="3" a="1"/>
  <c r="F3120" i="3"/>
  <c r="F3119" i="3" a="1"/>
  <c r="F3119" i="3"/>
  <c r="F3118" i="3" a="1"/>
  <c r="F3118" i="3"/>
  <c r="F3117" i="3" a="1"/>
  <c r="F3117" i="3"/>
  <c r="F3116" i="3" a="1"/>
  <c r="F3116" i="3"/>
  <c r="F3115" i="3" a="1"/>
  <c r="F3115" i="3"/>
  <c r="F3114" i="3" a="1"/>
  <c r="F3114" i="3"/>
  <c r="F3113" i="3" a="1"/>
  <c r="F3113" i="3"/>
  <c r="F3112" i="3" a="1"/>
  <c r="F3112" i="3"/>
  <c r="F3111" i="3" a="1"/>
  <c r="F3111" i="3"/>
  <c r="F3110" i="3" a="1"/>
  <c r="F3110" i="3"/>
  <c r="F3109" i="3" a="1"/>
  <c r="F3109" i="3"/>
  <c r="F3108" i="3" a="1"/>
  <c r="F3108" i="3"/>
  <c r="F3107" i="3" a="1"/>
  <c r="F3107" i="3"/>
  <c r="F3106" i="3" a="1"/>
  <c r="F3106" i="3"/>
  <c r="F3105" i="3" a="1"/>
  <c r="F3105" i="3"/>
  <c r="F3104" i="3" a="1"/>
  <c r="F3104" i="3"/>
  <c r="F3103" i="3" a="1"/>
  <c r="F3103" i="3"/>
  <c r="F3102" i="3" a="1"/>
  <c r="F3102" i="3"/>
  <c r="F3101" i="3" a="1"/>
  <c r="F3101" i="3"/>
  <c r="F3100" i="3" a="1"/>
  <c r="F3100" i="3"/>
  <c r="F3099" i="3" a="1"/>
  <c r="F3099" i="3"/>
  <c r="F3098" i="3" a="1"/>
  <c r="F3098" i="3"/>
  <c r="F3097" i="3" a="1"/>
  <c r="F3097" i="3"/>
  <c r="F3096" i="3" a="1"/>
  <c r="F3096" i="3"/>
  <c r="F3095" i="3" a="1"/>
  <c r="F3095" i="3"/>
  <c r="F3094" i="3" a="1"/>
  <c r="F3094" i="3"/>
  <c r="F3093" i="3" a="1"/>
  <c r="F3093" i="3"/>
  <c r="F3092" i="3" a="1"/>
  <c r="F3092" i="3"/>
  <c r="F3091" i="3" a="1"/>
  <c r="F3091" i="3"/>
  <c r="F3090" i="3" a="1"/>
  <c r="F3090" i="3"/>
  <c r="F3089" i="3" a="1"/>
  <c r="F3089" i="3"/>
  <c r="F3088" i="3" a="1"/>
  <c r="F3088" i="3"/>
  <c r="F3087" i="3" a="1"/>
  <c r="F3087" i="3"/>
  <c r="F3086" i="3" a="1"/>
  <c r="F3086" i="3"/>
  <c r="F3085" i="3" a="1"/>
  <c r="F3085" i="3"/>
  <c r="F3084" i="3" a="1"/>
  <c r="F3084" i="3"/>
  <c r="F3083" i="3" a="1"/>
  <c r="F3083" i="3"/>
  <c r="F3082" i="3" a="1"/>
  <c r="F3082" i="3"/>
  <c r="F3081" i="3" a="1"/>
  <c r="F3081" i="3"/>
  <c r="F3080" i="3" a="1"/>
  <c r="F3080" i="3"/>
  <c r="F3079" i="3" a="1"/>
  <c r="F3079" i="3"/>
  <c r="F3078" i="3" a="1"/>
  <c r="F3078" i="3"/>
  <c r="F3077" i="3" a="1"/>
  <c r="F3077" i="3"/>
  <c r="F3076" i="3" a="1"/>
  <c r="F3076" i="3"/>
  <c r="F3075" i="3" a="1"/>
  <c r="F3075" i="3"/>
  <c r="F3074" i="3" a="1"/>
  <c r="F3074" i="3"/>
  <c r="F3073" i="3" a="1"/>
  <c r="F3073" i="3"/>
  <c r="F3072" i="3" a="1"/>
  <c r="F3072" i="3"/>
  <c r="F3071" i="3" a="1"/>
  <c r="F3071" i="3"/>
  <c r="F3070" i="3" a="1"/>
  <c r="F3070" i="3"/>
  <c r="F3069" i="3" a="1"/>
  <c r="F3069" i="3"/>
  <c r="F3068" i="3" a="1"/>
  <c r="F3068" i="3"/>
  <c r="F3067" i="3" a="1"/>
  <c r="F3067" i="3"/>
  <c r="F3066" i="3" a="1"/>
  <c r="F3066" i="3"/>
  <c r="F3065" i="3" a="1"/>
  <c r="F3065" i="3"/>
  <c r="F3064" i="3" a="1"/>
  <c r="F3064" i="3"/>
  <c r="F3063" i="3" a="1"/>
  <c r="F3063" i="3"/>
  <c r="F3062" i="3" a="1"/>
  <c r="F3062" i="3"/>
  <c r="F3061" i="3" a="1"/>
  <c r="F3061" i="3"/>
  <c r="F3060" i="3" a="1"/>
  <c r="F3060" i="3"/>
  <c r="F3059" i="3" a="1"/>
  <c r="F3059" i="3"/>
  <c r="F3058" i="3" a="1"/>
  <c r="F3058" i="3"/>
  <c r="F3057" i="3" a="1"/>
  <c r="F3057" i="3"/>
  <c r="F3056" i="3" a="1"/>
  <c r="F3056" i="3"/>
  <c r="F3055" i="3" a="1"/>
  <c r="F3055" i="3"/>
  <c r="F3054" i="3" a="1"/>
  <c r="F3054" i="3"/>
  <c r="F3053" i="3" a="1"/>
  <c r="F3053" i="3"/>
  <c r="F3052" i="3" a="1"/>
  <c r="F3052" i="3"/>
  <c r="F3051" i="3" a="1"/>
  <c r="F3051" i="3"/>
  <c r="F3050" i="3" a="1"/>
  <c r="F3050" i="3"/>
  <c r="F3049" i="3" a="1"/>
  <c r="F3049" i="3"/>
  <c r="F3048" i="3" a="1"/>
  <c r="F3048" i="3"/>
  <c r="F3047" i="3" a="1"/>
  <c r="F3047" i="3"/>
  <c r="F3046" i="3" a="1"/>
  <c r="F3046" i="3"/>
  <c r="F3045" i="3" a="1"/>
  <c r="F3045" i="3"/>
  <c r="F3044" i="3" a="1"/>
  <c r="F3044" i="3"/>
  <c r="F3043" i="3" a="1"/>
  <c r="F3043" i="3"/>
  <c r="F3042" i="3" a="1"/>
  <c r="F3042" i="3"/>
  <c r="F3041" i="3" a="1"/>
  <c r="F3041" i="3"/>
  <c r="F3040" i="3" a="1"/>
  <c r="F3040" i="3"/>
  <c r="F3039" i="3" a="1"/>
  <c r="F3039" i="3"/>
  <c r="F3038" i="3" a="1"/>
  <c r="F3038" i="3"/>
  <c r="F3037" i="3" a="1"/>
  <c r="F3037" i="3"/>
  <c r="F3036" i="3" a="1"/>
  <c r="F3036" i="3"/>
  <c r="F3035" i="3" a="1"/>
  <c r="F3035" i="3"/>
  <c r="F3034" i="3" a="1"/>
  <c r="F3034" i="3"/>
  <c r="F3033" i="3" a="1"/>
  <c r="F3033" i="3"/>
  <c r="F3032" i="3" a="1"/>
  <c r="F3032" i="3"/>
  <c r="F3031" i="3" a="1"/>
  <c r="F3031" i="3"/>
  <c r="F3030" i="3" a="1"/>
  <c r="F3030" i="3"/>
  <c r="F3029" i="3" a="1"/>
  <c r="F3029" i="3"/>
  <c r="F3028" i="3" a="1"/>
  <c r="F3028" i="3"/>
  <c r="F3027" i="3" a="1"/>
  <c r="F3027" i="3"/>
  <c r="F3026" i="3" a="1"/>
  <c r="F3026" i="3"/>
  <c r="F3025" i="3" a="1"/>
  <c r="F3025" i="3"/>
  <c r="F3024" i="3" a="1"/>
  <c r="F3024" i="3"/>
  <c r="F3023" i="3" a="1"/>
  <c r="F3023" i="3"/>
  <c r="F3022" i="3" a="1"/>
  <c r="F3022" i="3"/>
  <c r="F3021" i="3" a="1"/>
  <c r="F3021" i="3"/>
  <c r="F3020" i="3" a="1"/>
  <c r="F3020" i="3"/>
  <c r="F3019" i="3" a="1"/>
  <c r="F3019" i="3"/>
  <c r="F3018" i="3" a="1"/>
  <c r="F3018" i="3"/>
  <c r="F3017" i="3" a="1"/>
  <c r="F3017" i="3"/>
  <c r="F3016" i="3" a="1"/>
  <c r="F3016" i="3"/>
  <c r="F3015" i="3" a="1"/>
  <c r="F3015" i="3"/>
  <c r="F3014" i="3" a="1"/>
  <c r="F3014" i="3"/>
  <c r="F3013" i="3" a="1"/>
  <c r="F3013" i="3"/>
  <c r="F3012" i="3" a="1"/>
  <c r="F3012" i="3"/>
  <c r="F3011" i="3" a="1"/>
  <c r="F3011" i="3"/>
  <c r="F3010" i="3" a="1"/>
  <c r="F3010" i="3"/>
  <c r="F3009" i="3" a="1"/>
  <c r="F3009" i="3"/>
  <c r="F3008" i="3" a="1"/>
  <c r="F3008" i="3"/>
  <c r="F3007" i="3" a="1"/>
  <c r="F3007" i="3"/>
  <c r="F3006" i="3" a="1"/>
  <c r="F3006" i="3"/>
  <c r="F3005" i="3" a="1"/>
  <c r="F3005" i="3"/>
  <c r="F3004" i="3" a="1"/>
  <c r="F3004" i="3"/>
  <c r="F3003" i="3" a="1"/>
  <c r="F3003" i="3"/>
  <c r="F3002" i="3" a="1"/>
  <c r="F3002" i="3"/>
  <c r="F3001" i="3" a="1"/>
  <c r="F3001" i="3"/>
  <c r="F3000" i="3" a="1"/>
  <c r="F3000" i="3"/>
  <c r="F2999" i="3" a="1"/>
  <c r="F2999" i="3"/>
  <c r="F2998" i="3" a="1"/>
  <c r="F2998" i="3"/>
  <c r="F2997" i="3" a="1"/>
  <c r="F2997" i="3"/>
  <c r="F2996" i="3" a="1"/>
  <c r="F2996" i="3"/>
  <c r="F2995" i="3" a="1"/>
  <c r="F2995" i="3"/>
  <c r="F2994" i="3" a="1"/>
  <c r="F2994" i="3"/>
  <c r="F2993" i="3" a="1"/>
  <c r="F2993" i="3"/>
  <c r="F2992" i="3" a="1"/>
  <c r="F2992" i="3"/>
  <c r="F2991" i="3" a="1"/>
  <c r="F2991" i="3"/>
  <c r="F2990" i="3" a="1"/>
  <c r="F2990" i="3"/>
  <c r="F2989" i="3" a="1"/>
  <c r="F2989" i="3"/>
  <c r="F2988" i="3" a="1"/>
  <c r="F2988" i="3"/>
  <c r="F2987" i="3" a="1"/>
  <c r="F2987" i="3"/>
  <c r="F2986" i="3" a="1"/>
  <c r="F2986" i="3"/>
  <c r="F2985" i="3" a="1"/>
  <c r="F2985" i="3"/>
  <c r="F2984" i="3" a="1"/>
  <c r="F2984" i="3"/>
  <c r="F2983" i="3" a="1"/>
  <c r="F2983" i="3"/>
  <c r="F2982" i="3" a="1"/>
  <c r="F2982" i="3"/>
  <c r="F2981" i="3" a="1"/>
  <c r="F2981" i="3"/>
  <c r="F2980" i="3" a="1"/>
  <c r="F2980" i="3"/>
  <c r="F2979" i="3" a="1"/>
  <c r="F2979" i="3"/>
  <c r="F2978" i="3" a="1"/>
  <c r="F2978" i="3"/>
  <c r="F2977" i="3" a="1"/>
  <c r="F2977" i="3"/>
  <c r="F2976" i="3" a="1"/>
  <c r="F2976" i="3"/>
  <c r="F2975" i="3" a="1"/>
  <c r="F2975" i="3"/>
  <c r="F2974" i="3" a="1"/>
  <c r="F2974" i="3"/>
  <c r="F2973" i="3" a="1"/>
  <c r="F2973" i="3"/>
  <c r="F2972" i="3" a="1"/>
  <c r="F2972" i="3"/>
  <c r="F2971" i="3" a="1"/>
  <c r="F2971" i="3"/>
  <c r="F2970" i="3" a="1"/>
  <c r="F2970" i="3"/>
  <c r="F2969" i="3" a="1"/>
  <c r="F2969" i="3"/>
  <c r="F2968" i="3" a="1"/>
  <c r="F2968" i="3"/>
  <c r="F2967" i="3" a="1"/>
  <c r="F2967" i="3"/>
  <c r="F2966" i="3" a="1"/>
  <c r="F2966" i="3"/>
  <c r="F2965" i="3" a="1"/>
  <c r="F2965" i="3"/>
  <c r="F2964" i="3" a="1"/>
  <c r="F2964" i="3"/>
  <c r="F2963" i="3" a="1"/>
  <c r="F2963" i="3"/>
  <c r="F2962" i="3" a="1"/>
  <c r="F2962" i="3"/>
  <c r="F2961" i="3" a="1"/>
  <c r="F2961" i="3"/>
  <c r="F2960" i="3" a="1"/>
  <c r="F2960" i="3"/>
  <c r="F2959" i="3" a="1"/>
  <c r="F2959" i="3"/>
  <c r="F2958" i="3" a="1"/>
  <c r="F2958" i="3"/>
  <c r="F2957" i="3" a="1"/>
  <c r="F2957" i="3"/>
  <c r="F2956" i="3" a="1"/>
  <c r="F2956" i="3"/>
  <c r="F2955" i="3" a="1"/>
  <c r="F2955" i="3"/>
  <c r="F2954" i="3" a="1"/>
  <c r="F2954" i="3"/>
  <c r="F2953" i="3" a="1"/>
  <c r="F2953" i="3"/>
  <c r="F2952" i="3" a="1"/>
  <c r="F2952" i="3"/>
  <c r="F2951" i="3" a="1"/>
  <c r="F2951" i="3"/>
  <c r="F2950" i="3" a="1"/>
  <c r="F2950" i="3"/>
  <c r="F2949" i="3" a="1"/>
  <c r="F2949" i="3"/>
  <c r="F2948" i="3" a="1"/>
  <c r="F2948" i="3"/>
  <c r="F2947" i="3" a="1"/>
  <c r="F2947" i="3"/>
  <c r="F2946" i="3" a="1"/>
  <c r="F2946" i="3"/>
  <c r="F2945" i="3" a="1"/>
  <c r="F2945" i="3"/>
  <c r="F2944" i="3" a="1"/>
  <c r="F2944" i="3"/>
  <c r="F2943" i="3" a="1"/>
  <c r="F2943" i="3"/>
  <c r="F2942" i="3" a="1"/>
  <c r="F2942" i="3"/>
  <c r="F2941" i="3" a="1"/>
  <c r="F2941" i="3"/>
  <c r="F2940" i="3" a="1"/>
  <c r="F2940" i="3"/>
  <c r="F2939" i="3" a="1"/>
  <c r="F2939" i="3"/>
  <c r="F2938" i="3" a="1"/>
  <c r="F2938" i="3"/>
  <c r="F2937" i="3" a="1"/>
  <c r="F2937" i="3"/>
  <c r="F2936" i="3" a="1"/>
  <c r="F2936" i="3"/>
  <c r="F2935" i="3" a="1"/>
  <c r="F2935" i="3"/>
  <c r="F2934" i="3" a="1"/>
  <c r="F2934" i="3"/>
  <c r="F2933" i="3" a="1"/>
  <c r="F2933" i="3"/>
  <c r="F2932" i="3" a="1"/>
  <c r="F2932" i="3"/>
  <c r="F2931" i="3" a="1"/>
  <c r="F2931" i="3"/>
  <c r="F2930" i="3" a="1"/>
  <c r="F2930" i="3"/>
  <c r="F2929" i="3" a="1"/>
  <c r="F2929" i="3"/>
  <c r="F2928" i="3" a="1"/>
  <c r="F2928" i="3"/>
  <c r="F2927" i="3" a="1"/>
  <c r="F2927" i="3"/>
  <c r="F2926" i="3" a="1"/>
  <c r="F2926" i="3"/>
  <c r="F2925" i="3" a="1"/>
  <c r="F2925" i="3"/>
  <c r="F2924" i="3" a="1"/>
  <c r="F2924" i="3"/>
  <c r="F2923" i="3" a="1"/>
  <c r="F2923" i="3"/>
  <c r="F2922" i="3" a="1"/>
  <c r="F2922" i="3"/>
  <c r="F2921" i="3" a="1"/>
  <c r="F2921" i="3"/>
  <c r="F2920" i="3" a="1"/>
  <c r="F2920" i="3"/>
  <c r="F2919" i="3" a="1"/>
  <c r="F2919" i="3"/>
  <c r="F2918" i="3" a="1"/>
  <c r="F2918" i="3"/>
  <c r="F2917" i="3" a="1"/>
  <c r="F2917" i="3"/>
  <c r="F2916" i="3" a="1"/>
  <c r="F2916" i="3"/>
  <c r="F2915" i="3" a="1"/>
  <c r="F2915" i="3"/>
  <c r="F2914" i="3" a="1"/>
  <c r="F2914" i="3"/>
  <c r="F2913" i="3" a="1"/>
  <c r="F2913" i="3"/>
  <c r="F2912" i="3" a="1"/>
  <c r="F2912" i="3"/>
  <c r="F2911" i="3" a="1"/>
  <c r="F2911" i="3"/>
  <c r="F2910" i="3" a="1"/>
  <c r="F2910" i="3"/>
  <c r="F2909" i="3" a="1"/>
  <c r="F2909" i="3"/>
  <c r="F2908" i="3" a="1"/>
  <c r="F2908" i="3"/>
  <c r="F2907" i="3" a="1"/>
  <c r="F2907" i="3"/>
  <c r="F2906" i="3" a="1"/>
  <c r="F2906" i="3"/>
  <c r="F2905" i="3" a="1"/>
  <c r="F2905" i="3"/>
  <c r="F2904" i="3" a="1"/>
  <c r="F2904" i="3"/>
  <c r="F2903" i="3" a="1"/>
  <c r="F2903" i="3"/>
  <c r="F2902" i="3" a="1"/>
  <c r="F2902" i="3"/>
  <c r="F2901" i="3" a="1"/>
  <c r="F2901" i="3"/>
  <c r="F2900" i="3" a="1"/>
  <c r="F2900" i="3"/>
  <c r="F2899" i="3" a="1"/>
  <c r="F2899" i="3"/>
  <c r="F2898" i="3" a="1"/>
  <c r="F2898" i="3"/>
  <c r="F2897" i="3" a="1"/>
  <c r="F2897" i="3"/>
  <c r="F2896" i="3" a="1"/>
  <c r="F2896" i="3"/>
  <c r="F2895" i="3" a="1"/>
  <c r="F2895" i="3"/>
  <c r="F2894" i="3" a="1"/>
  <c r="F2894" i="3"/>
  <c r="F2893" i="3" a="1"/>
  <c r="F2893" i="3"/>
  <c r="F2892" i="3" a="1"/>
  <c r="F2892" i="3"/>
  <c r="F2891" i="3" a="1"/>
  <c r="F2891" i="3"/>
  <c r="F2890" i="3" a="1"/>
  <c r="F2890" i="3"/>
  <c r="F2889" i="3" a="1"/>
  <c r="F2889" i="3"/>
  <c r="F2888" i="3" a="1"/>
  <c r="F2888" i="3"/>
  <c r="F2887" i="3" a="1"/>
  <c r="F2887" i="3"/>
  <c r="F2886" i="3" a="1"/>
  <c r="F2886" i="3"/>
  <c r="F2885" i="3" a="1"/>
  <c r="F2885" i="3"/>
  <c r="F2884" i="3" a="1"/>
  <c r="F2884" i="3"/>
  <c r="F2883" i="3" a="1"/>
  <c r="F2883" i="3"/>
  <c r="F2882" i="3" a="1"/>
  <c r="F2882" i="3"/>
  <c r="F2881" i="3" a="1"/>
  <c r="F2881" i="3"/>
  <c r="F2880" i="3" a="1"/>
  <c r="F2880" i="3"/>
  <c r="F2879" i="3" a="1"/>
  <c r="F2879" i="3"/>
  <c r="F2878" i="3" a="1"/>
  <c r="F2878" i="3"/>
  <c r="F2877" i="3" a="1"/>
  <c r="F2877" i="3"/>
  <c r="F2876" i="3" a="1"/>
  <c r="F2876" i="3"/>
  <c r="F2875" i="3" a="1"/>
  <c r="F2875" i="3"/>
  <c r="F2874" i="3" a="1"/>
  <c r="F2874" i="3"/>
  <c r="F2873" i="3" a="1"/>
  <c r="F2873" i="3"/>
  <c r="F2872" i="3" a="1"/>
  <c r="F2872" i="3"/>
  <c r="F2871" i="3" a="1"/>
  <c r="F2871" i="3"/>
  <c r="F2870" i="3" a="1"/>
  <c r="F2870" i="3"/>
  <c r="F2869" i="3" a="1"/>
  <c r="F2869" i="3"/>
  <c r="F2868" i="3" a="1"/>
  <c r="F2868" i="3"/>
  <c r="F2867" i="3" a="1"/>
  <c r="F2867" i="3"/>
  <c r="F2866" i="3" a="1"/>
  <c r="F2866" i="3"/>
  <c r="F2865" i="3" a="1"/>
  <c r="F2865" i="3"/>
  <c r="F2864" i="3" a="1"/>
  <c r="F2864" i="3"/>
  <c r="F2863" i="3" a="1"/>
  <c r="F2863" i="3"/>
  <c r="F2862" i="3" a="1"/>
  <c r="F2862" i="3"/>
  <c r="F2861" i="3" a="1"/>
  <c r="F2861" i="3"/>
  <c r="F2860" i="3" a="1"/>
  <c r="F2860" i="3"/>
  <c r="F2859" i="3" a="1"/>
  <c r="F2859" i="3"/>
  <c r="F2858" i="3" a="1"/>
  <c r="F2858" i="3"/>
  <c r="F2857" i="3" a="1"/>
  <c r="F2857" i="3"/>
  <c r="F2856" i="3" a="1"/>
  <c r="F2856" i="3"/>
  <c r="F2855" i="3" a="1"/>
  <c r="F2855" i="3"/>
  <c r="F2854" i="3" a="1"/>
  <c r="F2854" i="3"/>
  <c r="F2853" i="3" a="1"/>
  <c r="F2853" i="3"/>
  <c r="F2852" i="3" a="1"/>
  <c r="F2852" i="3"/>
  <c r="F2851" i="3" a="1"/>
  <c r="F2851" i="3"/>
  <c r="F2850" i="3" a="1"/>
  <c r="F2850" i="3"/>
  <c r="F2849" i="3" a="1"/>
  <c r="F2849" i="3"/>
  <c r="F2848" i="3" a="1"/>
  <c r="F2848" i="3"/>
  <c r="F2847" i="3" a="1"/>
  <c r="F2847" i="3"/>
  <c r="F2846" i="3" a="1"/>
  <c r="F2846" i="3"/>
  <c r="F2845" i="3" a="1"/>
  <c r="F2845" i="3"/>
  <c r="F2844" i="3" a="1"/>
  <c r="F2844" i="3"/>
  <c r="F2843" i="3" a="1"/>
  <c r="F2843" i="3"/>
  <c r="F2842" i="3" a="1"/>
  <c r="F2842" i="3"/>
  <c r="F2841" i="3" a="1"/>
  <c r="F2841" i="3"/>
  <c r="F2840" i="3" a="1"/>
  <c r="F2840" i="3"/>
  <c r="F2839" i="3" a="1"/>
  <c r="F2839" i="3"/>
  <c r="F2838" i="3" a="1"/>
  <c r="F2838" i="3"/>
  <c r="F2837" i="3" a="1"/>
  <c r="F2837" i="3"/>
  <c r="F2836" i="3" a="1"/>
  <c r="F2836" i="3"/>
  <c r="F2835" i="3" a="1"/>
  <c r="F2835" i="3"/>
  <c r="F2834" i="3" a="1"/>
  <c r="F2834" i="3"/>
  <c r="F2833" i="3" a="1"/>
  <c r="F2833" i="3"/>
  <c r="F2832" i="3" a="1"/>
  <c r="F2832" i="3"/>
  <c r="F2831" i="3" a="1"/>
  <c r="F2831" i="3"/>
  <c r="F2830" i="3" a="1"/>
  <c r="F2830" i="3"/>
  <c r="F2829" i="3" a="1"/>
  <c r="F2829" i="3"/>
  <c r="F2828" i="3" a="1"/>
  <c r="F2828" i="3"/>
  <c r="F2827" i="3" a="1"/>
  <c r="F2827" i="3"/>
  <c r="F2826" i="3" a="1"/>
  <c r="F2826" i="3"/>
  <c r="F2825" i="3" a="1"/>
  <c r="F2825" i="3"/>
  <c r="F2824" i="3" a="1"/>
  <c r="F2824" i="3"/>
  <c r="F2823" i="3" a="1"/>
  <c r="F2823" i="3"/>
  <c r="F2822" i="3" a="1"/>
  <c r="F2822" i="3"/>
  <c r="F2821" i="3" a="1"/>
  <c r="F2821" i="3"/>
  <c r="F2820" i="3" a="1"/>
  <c r="F2820" i="3"/>
  <c r="F2819" i="3" a="1"/>
  <c r="F2819" i="3"/>
  <c r="F2818" i="3" a="1"/>
  <c r="F2818" i="3"/>
  <c r="F2817" i="3" a="1"/>
  <c r="F2817" i="3"/>
  <c r="F2816" i="3" a="1"/>
  <c r="F2816" i="3"/>
  <c r="F2815" i="3" a="1"/>
  <c r="F2815" i="3"/>
  <c r="F2814" i="3" a="1"/>
  <c r="F2814" i="3"/>
  <c r="F2813" i="3" a="1"/>
  <c r="F2813" i="3"/>
  <c r="F2812" i="3" a="1"/>
  <c r="F2812" i="3"/>
  <c r="F2811" i="3" a="1"/>
  <c r="F2811" i="3"/>
  <c r="F2810" i="3" a="1"/>
  <c r="F2810" i="3"/>
  <c r="F2809" i="3" a="1"/>
  <c r="F2809" i="3"/>
  <c r="F2808" i="3" a="1"/>
  <c r="F2808" i="3"/>
  <c r="F2807" i="3" a="1"/>
  <c r="F2807" i="3"/>
  <c r="F2806" i="3" a="1"/>
  <c r="F2806" i="3"/>
  <c r="F2805" i="3" a="1"/>
  <c r="F2805" i="3"/>
  <c r="F2804" i="3" a="1"/>
  <c r="F2804" i="3"/>
  <c r="F2803" i="3" a="1"/>
  <c r="F2803" i="3"/>
  <c r="F2802" i="3" a="1"/>
  <c r="F2802" i="3"/>
  <c r="F2801" i="3" a="1"/>
  <c r="F2801" i="3"/>
  <c r="F2800" i="3" a="1"/>
  <c r="F2800" i="3"/>
  <c r="F2799" i="3" a="1"/>
  <c r="F2799" i="3"/>
  <c r="F2798" i="3" a="1"/>
  <c r="F2798" i="3"/>
  <c r="F2797" i="3" a="1"/>
  <c r="F2797" i="3"/>
  <c r="F2796" i="3" a="1"/>
  <c r="F2796" i="3"/>
  <c r="F2795" i="3" a="1"/>
  <c r="F2795" i="3"/>
  <c r="F2794" i="3" a="1"/>
  <c r="F2794" i="3"/>
  <c r="F2793" i="3" a="1"/>
  <c r="F2793" i="3"/>
  <c r="F2792" i="3" a="1"/>
  <c r="F2792" i="3"/>
  <c r="F2791" i="3" a="1"/>
  <c r="F2791" i="3"/>
  <c r="F2790" i="3" a="1"/>
  <c r="F2790" i="3"/>
  <c r="F2789" i="3" a="1"/>
  <c r="F2789" i="3"/>
  <c r="F2788" i="3" a="1"/>
  <c r="F2788" i="3"/>
  <c r="F2787" i="3" a="1"/>
  <c r="F2787" i="3"/>
  <c r="F2786" i="3" a="1"/>
  <c r="F2786" i="3"/>
  <c r="F2785" i="3" a="1"/>
  <c r="F2785" i="3"/>
  <c r="F2784" i="3" a="1"/>
  <c r="F2784" i="3"/>
  <c r="F2783" i="3" a="1"/>
  <c r="F2783" i="3"/>
  <c r="F2782" i="3" a="1"/>
  <c r="F2782" i="3"/>
  <c r="F2781" i="3" a="1"/>
  <c r="F2781" i="3"/>
  <c r="F2780" i="3" a="1"/>
  <c r="F2780" i="3"/>
  <c r="F2779" i="3" a="1"/>
  <c r="F2779" i="3"/>
  <c r="F2778" i="3" a="1"/>
  <c r="F2778" i="3"/>
  <c r="F2777" i="3" a="1"/>
  <c r="F2777" i="3"/>
  <c r="F2776" i="3" a="1"/>
  <c r="F2776" i="3"/>
  <c r="F2775" i="3" a="1"/>
  <c r="F2775" i="3"/>
  <c r="F2774" i="3" a="1"/>
  <c r="F2774" i="3"/>
  <c r="F2773" i="3" a="1"/>
  <c r="F2773" i="3"/>
  <c r="F2772" i="3" a="1"/>
  <c r="F2772" i="3"/>
  <c r="F2771" i="3" a="1"/>
  <c r="F2771" i="3"/>
  <c r="F2770" i="3" a="1"/>
  <c r="F2770" i="3"/>
  <c r="F2769" i="3" a="1"/>
  <c r="F2769" i="3"/>
  <c r="F2768" i="3" a="1"/>
  <c r="F2768" i="3"/>
  <c r="F2767" i="3" a="1"/>
  <c r="F2767" i="3"/>
  <c r="F2766" i="3" a="1"/>
  <c r="F2766" i="3"/>
  <c r="F2765" i="3" a="1"/>
  <c r="F2765" i="3"/>
  <c r="F2764" i="3" a="1"/>
  <c r="F2764" i="3"/>
  <c r="F2763" i="3" a="1"/>
  <c r="F2763" i="3"/>
  <c r="F2762" i="3" a="1"/>
  <c r="F2762" i="3"/>
  <c r="F2761" i="3" a="1"/>
  <c r="F2761" i="3"/>
  <c r="F2760" i="3" a="1"/>
  <c r="F2760" i="3"/>
  <c r="F2759" i="3" a="1"/>
  <c r="F2759" i="3"/>
  <c r="F2758" i="3" a="1"/>
  <c r="F2758" i="3"/>
  <c r="F2757" i="3" a="1"/>
  <c r="F2757" i="3"/>
  <c r="F2756" i="3" a="1"/>
  <c r="F2756" i="3"/>
  <c r="F2755" i="3" a="1"/>
  <c r="F2755" i="3"/>
  <c r="F2754" i="3" a="1"/>
  <c r="F2754" i="3"/>
  <c r="F2753" i="3" a="1"/>
  <c r="F2753" i="3"/>
  <c r="F2752" i="3" a="1"/>
  <c r="F2752" i="3"/>
  <c r="F2751" i="3" a="1"/>
  <c r="F2751" i="3"/>
  <c r="F2750" i="3" a="1"/>
  <c r="F2750" i="3"/>
  <c r="F2749" i="3" a="1"/>
  <c r="F2749" i="3"/>
  <c r="F2748" i="3" a="1"/>
  <c r="F2748" i="3"/>
  <c r="F2747" i="3" a="1"/>
  <c r="F2747" i="3"/>
  <c r="F2746" i="3" a="1"/>
  <c r="F2746" i="3"/>
  <c r="F2745" i="3" a="1"/>
  <c r="F2745" i="3"/>
  <c r="F2744" i="3" a="1"/>
  <c r="F2744" i="3"/>
  <c r="F2743" i="3" a="1"/>
  <c r="F2743" i="3"/>
  <c r="F2742" i="3" a="1"/>
  <c r="F2742" i="3"/>
  <c r="F2741" i="3" a="1"/>
  <c r="F2741" i="3"/>
  <c r="F2740" i="3" a="1"/>
  <c r="F2740" i="3"/>
  <c r="F2739" i="3" a="1"/>
  <c r="F2739" i="3"/>
  <c r="F2738" i="3" a="1"/>
  <c r="F2738" i="3"/>
  <c r="F2737" i="3" a="1"/>
  <c r="F2737" i="3"/>
  <c r="F2736" i="3" a="1"/>
  <c r="F2736" i="3"/>
  <c r="F2735" i="3" a="1"/>
  <c r="F2735" i="3"/>
  <c r="F2734" i="3" a="1"/>
  <c r="F2734" i="3"/>
  <c r="F2733" i="3" a="1"/>
  <c r="F2733" i="3"/>
  <c r="F2732" i="3" a="1"/>
  <c r="F2732" i="3"/>
  <c r="F2731" i="3" a="1"/>
  <c r="F2731" i="3"/>
  <c r="F2730" i="3" a="1"/>
  <c r="F2730" i="3"/>
  <c r="F2729" i="3" a="1"/>
  <c r="F2729" i="3"/>
  <c r="F2728" i="3" a="1"/>
  <c r="F2728" i="3"/>
  <c r="F2727" i="3" a="1"/>
  <c r="F2727" i="3"/>
  <c r="F2726" i="3" a="1"/>
  <c r="F2726" i="3"/>
  <c r="F2725" i="3" a="1"/>
  <c r="F2725" i="3"/>
  <c r="F2724" i="3" a="1"/>
  <c r="F2724" i="3"/>
  <c r="F2723" i="3" a="1"/>
  <c r="F2723" i="3"/>
  <c r="F2722" i="3" a="1"/>
  <c r="F2722" i="3"/>
  <c r="F2721" i="3" a="1"/>
  <c r="F2721" i="3"/>
  <c r="F2720" i="3" a="1"/>
  <c r="F2720" i="3"/>
  <c r="F2719" i="3" a="1"/>
  <c r="F2719" i="3"/>
  <c r="F2718" i="3" a="1"/>
  <c r="F2718" i="3"/>
  <c r="F2717" i="3" a="1"/>
  <c r="F2717" i="3"/>
  <c r="F2716" i="3" a="1"/>
  <c r="F2716" i="3"/>
  <c r="F2715" i="3" a="1"/>
  <c r="F2715" i="3"/>
  <c r="F2714" i="3" a="1"/>
  <c r="F2714" i="3"/>
  <c r="F2713" i="3" a="1"/>
  <c r="F2713" i="3"/>
  <c r="F2712" i="3" a="1"/>
  <c r="F2712" i="3"/>
  <c r="F2711" i="3" a="1"/>
  <c r="F2711" i="3"/>
  <c r="F2710" i="3" a="1"/>
  <c r="F2710" i="3"/>
  <c r="F2709" i="3" a="1"/>
  <c r="F2709" i="3"/>
  <c r="F2708" i="3" a="1"/>
  <c r="F2708" i="3"/>
  <c r="F2707" i="3" a="1"/>
  <c r="F2707" i="3"/>
  <c r="F2706" i="3" a="1"/>
  <c r="F2706" i="3"/>
  <c r="F2705" i="3" a="1"/>
  <c r="F2705" i="3"/>
  <c r="F2704" i="3" a="1"/>
  <c r="F2704" i="3"/>
  <c r="F2703" i="3" a="1"/>
  <c r="F2703" i="3"/>
  <c r="F2702" i="3" a="1"/>
  <c r="F2702" i="3"/>
  <c r="F2701" i="3" a="1"/>
  <c r="F2701" i="3"/>
  <c r="F2700" i="3" a="1"/>
  <c r="F2700" i="3"/>
  <c r="F2699" i="3" a="1"/>
  <c r="F2699" i="3"/>
  <c r="F2698" i="3" a="1"/>
  <c r="F2698" i="3"/>
  <c r="F2697" i="3" a="1"/>
  <c r="F2697" i="3"/>
  <c r="F2696" i="3" a="1"/>
  <c r="F2696" i="3"/>
  <c r="F2695" i="3" a="1"/>
  <c r="F2695" i="3"/>
  <c r="F2694" i="3" a="1"/>
  <c r="F2694" i="3"/>
  <c r="F2693" i="3" a="1"/>
  <c r="F2693" i="3"/>
  <c r="F2692" i="3" a="1"/>
  <c r="F2692" i="3"/>
  <c r="F2691" i="3" a="1"/>
  <c r="F2691" i="3"/>
  <c r="F2690" i="3" a="1"/>
  <c r="F2690" i="3"/>
  <c r="F2689" i="3" a="1"/>
  <c r="F2689" i="3"/>
  <c r="F2688" i="3" a="1"/>
  <c r="F2688" i="3"/>
  <c r="F2687" i="3" a="1"/>
  <c r="F2687" i="3"/>
  <c r="F2686" i="3" a="1"/>
  <c r="F2686" i="3"/>
  <c r="F2685" i="3" a="1"/>
  <c r="F2685" i="3"/>
  <c r="F2684" i="3" a="1"/>
  <c r="F2684" i="3"/>
  <c r="F2683" i="3" a="1"/>
  <c r="F2683" i="3"/>
  <c r="F2682" i="3" a="1"/>
  <c r="F2682" i="3"/>
  <c r="F2681" i="3" a="1"/>
  <c r="F2681" i="3"/>
  <c r="F2680" i="3" a="1"/>
  <c r="F2680" i="3"/>
  <c r="F2679" i="3" a="1"/>
  <c r="F2679" i="3"/>
  <c r="F2678" i="3" a="1"/>
  <c r="F2678" i="3"/>
  <c r="F2677" i="3" a="1"/>
  <c r="F2677" i="3"/>
  <c r="F2676" i="3" a="1"/>
  <c r="F2676" i="3"/>
  <c r="F2675" i="3" a="1"/>
  <c r="F2675" i="3"/>
  <c r="F2674" i="3" a="1"/>
  <c r="F2674" i="3"/>
  <c r="F2673" i="3" a="1"/>
  <c r="F2673" i="3"/>
  <c r="F2672" i="3" a="1"/>
  <c r="F2672" i="3"/>
  <c r="F2671" i="3" a="1"/>
  <c r="F2671" i="3"/>
  <c r="F2670" i="3" a="1"/>
  <c r="F2670" i="3"/>
  <c r="F2669" i="3" a="1"/>
  <c r="F2669" i="3"/>
  <c r="F2668" i="3" a="1"/>
  <c r="F2668" i="3"/>
  <c r="F2667" i="3" a="1"/>
  <c r="F2667" i="3"/>
  <c r="F2666" i="3" a="1"/>
  <c r="F2666" i="3"/>
  <c r="F2665" i="3" a="1"/>
  <c r="F2665" i="3"/>
  <c r="F2664" i="3" a="1"/>
  <c r="F2664" i="3"/>
  <c r="F2663" i="3" a="1"/>
  <c r="F2663" i="3"/>
  <c r="F2662" i="3" a="1"/>
  <c r="F2662" i="3"/>
  <c r="F2661" i="3" a="1"/>
  <c r="F2661" i="3"/>
  <c r="F2660" i="3" a="1"/>
  <c r="F2660" i="3"/>
  <c r="F2659" i="3" a="1"/>
  <c r="F2659" i="3"/>
  <c r="F2658" i="3" a="1"/>
  <c r="F2658" i="3"/>
  <c r="F2657" i="3" a="1"/>
  <c r="F2657" i="3"/>
  <c r="F2656" i="3" a="1"/>
  <c r="F2656" i="3"/>
  <c r="F2655" i="3" a="1"/>
  <c r="F2655" i="3"/>
  <c r="F2654" i="3" a="1"/>
  <c r="F2654" i="3"/>
  <c r="F2653" i="3" a="1"/>
  <c r="F2653" i="3"/>
  <c r="F2652" i="3" a="1"/>
  <c r="F2652" i="3"/>
  <c r="F2651" i="3" a="1"/>
  <c r="F2651" i="3"/>
  <c r="F2650" i="3" a="1"/>
  <c r="F2650" i="3"/>
  <c r="F2649" i="3" a="1"/>
  <c r="F2649" i="3"/>
  <c r="F2648" i="3" a="1"/>
  <c r="F2648" i="3"/>
  <c r="F2647" i="3" a="1"/>
  <c r="F2647" i="3"/>
  <c r="F2646" i="3" a="1"/>
  <c r="F2646" i="3"/>
  <c r="F2645" i="3" a="1"/>
  <c r="F2645" i="3"/>
  <c r="F2644" i="3" a="1"/>
  <c r="F2644" i="3"/>
  <c r="F2643" i="3" a="1"/>
  <c r="F2643" i="3"/>
  <c r="F2642" i="3" a="1"/>
  <c r="F2642" i="3"/>
  <c r="F2641" i="3" a="1"/>
  <c r="F2641" i="3"/>
  <c r="F2640" i="3" a="1"/>
  <c r="F2640" i="3"/>
  <c r="F2639" i="3" a="1"/>
  <c r="F2639" i="3"/>
  <c r="F2638" i="3" a="1"/>
  <c r="F2638" i="3"/>
  <c r="F2637" i="3" a="1"/>
  <c r="F2637" i="3"/>
  <c r="F2636" i="3" a="1"/>
  <c r="F2636" i="3"/>
  <c r="F2635" i="3" a="1"/>
  <c r="F2635" i="3"/>
  <c r="F2634" i="3" a="1"/>
  <c r="F2634" i="3"/>
  <c r="F2633" i="3" a="1"/>
  <c r="F2633" i="3"/>
  <c r="F2632" i="3" a="1"/>
  <c r="F2632" i="3"/>
  <c r="F2631" i="3" a="1"/>
  <c r="F2631" i="3"/>
  <c r="F2630" i="3" a="1"/>
  <c r="F2630" i="3"/>
  <c r="F2629" i="3" a="1"/>
  <c r="F2629" i="3"/>
  <c r="F2628" i="3" a="1"/>
  <c r="F2628" i="3"/>
  <c r="F2627" i="3" a="1"/>
  <c r="F2627" i="3"/>
  <c r="F2626" i="3" a="1"/>
  <c r="F2626" i="3"/>
  <c r="F2625" i="3" a="1"/>
  <c r="F2625" i="3"/>
  <c r="F2624" i="3" a="1"/>
  <c r="F2624" i="3"/>
  <c r="F2623" i="3" a="1"/>
  <c r="F2623" i="3"/>
  <c r="F2622" i="3" a="1"/>
  <c r="F2622" i="3"/>
  <c r="F2621" i="3" a="1"/>
  <c r="F2621" i="3"/>
  <c r="F2620" i="3" a="1"/>
  <c r="F2620" i="3"/>
  <c r="F2619" i="3" a="1"/>
  <c r="F2619" i="3"/>
  <c r="F2618" i="3" a="1"/>
  <c r="F2618" i="3"/>
  <c r="F2617" i="3" a="1"/>
  <c r="F2617" i="3"/>
  <c r="F2616" i="3" a="1"/>
  <c r="F2616" i="3"/>
  <c r="F2615" i="3" a="1"/>
  <c r="F2615" i="3"/>
  <c r="F2614" i="3" a="1"/>
  <c r="F2614" i="3"/>
  <c r="F2613" i="3" a="1"/>
  <c r="F2613" i="3"/>
  <c r="F2612" i="3" a="1"/>
  <c r="F2612" i="3"/>
  <c r="F2611" i="3" a="1"/>
  <c r="F2611" i="3"/>
  <c r="F2610" i="3" a="1"/>
  <c r="F2610" i="3"/>
  <c r="F2609" i="3" a="1"/>
  <c r="F2609" i="3"/>
  <c r="F2608" i="3" a="1"/>
  <c r="F2608" i="3"/>
  <c r="F2607" i="3" a="1"/>
  <c r="F2607" i="3"/>
  <c r="F2606" i="3" a="1"/>
  <c r="F2606" i="3"/>
  <c r="F2605" i="3" a="1"/>
  <c r="F2605" i="3"/>
  <c r="F2604" i="3" a="1"/>
  <c r="F2604" i="3"/>
  <c r="F2603" i="3" a="1"/>
  <c r="F2603" i="3"/>
  <c r="F2602" i="3" a="1"/>
  <c r="F2602" i="3"/>
  <c r="F2601" i="3" a="1"/>
  <c r="F2601" i="3"/>
  <c r="F2600" i="3" a="1"/>
  <c r="F2600" i="3"/>
  <c r="F2599" i="3" a="1"/>
  <c r="F2599" i="3"/>
  <c r="F2598" i="3" a="1"/>
  <c r="F2598" i="3"/>
  <c r="F2597" i="3" a="1"/>
  <c r="F2597" i="3"/>
  <c r="F2596" i="3" a="1"/>
  <c r="F2596" i="3"/>
  <c r="F2595" i="3" a="1"/>
  <c r="F2595" i="3"/>
  <c r="F2594" i="3" a="1"/>
  <c r="F2594" i="3"/>
  <c r="F2593" i="3" a="1"/>
  <c r="F2593" i="3"/>
  <c r="F2592" i="3" a="1"/>
  <c r="F2592" i="3"/>
  <c r="F2591" i="3" a="1"/>
  <c r="F2591" i="3"/>
  <c r="F2590" i="3" a="1"/>
  <c r="F2590" i="3"/>
  <c r="F2589" i="3" a="1"/>
  <c r="F2589" i="3"/>
  <c r="F2588" i="3" a="1"/>
  <c r="F2588" i="3"/>
  <c r="F2587" i="3" a="1"/>
  <c r="F2587" i="3"/>
  <c r="F2586" i="3" a="1"/>
  <c r="F2586" i="3"/>
  <c r="F2585" i="3" a="1"/>
  <c r="F2585" i="3"/>
  <c r="F2584" i="3" a="1"/>
  <c r="F2584" i="3"/>
  <c r="F2583" i="3" a="1"/>
  <c r="F2583" i="3"/>
  <c r="F2582" i="3" a="1"/>
  <c r="F2582" i="3"/>
  <c r="F2581" i="3" a="1"/>
  <c r="F2581" i="3"/>
  <c r="F2580" i="3" a="1"/>
  <c r="F2580" i="3"/>
  <c r="F2579" i="3" a="1"/>
  <c r="F2579" i="3"/>
  <c r="F2578" i="3" a="1"/>
  <c r="F2578" i="3"/>
  <c r="F2577" i="3" a="1"/>
  <c r="F2577" i="3"/>
  <c r="F2576" i="3" a="1"/>
  <c r="F2576" i="3"/>
  <c r="F2575" i="3" a="1"/>
  <c r="F2575" i="3"/>
  <c r="F2574" i="3" a="1"/>
  <c r="F2574" i="3"/>
  <c r="F2573" i="3" a="1"/>
  <c r="F2573" i="3"/>
  <c r="F2572" i="3" a="1"/>
  <c r="F2572" i="3"/>
  <c r="F2571" i="3" a="1"/>
  <c r="F2571" i="3"/>
  <c r="F2570" i="3" a="1"/>
  <c r="F2570" i="3"/>
  <c r="F2569" i="3" a="1"/>
  <c r="F2569" i="3"/>
  <c r="F2568" i="3" a="1"/>
  <c r="F2568" i="3"/>
  <c r="F2567" i="3" a="1"/>
  <c r="F2567" i="3"/>
  <c r="F2566" i="3" a="1"/>
  <c r="F2566" i="3"/>
  <c r="F2565" i="3" a="1"/>
  <c r="F2565" i="3"/>
  <c r="F2564" i="3" a="1"/>
  <c r="F2564" i="3"/>
  <c r="F2563" i="3" a="1"/>
  <c r="F2563" i="3"/>
  <c r="F2562" i="3" a="1"/>
  <c r="F2562" i="3"/>
  <c r="F2561" i="3" a="1"/>
  <c r="F2561" i="3"/>
  <c r="F2560" i="3" a="1"/>
  <c r="F2560" i="3"/>
  <c r="F2559" i="3" a="1"/>
  <c r="F2559" i="3"/>
  <c r="F2558" i="3" a="1"/>
  <c r="F2558" i="3"/>
  <c r="F2557" i="3" a="1"/>
  <c r="F2557" i="3"/>
  <c r="F2556" i="3" a="1"/>
  <c r="F2556" i="3"/>
  <c r="F2555" i="3" a="1"/>
  <c r="F2555" i="3"/>
  <c r="F2554" i="3" a="1"/>
  <c r="F2554" i="3"/>
  <c r="F2553" i="3" a="1"/>
  <c r="F2553" i="3"/>
  <c r="F2552" i="3" a="1"/>
  <c r="F2552" i="3"/>
  <c r="F2551" i="3" a="1"/>
  <c r="F2551" i="3"/>
  <c r="F2550" i="3" a="1"/>
  <c r="F2550" i="3"/>
  <c r="F2549" i="3" a="1"/>
  <c r="F2549" i="3"/>
  <c r="F2548" i="3" a="1"/>
  <c r="F2548" i="3"/>
  <c r="F2547" i="3" a="1"/>
  <c r="F2547" i="3"/>
  <c r="F2546" i="3" a="1"/>
  <c r="F2546" i="3"/>
  <c r="F2545" i="3" a="1"/>
  <c r="F2545" i="3"/>
  <c r="F2544" i="3" a="1"/>
  <c r="F2544" i="3"/>
  <c r="F2543" i="3" a="1"/>
  <c r="F2543" i="3"/>
  <c r="F2542" i="3" a="1"/>
  <c r="F2542" i="3"/>
  <c r="F2541" i="3" a="1"/>
  <c r="F2541" i="3"/>
  <c r="F2540" i="3" a="1"/>
  <c r="F2540" i="3"/>
  <c r="F2539" i="3" a="1"/>
  <c r="F2539" i="3"/>
  <c r="F2538" i="3" a="1"/>
  <c r="F2538" i="3"/>
  <c r="F2537" i="3" a="1"/>
  <c r="F2537" i="3"/>
  <c r="F2536" i="3" a="1"/>
  <c r="F2536" i="3"/>
  <c r="F2535" i="3" a="1"/>
  <c r="F2535" i="3"/>
  <c r="F2534" i="3" a="1"/>
  <c r="F2534" i="3"/>
  <c r="F2533" i="3" a="1"/>
  <c r="F2533" i="3"/>
  <c r="F2532" i="3" a="1"/>
  <c r="F2532" i="3"/>
  <c r="F2531" i="3" a="1"/>
  <c r="F2531" i="3"/>
  <c r="F2530" i="3" a="1"/>
  <c r="F2530" i="3"/>
  <c r="F2529" i="3" a="1"/>
  <c r="F2529" i="3"/>
  <c r="F2528" i="3" a="1"/>
  <c r="F2528" i="3"/>
  <c r="F2527" i="3" a="1"/>
  <c r="F2527" i="3"/>
  <c r="F2526" i="3" a="1"/>
  <c r="F2526" i="3"/>
  <c r="F2525" i="3" a="1"/>
  <c r="F2525" i="3"/>
  <c r="F2524" i="3" a="1"/>
  <c r="F2524" i="3"/>
  <c r="F2523" i="3" a="1"/>
  <c r="F2523" i="3"/>
  <c r="F2522" i="3" a="1"/>
  <c r="F2522" i="3"/>
  <c r="F2521" i="3" a="1"/>
  <c r="F2521" i="3"/>
  <c r="F2520" i="3" a="1"/>
  <c r="F2520" i="3"/>
  <c r="F2519" i="3" a="1"/>
  <c r="F2519" i="3"/>
  <c r="F2518" i="3" a="1"/>
  <c r="F2518" i="3"/>
  <c r="F2517" i="3" a="1"/>
  <c r="F2517" i="3"/>
  <c r="F2516" i="3" a="1"/>
  <c r="F2516" i="3"/>
  <c r="F2515" i="3" a="1"/>
  <c r="F2515" i="3"/>
  <c r="F2514" i="3" a="1"/>
  <c r="F2514" i="3"/>
  <c r="F2513" i="3" a="1"/>
  <c r="F2513" i="3"/>
  <c r="F2512" i="3" a="1"/>
  <c r="F2512" i="3"/>
  <c r="F2511" i="3" a="1"/>
  <c r="F2511" i="3"/>
  <c r="F2510" i="3" a="1"/>
  <c r="F2510" i="3"/>
  <c r="F2509" i="3" a="1"/>
  <c r="F2509" i="3"/>
  <c r="F2508" i="3" a="1"/>
  <c r="F2508" i="3"/>
  <c r="F2507" i="3" a="1"/>
  <c r="F2507" i="3"/>
  <c r="F2506" i="3" a="1"/>
  <c r="F2506" i="3"/>
  <c r="F2505" i="3" a="1"/>
  <c r="F2505" i="3"/>
  <c r="F2504" i="3" a="1"/>
  <c r="F2504" i="3"/>
  <c r="F2503" i="3" a="1"/>
  <c r="F2503" i="3"/>
  <c r="F2502" i="3" a="1"/>
  <c r="F2502" i="3"/>
  <c r="F2501" i="3" a="1"/>
  <c r="F2501" i="3"/>
  <c r="F2500" i="3" a="1"/>
  <c r="F2500" i="3"/>
  <c r="F2499" i="3" a="1"/>
  <c r="F2499" i="3"/>
  <c r="F2498" i="3" a="1"/>
  <c r="F2498" i="3"/>
  <c r="F2497" i="3" a="1"/>
  <c r="F2497" i="3"/>
  <c r="F2496" i="3" a="1"/>
  <c r="F2496" i="3"/>
  <c r="F2495" i="3" a="1"/>
  <c r="F2495" i="3"/>
  <c r="F2494" i="3" a="1"/>
  <c r="F2494" i="3"/>
  <c r="F2493" i="3" a="1"/>
  <c r="F2493" i="3"/>
  <c r="F2492" i="3" a="1"/>
  <c r="F2492" i="3"/>
  <c r="F2491" i="3" a="1"/>
  <c r="F2491" i="3"/>
  <c r="F2490" i="3" a="1"/>
  <c r="F2490" i="3"/>
  <c r="F2489" i="3" a="1"/>
  <c r="F2489" i="3"/>
  <c r="F2488" i="3" a="1"/>
  <c r="F2488" i="3"/>
  <c r="F2487" i="3" a="1"/>
  <c r="F2487" i="3"/>
  <c r="F2486" i="3" a="1"/>
  <c r="F2486" i="3"/>
  <c r="F2485" i="3" a="1"/>
  <c r="F2485" i="3"/>
  <c r="F2484" i="3" a="1"/>
  <c r="F2484" i="3"/>
  <c r="F2483" i="3" a="1"/>
  <c r="F2483" i="3"/>
  <c r="F2482" i="3" a="1"/>
  <c r="F2482" i="3"/>
  <c r="F2481" i="3" a="1"/>
  <c r="F2481" i="3"/>
  <c r="F2480" i="3" a="1"/>
  <c r="F2480" i="3"/>
  <c r="F2479" i="3" a="1"/>
  <c r="F2479" i="3"/>
  <c r="F2478" i="3" a="1"/>
  <c r="F2478" i="3"/>
  <c r="F2477" i="3" a="1"/>
  <c r="F2477" i="3"/>
  <c r="F2476" i="3" a="1"/>
  <c r="F2476" i="3"/>
  <c r="F2475" i="3" a="1"/>
  <c r="F2475" i="3"/>
  <c r="F2474" i="3" a="1"/>
  <c r="F2474" i="3"/>
  <c r="F2473" i="3" a="1"/>
  <c r="F2473" i="3"/>
  <c r="F2472" i="3" a="1"/>
  <c r="F2472" i="3"/>
  <c r="F2471" i="3" a="1"/>
  <c r="F2471" i="3"/>
  <c r="F2470" i="3" a="1"/>
  <c r="F2470" i="3"/>
  <c r="F2469" i="3" a="1"/>
  <c r="F2469" i="3"/>
  <c r="F2468" i="3" a="1"/>
  <c r="F2468" i="3"/>
  <c r="F2467" i="3" a="1"/>
  <c r="F2467" i="3"/>
  <c r="F2466" i="3" a="1"/>
  <c r="F2466" i="3"/>
  <c r="F2465" i="3" a="1"/>
  <c r="F2465" i="3"/>
  <c r="F2464" i="3" a="1"/>
  <c r="F2464" i="3"/>
  <c r="F2463" i="3" a="1"/>
  <c r="F2463" i="3"/>
  <c r="F2462" i="3" a="1"/>
  <c r="F2462" i="3"/>
  <c r="F2461" i="3" a="1"/>
  <c r="F2461" i="3"/>
  <c r="F2460" i="3" a="1"/>
  <c r="F2460" i="3"/>
  <c r="F2459" i="3" a="1"/>
  <c r="F2459" i="3"/>
  <c r="F2458" i="3" a="1"/>
  <c r="F2458" i="3"/>
  <c r="F2457" i="3" a="1"/>
  <c r="F2457" i="3"/>
  <c r="F2456" i="3" a="1"/>
  <c r="F2456" i="3"/>
  <c r="F2455" i="3" a="1"/>
  <c r="F2455" i="3"/>
  <c r="F2454" i="3" a="1"/>
  <c r="F2454" i="3"/>
  <c r="F2453" i="3" a="1"/>
  <c r="F2453" i="3"/>
  <c r="F2452" i="3" a="1"/>
  <c r="F2452" i="3"/>
  <c r="F2451" i="3" a="1"/>
  <c r="F2451" i="3"/>
  <c r="F2450" i="3" a="1"/>
  <c r="F2450" i="3"/>
  <c r="F2449" i="3" a="1"/>
  <c r="F2449" i="3"/>
  <c r="F2448" i="3" a="1"/>
  <c r="F2448" i="3"/>
  <c r="F2447" i="3" a="1"/>
  <c r="F2447" i="3"/>
  <c r="F2446" i="3" a="1"/>
  <c r="F2446" i="3"/>
  <c r="F2445" i="3" a="1"/>
  <c r="F2445" i="3"/>
  <c r="F2444" i="3" a="1"/>
  <c r="F2444" i="3"/>
  <c r="F2443" i="3" a="1"/>
  <c r="F2443" i="3"/>
  <c r="F2442" i="3" a="1"/>
  <c r="F2442" i="3"/>
  <c r="F2441" i="3" a="1"/>
  <c r="F2441" i="3"/>
  <c r="F2440" i="3" a="1"/>
  <c r="F2440" i="3"/>
  <c r="F2439" i="3" a="1"/>
  <c r="F2439" i="3"/>
  <c r="F2438" i="3" a="1"/>
  <c r="F2438" i="3"/>
  <c r="F2437" i="3" a="1"/>
  <c r="F2437" i="3"/>
  <c r="F2436" i="3" a="1"/>
  <c r="F2436" i="3"/>
  <c r="F2435" i="3" a="1"/>
  <c r="F2435" i="3"/>
  <c r="F2434" i="3" a="1"/>
  <c r="F2434" i="3"/>
  <c r="F2433" i="3" a="1"/>
  <c r="F2433" i="3"/>
  <c r="F2432" i="3" a="1"/>
  <c r="F2432" i="3"/>
  <c r="F2431" i="3" a="1"/>
  <c r="F2431" i="3"/>
  <c r="F2430" i="3" a="1"/>
  <c r="F2430" i="3"/>
  <c r="F2429" i="3" a="1"/>
  <c r="F2429" i="3"/>
  <c r="F2428" i="3" a="1"/>
  <c r="F2428" i="3"/>
  <c r="F2427" i="3" a="1"/>
  <c r="F2427" i="3"/>
  <c r="F2426" i="3" a="1"/>
  <c r="F2426" i="3"/>
  <c r="F2425" i="3" a="1"/>
  <c r="F2425" i="3"/>
  <c r="F2424" i="3" a="1"/>
  <c r="F2424" i="3"/>
  <c r="F2423" i="3" a="1"/>
  <c r="F2423" i="3"/>
  <c r="F2422" i="3" a="1"/>
  <c r="F2422" i="3"/>
  <c r="F2421" i="3" a="1"/>
  <c r="F2421" i="3"/>
  <c r="F2420" i="3" a="1"/>
  <c r="F2420" i="3"/>
  <c r="F2419" i="3" a="1"/>
  <c r="F2419" i="3"/>
  <c r="F2418" i="3" a="1"/>
  <c r="F2418" i="3"/>
  <c r="F2417" i="3" a="1"/>
  <c r="F2417" i="3"/>
  <c r="F2416" i="3" a="1"/>
  <c r="F2416" i="3"/>
  <c r="F2415" i="3" a="1"/>
  <c r="F2415" i="3"/>
  <c r="F2414" i="3" a="1"/>
  <c r="F2414" i="3"/>
  <c r="F2413" i="3" a="1"/>
  <c r="F2413" i="3"/>
  <c r="F2412" i="3" a="1"/>
  <c r="F2412" i="3"/>
  <c r="F2411" i="3" a="1"/>
  <c r="F2411" i="3"/>
  <c r="F2410" i="3" a="1"/>
  <c r="F2410" i="3"/>
  <c r="F2409" i="3" a="1"/>
  <c r="F2409" i="3"/>
  <c r="F2408" i="3" a="1"/>
  <c r="F2408" i="3"/>
  <c r="F2407" i="3" a="1"/>
  <c r="F2407" i="3"/>
  <c r="F2406" i="3" a="1"/>
  <c r="F2406" i="3"/>
  <c r="F2405" i="3" a="1"/>
  <c r="F2405" i="3"/>
  <c r="F2404" i="3" a="1"/>
  <c r="F2404" i="3"/>
  <c r="F2403" i="3" a="1"/>
  <c r="F2403" i="3"/>
  <c r="F2402" i="3" a="1"/>
  <c r="F2402" i="3"/>
  <c r="F2401" i="3" a="1"/>
  <c r="F2401" i="3"/>
  <c r="F2400" i="3" a="1"/>
  <c r="F2400" i="3"/>
  <c r="F2399" i="3" a="1"/>
  <c r="F2399" i="3"/>
  <c r="F2398" i="3" a="1"/>
  <c r="F2398" i="3"/>
  <c r="F2397" i="3" a="1"/>
  <c r="F2397" i="3"/>
  <c r="F2396" i="3" a="1"/>
  <c r="F2396" i="3"/>
  <c r="F2395" i="3" a="1"/>
  <c r="F2395" i="3"/>
  <c r="F2394" i="3" a="1"/>
  <c r="F2394" i="3"/>
  <c r="F2393" i="3" a="1"/>
  <c r="F2393" i="3"/>
  <c r="F2392" i="3" a="1"/>
  <c r="F2392" i="3"/>
  <c r="F2391" i="3" a="1"/>
  <c r="F2391" i="3"/>
  <c r="F2390" i="3" a="1"/>
  <c r="F2390" i="3"/>
  <c r="F2389" i="3" a="1"/>
  <c r="F2389" i="3"/>
  <c r="F2388" i="3" a="1"/>
  <c r="F2388" i="3"/>
  <c r="F2387" i="3" a="1"/>
  <c r="F2387" i="3"/>
  <c r="F2386" i="3" a="1"/>
  <c r="F2386" i="3"/>
  <c r="F2385" i="3" a="1"/>
  <c r="F2385" i="3"/>
  <c r="F2384" i="3" a="1"/>
  <c r="F2384" i="3"/>
  <c r="F2383" i="3" a="1"/>
  <c r="F2383" i="3"/>
  <c r="F2382" i="3" a="1"/>
  <c r="F2382" i="3"/>
  <c r="F2381" i="3" a="1"/>
  <c r="F2381" i="3"/>
  <c r="F2380" i="3" a="1"/>
  <c r="F2380" i="3"/>
  <c r="F2379" i="3" a="1"/>
  <c r="F2379" i="3"/>
  <c r="F2378" i="3" a="1"/>
  <c r="F2378" i="3"/>
  <c r="F2377" i="3" a="1"/>
  <c r="F2377" i="3"/>
  <c r="F2376" i="3" a="1"/>
  <c r="F2376" i="3"/>
  <c r="F2375" i="3" a="1"/>
  <c r="F2375" i="3"/>
  <c r="F2374" i="3" a="1"/>
  <c r="F2374" i="3"/>
  <c r="F2373" i="3" a="1"/>
  <c r="F2373" i="3"/>
  <c r="F2372" i="3" a="1"/>
  <c r="F2372" i="3"/>
  <c r="F2371" i="3" a="1"/>
  <c r="F2371" i="3"/>
  <c r="F2370" i="3" a="1"/>
  <c r="F2370" i="3"/>
  <c r="F2369" i="3" a="1"/>
  <c r="F2369" i="3"/>
  <c r="F2368" i="3" a="1"/>
  <c r="F2368" i="3"/>
  <c r="F2367" i="3" a="1"/>
  <c r="F2367" i="3"/>
  <c r="F2366" i="3" a="1"/>
  <c r="F2366" i="3"/>
  <c r="F2365" i="3" a="1"/>
  <c r="F2365" i="3"/>
  <c r="F2364" i="3" a="1"/>
  <c r="F2364" i="3"/>
  <c r="F2363" i="3" a="1"/>
  <c r="F2363" i="3"/>
  <c r="F2362" i="3" a="1"/>
  <c r="F2362" i="3"/>
  <c r="F2361" i="3" a="1"/>
  <c r="F2361" i="3"/>
  <c r="F2360" i="3" a="1"/>
  <c r="F2360" i="3"/>
  <c r="F2359" i="3" a="1"/>
  <c r="F2359" i="3"/>
  <c r="F2358" i="3" a="1"/>
  <c r="F2358" i="3"/>
  <c r="F2357" i="3" a="1"/>
  <c r="F2357" i="3"/>
  <c r="F2356" i="3" a="1"/>
  <c r="F2356" i="3"/>
  <c r="F2355" i="3" a="1"/>
  <c r="F2355" i="3"/>
  <c r="F2354" i="3" a="1"/>
  <c r="F2354" i="3"/>
  <c r="F2353" i="3" a="1"/>
  <c r="F2353" i="3"/>
  <c r="F2352" i="3" a="1"/>
  <c r="F2352" i="3"/>
  <c r="F2351" i="3" a="1"/>
  <c r="F2351" i="3"/>
  <c r="F2350" i="3" a="1"/>
  <c r="F2350" i="3"/>
  <c r="F2349" i="3" a="1"/>
  <c r="F2349" i="3"/>
  <c r="F2348" i="3" a="1"/>
  <c r="F2348" i="3"/>
  <c r="F2347" i="3" a="1"/>
  <c r="F2347" i="3"/>
  <c r="F2346" i="3" a="1"/>
  <c r="F2346" i="3"/>
  <c r="F2345" i="3" a="1"/>
  <c r="F2345" i="3"/>
  <c r="F2344" i="3" a="1"/>
  <c r="F2344" i="3"/>
  <c r="F2343" i="3" a="1"/>
  <c r="F2343" i="3"/>
  <c r="F2342" i="3" a="1"/>
  <c r="F2342" i="3"/>
  <c r="F2341" i="3" a="1"/>
  <c r="F2341" i="3"/>
  <c r="F2340" i="3" a="1"/>
  <c r="F2340" i="3"/>
  <c r="F2339" i="3" a="1"/>
  <c r="F2339" i="3"/>
  <c r="F2338" i="3" a="1"/>
  <c r="F2338" i="3"/>
  <c r="F2337" i="3" a="1"/>
  <c r="F2337" i="3"/>
  <c r="F2336" i="3" a="1"/>
  <c r="F2336" i="3"/>
  <c r="F2335" i="3" a="1"/>
  <c r="F2335" i="3"/>
  <c r="F2334" i="3" a="1"/>
  <c r="F2334" i="3"/>
  <c r="F2333" i="3" a="1"/>
  <c r="F2333" i="3"/>
  <c r="F2332" i="3" a="1"/>
  <c r="F2332" i="3"/>
  <c r="F2331" i="3" a="1"/>
  <c r="F2331" i="3"/>
  <c r="F2330" i="3" a="1"/>
  <c r="F2330" i="3"/>
  <c r="F2329" i="3" a="1"/>
  <c r="F2329" i="3"/>
  <c r="F2328" i="3" a="1"/>
  <c r="F2328" i="3"/>
  <c r="F2327" i="3" a="1"/>
  <c r="F2327" i="3"/>
  <c r="F2326" i="3" a="1"/>
  <c r="F2326" i="3"/>
  <c r="F2325" i="3" a="1"/>
  <c r="F2325" i="3"/>
  <c r="F2324" i="3" a="1"/>
  <c r="F2324" i="3"/>
  <c r="F2323" i="3" a="1"/>
  <c r="F2323" i="3"/>
  <c r="F2322" i="3" a="1"/>
  <c r="F2322" i="3"/>
  <c r="F2321" i="3" a="1"/>
  <c r="F2321" i="3"/>
  <c r="F2320" i="3" a="1"/>
  <c r="F2320" i="3"/>
  <c r="F2319" i="3" a="1"/>
  <c r="F2319" i="3"/>
  <c r="F2318" i="3" a="1"/>
  <c r="F2318" i="3"/>
  <c r="F2317" i="3" a="1"/>
  <c r="F2317" i="3"/>
  <c r="F2316" i="3" a="1"/>
  <c r="F2316" i="3"/>
  <c r="F2315" i="3" a="1"/>
  <c r="F2315" i="3"/>
  <c r="F2314" i="3" a="1"/>
  <c r="F2314" i="3"/>
  <c r="F2313" i="3" a="1"/>
  <c r="F2313" i="3"/>
  <c r="F2312" i="3" a="1"/>
  <c r="F2312" i="3"/>
  <c r="F2311" i="3" a="1"/>
  <c r="F2311" i="3"/>
  <c r="F2310" i="3" a="1"/>
  <c r="F2310" i="3"/>
  <c r="F2309" i="3" a="1"/>
  <c r="F2309" i="3"/>
  <c r="F2308" i="3" a="1"/>
  <c r="F2308" i="3"/>
  <c r="F2307" i="3" a="1"/>
  <c r="F2307" i="3"/>
  <c r="F2306" i="3" a="1"/>
  <c r="F2306" i="3"/>
  <c r="F2305" i="3" a="1"/>
  <c r="F2305" i="3"/>
  <c r="F2304" i="3" a="1"/>
  <c r="F2304" i="3"/>
  <c r="F2303" i="3" a="1"/>
  <c r="F2303" i="3"/>
  <c r="F2302" i="3" a="1"/>
  <c r="F2302" i="3"/>
  <c r="F2301" i="3" a="1"/>
  <c r="F2301" i="3"/>
  <c r="F2300" i="3" a="1"/>
  <c r="F2300" i="3"/>
  <c r="F2299" i="3" a="1"/>
  <c r="F2299" i="3"/>
  <c r="F2298" i="3" a="1"/>
  <c r="F2298" i="3"/>
  <c r="F2297" i="3" a="1"/>
  <c r="F2297" i="3"/>
  <c r="F2296" i="3" a="1"/>
  <c r="F2296" i="3"/>
  <c r="F2295" i="3" a="1"/>
  <c r="F2295" i="3"/>
  <c r="F2294" i="3" a="1"/>
  <c r="F2294" i="3"/>
  <c r="F2293" i="3" a="1"/>
  <c r="F2293" i="3"/>
  <c r="F2292" i="3" a="1"/>
  <c r="F2292" i="3"/>
  <c r="F2291" i="3" a="1"/>
  <c r="F2291" i="3"/>
  <c r="F2290" i="3" a="1"/>
  <c r="F2290" i="3"/>
  <c r="F2289" i="3" a="1"/>
  <c r="F2289" i="3"/>
  <c r="F2288" i="3" a="1"/>
  <c r="F2288" i="3"/>
  <c r="F2287" i="3" a="1"/>
  <c r="F2287" i="3"/>
  <c r="F2286" i="3" a="1"/>
  <c r="F2286" i="3"/>
  <c r="F2285" i="3" a="1"/>
  <c r="F2285" i="3"/>
  <c r="F2284" i="3" a="1"/>
  <c r="F2284" i="3"/>
  <c r="F2283" i="3" a="1"/>
  <c r="F2283" i="3"/>
  <c r="F2282" i="3" a="1"/>
  <c r="F2282" i="3"/>
  <c r="F2281" i="3" a="1"/>
  <c r="F2281" i="3"/>
  <c r="F2280" i="3" a="1"/>
  <c r="F2280" i="3"/>
  <c r="F2279" i="3" a="1"/>
  <c r="F2279" i="3"/>
  <c r="F2278" i="3" a="1"/>
  <c r="F2278" i="3"/>
  <c r="F2277" i="3" a="1"/>
  <c r="F2277" i="3"/>
  <c r="F2276" i="3" a="1"/>
  <c r="F2276" i="3"/>
  <c r="F2275" i="3" a="1"/>
  <c r="F2275" i="3"/>
  <c r="F2274" i="3" a="1"/>
  <c r="F2274" i="3"/>
  <c r="F2273" i="3" a="1"/>
  <c r="F2273" i="3"/>
  <c r="F2272" i="3" a="1"/>
  <c r="F2272" i="3"/>
  <c r="F2271" i="3" a="1"/>
  <c r="F2271" i="3"/>
  <c r="F2270" i="3" a="1"/>
  <c r="F2270" i="3"/>
  <c r="F2269" i="3" a="1"/>
  <c r="F2269" i="3"/>
  <c r="F2268" i="3" a="1"/>
  <c r="F2268" i="3"/>
  <c r="F2267" i="3" a="1"/>
  <c r="F2267" i="3"/>
  <c r="F2266" i="3" a="1"/>
  <c r="F2266" i="3"/>
  <c r="F2265" i="3" a="1"/>
  <c r="F2265" i="3"/>
  <c r="F2264" i="3" a="1"/>
  <c r="F2264" i="3"/>
  <c r="F2263" i="3" a="1"/>
  <c r="F2263" i="3"/>
  <c r="F2262" i="3" a="1"/>
  <c r="F2262" i="3"/>
  <c r="F2261" i="3" a="1"/>
  <c r="F2261" i="3"/>
  <c r="F2260" i="3" a="1"/>
  <c r="F2260" i="3"/>
  <c r="F2259" i="3" a="1"/>
  <c r="F2259" i="3"/>
  <c r="F2258" i="3" a="1"/>
  <c r="F2258" i="3"/>
  <c r="F2257" i="3" a="1"/>
  <c r="F2257" i="3"/>
  <c r="F2256" i="3" a="1"/>
  <c r="F2256" i="3"/>
  <c r="F2255" i="3" a="1"/>
  <c r="F2255" i="3"/>
  <c r="F2254" i="3" a="1"/>
  <c r="F2254" i="3"/>
  <c r="F2253" i="3" a="1"/>
  <c r="F2253" i="3"/>
  <c r="F2252" i="3" a="1"/>
  <c r="F2252" i="3"/>
  <c r="F2251" i="3" a="1"/>
  <c r="F2251" i="3"/>
  <c r="F2250" i="3" a="1"/>
  <c r="F2250" i="3"/>
  <c r="F2249" i="3" a="1"/>
  <c r="F2249" i="3"/>
  <c r="F2248" i="3" a="1"/>
  <c r="F2248" i="3"/>
  <c r="F2247" i="3" a="1"/>
  <c r="F2247" i="3"/>
  <c r="F2246" i="3" a="1"/>
  <c r="F2246" i="3"/>
  <c r="F2245" i="3" a="1"/>
  <c r="F2245" i="3"/>
  <c r="F2244" i="3" a="1"/>
  <c r="F2244" i="3"/>
  <c r="F2243" i="3" a="1"/>
  <c r="F2243" i="3"/>
  <c r="F2242" i="3" a="1"/>
  <c r="F2242" i="3"/>
  <c r="F2241" i="3" a="1"/>
  <c r="F2241" i="3"/>
  <c r="F2240" i="3" a="1"/>
  <c r="F2240" i="3"/>
  <c r="F2239" i="3" a="1"/>
  <c r="F2239" i="3"/>
  <c r="F2238" i="3" a="1"/>
  <c r="F2238" i="3"/>
  <c r="F2237" i="3" a="1"/>
  <c r="F2237" i="3"/>
  <c r="F2236" i="3" a="1"/>
  <c r="F2236" i="3"/>
  <c r="F2235" i="3" a="1"/>
  <c r="F2235" i="3"/>
  <c r="F2234" i="3" a="1"/>
  <c r="F2234" i="3"/>
  <c r="F2233" i="3" a="1"/>
  <c r="F2233" i="3"/>
  <c r="F2232" i="3" a="1"/>
  <c r="F2232" i="3"/>
  <c r="F2231" i="3" a="1"/>
  <c r="F2231" i="3"/>
  <c r="F2230" i="3" a="1"/>
  <c r="F2230" i="3"/>
  <c r="F2229" i="3" a="1"/>
  <c r="F2229" i="3"/>
  <c r="F2228" i="3" a="1"/>
  <c r="F2228" i="3"/>
  <c r="F2227" i="3" a="1"/>
  <c r="F2227" i="3"/>
  <c r="F2226" i="3" a="1"/>
  <c r="F2226" i="3"/>
  <c r="F2225" i="3" a="1"/>
  <c r="F2225" i="3"/>
  <c r="F2224" i="3" a="1"/>
  <c r="F2224" i="3"/>
  <c r="F2223" i="3" a="1"/>
  <c r="F2223" i="3"/>
  <c r="F2222" i="3" a="1"/>
  <c r="F2222" i="3"/>
  <c r="F2221" i="3" a="1"/>
  <c r="F2221" i="3"/>
  <c r="F2220" i="3" a="1"/>
  <c r="F2220" i="3"/>
  <c r="F2219" i="3" a="1"/>
  <c r="F2219" i="3"/>
  <c r="F2218" i="3" a="1"/>
  <c r="F2218" i="3"/>
  <c r="F2217" i="3" a="1"/>
  <c r="F2217" i="3"/>
  <c r="F2216" i="3" a="1"/>
  <c r="F2216" i="3"/>
  <c r="F2215" i="3" a="1"/>
  <c r="F2215" i="3"/>
  <c r="F2214" i="3" a="1"/>
  <c r="F2214" i="3"/>
  <c r="F2213" i="3" a="1"/>
  <c r="F2213" i="3"/>
  <c r="F2212" i="3" a="1"/>
  <c r="F2212" i="3"/>
  <c r="F2211" i="3" a="1"/>
  <c r="F2211" i="3"/>
  <c r="F2210" i="3" a="1"/>
  <c r="F2210" i="3"/>
  <c r="F2209" i="3" a="1"/>
  <c r="F2209" i="3"/>
  <c r="F2208" i="3" a="1"/>
  <c r="F2208" i="3"/>
  <c r="F2207" i="3" a="1"/>
  <c r="F2207" i="3"/>
  <c r="F2206" i="3" a="1"/>
  <c r="F2206" i="3"/>
  <c r="F2205" i="3" a="1"/>
  <c r="F2205" i="3"/>
  <c r="F2204" i="3" a="1"/>
  <c r="F2204" i="3"/>
  <c r="F2203" i="3" a="1"/>
  <c r="F2203" i="3"/>
  <c r="F2202" i="3" a="1"/>
  <c r="F2202" i="3"/>
  <c r="F2201" i="3" a="1"/>
  <c r="F2201" i="3"/>
  <c r="F2200" i="3" a="1"/>
  <c r="F2200" i="3"/>
  <c r="F2199" i="3" a="1"/>
  <c r="F2199" i="3"/>
  <c r="F2198" i="3" a="1"/>
  <c r="F2198" i="3"/>
  <c r="F2197" i="3" a="1"/>
  <c r="F2197" i="3"/>
  <c r="F2196" i="3" a="1"/>
  <c r="F2196" i="3"/>
  <c r="F2195" i="3" a="1"/>
  <c r="F2195" i="3"/>
  <c r="F2194" i="3" a="1"/>
  <c r="F2194" i="3"/>
  <c r="F2193" i="3" a="1"/>
  <c r="F2193" i="3"/>
  <c r="F2192" i="3" a="1"/>
  <c r="F2192" i="3"/>
  <c r="F2191" i="3" a="1"/>
  <c r="F2191" i="3"/>
  <c r="F2190" i="3" a="1"/>
  <c r="F2190" i="3"/>
  <c r="F2189" i="3" a="1"/>
  <c r="F2189" i="3"/>
  <c r="F2188" i="3" a="1"/>
  <c r="F2188" i="3"/>
  <c r="F2187" i="3" a="1"/>
  <c r="F2187" i="3"/>
  <c r="F2186" i="3" a="1"/>
  <c r="F2186" i="3"/>
  <c r="F2185" i="3" a="1"/>
  <c r="F2185" i="3"/>
  <c r="F2184" i="3" a="1"/>
  <c r="F2184" i="3"/>
  <c r="F2183" i="3" a="1"/>
  <c r="F2183" i="3"/>
  <c r="F2182" i="3" a="1"/>
  <c r="F2182" i="3"/>
  <c r="F2181" i="3" a="1"/>
  <c r="F2181" i="3"/>
  <c r="F2180" i="3" a="1"/>
  <c r="F2180" i="3"/>
  <c r="F2179" i="3" a="1"/>
  <c r="F2179" i="3"/>
  <c r="F2178" i="3" a="1"/>
  <c r="F2178" i="3"/>
  <c r="F2177" i="3" a="1"/>
  <c r="F2177" i="3"/>
  <c r="F2176" i="3" a="1"/>
  <c r="F2176" i="3"/>
  <c r="F2175" i="3" a="1"/>
  <c r="F2175" i="3"/>
  <c r="F2174" i="3" a="1"/>
  <c r="F2174" i="3"/>
  <c r="F2173" i="3" a="1"/>
  <c r="F2173" i="3"/>
  <c r="F2172" i="3" a="1"/>
  <c r="F2172" i="3"/>
  <c r="F2171" i="3" a="1"/>
  <c r="F2171" i="3"/>
  <c r="F2170" i="3" a="1"/>
  <c r="F2170" i="3"/>
  <c r="F2169" i="3" a="1"/>
  <c r="F2169" i="3"/>
  <c r="F2168" i="3" a="1"/>
  <c r="F2168" i="3"/>
  <c r="F2167" i="3" a="1"/>
  <c r="F2167" i="3"/>
  <c r="F2166" i="3" a="1"/>
  <c r="F2166" i="3"/>
  <c r="F2165" i="3" a="1"/>
  <c r="F2165" i="3"/>
  <c r="F2164" i="3" a="1"/>
  <c r="F2164" i="3"/>
  <c r="F2163" i="3" a="1"/>
  <c r="F2163" i="3"/>
  <c r="F2162" i="3" a="1"/>
  <c r="F2162" i="3"/>
  <c r="F2161" i="3" a="1"/>
  <c r="F2161" i="3"/>
  <c r="F2160" i="3" a="1"/>
  <c r="F2160" i="3"/>
  <c r="F2159" i="3" a="1"/>
  <c r="F2159" i="3"/>
  <c r="F2158" i="3" a="1"/>
  <c r="F2158" i="3"/>
  <c r="F2157" i="3" a="1"/>
  <c r="F2157" i="3"/>
  <c r="F2156" i="3" a="1"/>
  <c r="F2156" i="3"/>
  <c r="F2155" i="3" a="1"/>
  <c r="F2155" i="3"/>
  <c r="F2154" i="3" a="1"/>
  <c r="F2154" i="3"/>
  <c r="F2153" i="3" a="1"/>
  <c r="F2153" i="3"/>
  <c r="F2152" i="3" a="1"/>
  <c r="F2152" i="3"/>
  <c r="F2151" i="3" a="1"/>
  <c r="F2151" i="3"/>
  <c r="F2150" i="3" a="1"/>
  <c r="F2150" i="3"/>
  <c r="F2149" i="3" a="1"/>
  <c r="F2149" i="3"/>
  <c r="F2148" i="3" a="1"/>
  <c r="F2148" i="3"/>
  <c r="F2147" i="3" a="1"/>
  <c r="F2147" i="3"/>
  <c r="F2146" i="3" a="1"/>
  <c r="F2146" i="3"/>
  <c r="F2145" i="3" a="1"/>
  <c r="F2145" i="3"/>
  <c r="F2144" i="3" a="1"/>
  <c r="F2144" i="3"/>
  <c r="F2143" i="3" a="1"/>
  <c r="F2143" i="3"/>
  <c r="F2142" i="3" a="1"/>
  <c r="F2142" i="3"/>
  <c r="F2141" i="3" a="1"/>
  <c r="F2141" i="3"/>
  <c r="F2140" i="3" a="1"/>
  <c r="F2140" i="3"/>
  <c r="F2139" i="3" a="1"/>
  <c r="F2139" i="3"/>
  <c r="F2138" i="3" a="1"/>
  <c r="F2138" i="3"/>
  <c r="F2137" i="3" a="1"/>
  <c r="F2137" i="3"/>
  <c r="F2136" i="3" a="1"/>
  <c r="F2136" i="3"/>
  <c r="F2135" i="3" a="1"/>
  <c r="F2135" i="3"/>
  <c r="F2134" i="3" a="1"/>
  <c r="F2134" i="3"/>
  <c r="F2133" i="3" a="1"/>
  <c r="F2133" i="3"/>
  <c r="F2132" i="3" a="1"/>
  <c r="F2132" i="3"/>
  <c r="F2131" i="3" a="1"/>
  <c r="F2131" i="3"/>
  <c r="F2130" i="3" a="1"/>
  <c r="F2130" i="3"/>
  <c r="F2129" i="3" a="1"/>
  <c r="F2129" i="3"/>
  <c r="F2128" i="3" a="1"/>
  <c r="F2128" i="3"/>
  <c r="F2127" i="3" a="1"/>
  <c r="F2127" i="3"/>
  <c r="F2126" i="3" a="1"/>
  <c r="F2126" i="3"/>
  <c r="F2125" i="3" a="1"/>
  <c r="F2125" i="3"/>
  <c r="F2124" i="3" a="1"/>
  <c r="F2124" i="3"/>
  <c r="F2123" i="3" a="1"/>
  <c r="F2123" i="3"/>
  <c r="F2122" i="3" a="1"/>
  <c r="F2122" i="3"/>
  <c r="F2121" i="3" a="1"/>
  <c r="F2121" i="3"/>
  <c r="F2120" i="3" a="1"/>
  <c r="F2120" i="3"/>
  <c r="F2119" i="3" a="1"/>
  <c r="F2119" i="3"/>
  <c r="F2118" i="3" a="1"/>
  <c r="F2118" i="3"/>
  <c r="F2117" i="3" a="1"/>
  <c r="F2117" i="3"/>
  <c r="F2116" i="3" a="1"/>
  <c r="F2116" i="3"/>
  <c r="F2115" i="3" a="1"/>
  <c r="F2115" i="3"/>
  <c r="F2114" i="3" a="1"/>
  <c r="F2114" i="3"/>
  <c r="F2113" i="3" a="1"/>
  <c r="F2113" i="3"/>
  <c r="F2112" i="3" a="1"/>
  <c r="F2112" i="3"/>
  <c r="F2111" i="3" a="1"/>
  <c r="F2111" i="3"/>
  <c r="F2110" i="3" a="1"/>
  <c r="F2110" i="3"/>
  <c r="F2109" i="3" a="1"/>
  <c r="F2109" i="3"/>
  <c r="F2108" i="3" a="1"/>
  <c r="F2108" i="3"/>
  <c r="F2107" i="3" a="1"/>
  <c r="F2107" i="3"/>
  <c r="F2106" i="3" a="1"/>
  <c r="F2106" i="3"/>
  <c r="F2105" i="3" a="1"/>
  <c r="F2105" i="3"/>
  <c r="F2104" i="3" a="1"/>
  <c r="F2104" i="3"/>
  <c r="F2103" i="3" a="1"/>
  <c r="F2103" i="3"/>
  <c r="F2102" i="3" a="1"/>
  <c r="F2102" i="3"/>
  <c r="F2101" i="3" a="1"/>
  <c r="F2101" i="3"/>
  <c r="F2100" i="3" a="1"/>
  <c r="F2100" i="3"/>
  <c r="F2099" i="3" a="1"/>
  <c r="F2099" i="3"/>
  <c r="F2098" i="3" a="1"/>
  <c r="F2098" i="3"/>
  <c r="F2097" i="3" a="1"/>
  <c r="F2097" i="3"/>
  <c r="F2096" i="3" a="1"/>
  <c r="F2096" i="3"/>
  <c r="F2095" i="3" a="1"/>
  <c r="F2095" i="3"/>
  <c r="F2094" i="3" a="1"/>
  <c r="F2094" i="3"/>
  <c r="F2093" i="3" a="1"/>
  <c r="F2093" i="3"/>
  <c r="F2092" i="3" a="1"/>
  <c r="F2092" i="3"/>
  <c r="F2091" i="3" a="1"/>
  <c r="F2091" i="3"/>
  <c r="F2090" i="3" a="1"/>
  <c r="F2090" i="3"/>
  <c r="F2089" i="3" a="1"/>
  <c r="F2089" i="3"/>
  <c r="F2088" i="3" a="1"/>
  <c r="F2088" i="3"/>
  <c r="F2087" i="3" a="1"/>
  <c r="F2087" i="3"/>
  <c r="F2086" i="3" a="1"/>
  <c r="F2086" i="3"/>
  <c r="F2085" i="3" a="1"/>
  <c r="F2085" i="3"/>
  <c r="F2084" i="3" a="1"/>
  <c r="F2084" i="3"/>
  <c r="F2083" i="3" a="1"/>
  <c r="F2083" i="3"/>
  <c r="F2082" i="3" a="1"/>
  <c r="F2082" i="3"/>
  <c r="F2081" i="3" a="1"/>
  <c r="F2081" i="3"/>
  <c r="F2080" i="3" a="1"/>
  <c r="F2080" i="3"/>
  <c r="F2079" i="3" a="1"/>
  <c r="F2079" i="3"/>
  <c r="F2078" i="3" a="1"/>
  <c r="F2078" i="3"/>
  <c r="F2077" i="3" a="1"/>
  <c r="F2077" i="3"/>
  <c r="F2076" i="3" a="1"/>
  <c r="F2076" i="3"/>
  <c r="F2075" i="3" a="1"/>
  <c r="F2075" i="3"/>
  <c r="F2074" i="3" a="1"/>
  <c r="F2074" i="3"/>
  <c r="F2073" i="3" a="1"/>
  <c r="F2073" i="3"/>
  <c r="F2072" i="3" a="1"/>
  <c r="F2072" i="3"/>
  <c r="F2071" i="3" a="1"/>
  <c r="F2071" i="3"/>
  <c r="F2070" i="3" a="1"/>
  <c r="F2070" i="3"/>
  <c r="F2069" i="3" a="1"/>
  <c r="F2069" i="3"/>
  <c r="F2068" i="3" a="1"/>
  <c r="F2068" i="3"/>
  <c r="F2067" i="3" a="1"/>
  <c r="F2067" i="3"/>
  <c r="F2066" i="3" a="1"/>
  <c r="F2066" i="3"/>
  <c r="F2065" i="3" a="1"/>
  <c r="F2065" i="3"/>
  <c r="F2064" i="3" a="1"/>
  <c r="F2064" i="3"/>
  <c r="F2063" i="3" a="1"/>
  <c r="F2063" i="3"/>
  <c r="F2062" i="3" a="1"/>
  <c r="F2062" i="3"/>
  <c r="F2061" i="3" a="1"/>
  <c r="F2061" i="3"/>
  <c r="F2060" i="3" a="1"/>
  <c r="F2060" i="3"/>
  <c r="F2059" i="3" a="1"/>
  <c r="F2059" i="3"/>
  <c r="F2058" i="3" a="1"/>
  <c r="F2058" i="3"/>
  <c r="F2057" i="3" a="1"/>
  <c r="F2057" i="3"/>
  <c r="F2056" i="3" a="1"/>
  <c r="F2056" i="3"/>
  <c r="F2055" i="3" a="1"/>
  <c r="F2055" i="3"/>
  <c r="F2054" i="3" a="1"/>
  <c r="F2054" i="3"/>
  <c r="F2053" i="3" a="1"/>
  <c r="F2053" i="3"/>
  <c r="F2052" i="3" a="1"/>
  <c r="F2052" i="3"/>
  <c r="F2051" i="3" a="1"/>
  <c r="F2051" i="3"/>
  <c r="F2050" i="3" a="1"/>
  <c r="F2050" i="3"/>
  <c r="F2049" i="3" a="1"/>
  <c r="F2049" i="3"/>
  <c r="F2048" i="3" a="1"/>
  <c r="F2048" i="3"/>
  <c r="F2047" i="3" a="1"/>
  <c r="F2047" i="3"/>
  <c r="F2046" i="3" a="1"/>
  <c r="F2046" i="3"/>
  <c r="F2045" i="3" a="1"/>
  <c r="F2045" i="3"/>
  <c r="F2044" i="3" a="1"/>
  <c r="F2044" i="3"/>
  <c r="F2043" i="3" a="1"/>
  <c r="F2043" i="3"/>
  <c r="F2042" i="3" a="1"/>
  <c r="F2042" i="3"/>
  <c r="F2041" i="3" a="1"/>
  <c r="F2041" i="3"/>
  <c r="F2040" i="3" a="1"/>
  <c r="F2040" i="3"/>
  <c r="F2039" i="3" a="1"/>
  <c r="F2039" i="3"/>
  <c r="F2038" i="3" a="1"/>
  <c r="F2038" i="3"/>
  <c r="F2037" i="3" a="1"/>
  <c r="F2037" i="3"/>
  <c r="F2036" i="3" a="1"/>
  <c r="F2036" i="3"/>
  <c r="F2035" i="3" a="1"/>
  <c r="F2035" i="3"/>
  <c r="F2034" i="3" a="1"/>
  <c r="F2034" i="3"/>
  <c r="F2033" i="3" a="1"/>
  <c r="F2033" i="3"/>
  <c r="F2032" i="3" a="1"/>
  <c r="F2032" i="3"/>
  <c r="F2031" i="3" a="1"/>
  <c r="F2031" i="3"/>
  <c r="F2030" i="3" a="1"/>
  <c r="F2030" i="3"/>
  <c r="F2029" i="3" a="1"/>
  <c r="F2029" i="3"/>
  <c r="F2028" i="3" a="1"/>
  <c r="F2028" i="3"/>
  <c r="F2027" i="3" a="1"/>
  <c r="F2027" i="3"/>
  <c r="F2026" i="3" a="1"/>
  <c r="F2026" i="3"/>
  <c r="F2025" i="3" a="1"/>
  <c r="F2025" i="3"/>
  <c r="F2024" i="3" a="1"/>
  <c r="F2024" i="3"/>
  <c r="F2023" i="3" a="1"/>
  <c r="F2023" i="3"/>
  <c r="F2022" i="3" a="1"/>
  <c r="F2022" i="3"/>
  <c r="F2021" i="3" a="1"/>
  <c r="F2021" i="3"/>
  <c r="F2020" i="3" a="1"/>
  <c r="F2020" i="3"/>
  <c r="F2019" i="3" a="1"/>
  <c r="F2019" i="3"/>
  <c r="F2018" i="3" a="1"/>
  <c r="F2018" i="3"/>
  <c r="F2017" i="3" a="1"/>
  <c r="F2017" i="3"/>
  <c r="F2016" i="3" a="1"/>
  <c r="F2016" i="3"/>
  <c r="F2015" i="3" a="1"/>
  <c r="F2015" i="3"/>
  <c r="F2014" i="3" a="1"/>
  <c r="F2014" i="3"/>
  <c r="F2013" i="3" a="1"/>
  <c r="F2013" i="3"/>
  <c r="F2012" i="3" a="1"/>
  <c r="F2012" i="3"/>
  <c r="F2011" i="3" a="1"/>
  <c r="F2011" i="3"/>
  <c r="F2010" i="3" a="1"/>
  <c r="F2010" i="3"/>
  <c r="F2009" i="3" a="1"/>
  <c r="F2009" i="3"/>
  <c r="F2008" i="3" a="1"/>
  <c r="F2008" i="3"/>
  <c r="F2007" i="3" a="1"/>
  <c r="F2007" i="3"/>
  <c r="F2006" i="3" a="1"/>
  <c r="F2006" i="3"/>
  <c r="F2005" i="3" a="1"/>
  <c r="F2005" i="3"/>
  <c r="F2004" i="3" a="1"/>
  <c r="F2004" i="3"/>
  <c r="F2003" i="3" a="1"/>
  <c r="F2003" i="3"/>
  <c r="F2002" i="3" a="1"/>
  <c r="F2002" i="3"/>
  <c r="F2001" i="3" a="1"/>
  <c r="F2001" i="3"/>
  <c r="F2000" i="3" a="1"/>
  <c r="F2000" i="3"/>
  <c r="F1999" i="3" a="1"/>
  <c r="F1999" i="3"/>
  <c r="F1998" i="3" a="1"/>
  <c r="F1998" i="3"/>
  <c r="F1997" i="3" a="1"/>
  <c r="F1997" i="3"/>
  <c r="F1996" i="3" a="1"/>
  <c r="F1996" i="3"/>
  <c r="F1995" i="3" a="1"/>
  <c r="F1995" i="3"/>
  <c r="F1994" i="3" a="1"/>
  <c r="F1994" i="3"/>
  <c r="F1993" i="3" a="1"/>
  <c r="F1993" i="3"/>
  <c r="F1992" i="3" a="1"/>
  <c r="F1992" i="3"/>
  <c r="F1991" i="3" a="1"/>
  <c r="F1991" i="3"/>
  <c r="F1990" i="3" a="1"/>
  <c r="F1990" i="3"/>
  <c r="F1989" i="3" a="1"/>
  <c r="F1989" i="3"/>
  <c r="F1988" i="3" a="1"/>
  <c r="F1988" i="3"/>
  <c r="F1987" i="3" a="1"/>
  <c r="F1987" i="3"/>
  <c r="F1986" i="3" a="1"/>
  <c r="F1986" i="3"/>
  <c r="F1985" i="3" a="1"/>
  <c r="F1985" i="3"/>
  <c r="F1984" i="3" a="1"/>
  <c r="F1984" i="3"/>
  <c r="F1983" i="3" a="1"/>
  <c r="F1983" i="3"/>
  <c r="F1982" i="3" a="1"/>
  <c r="F1982" i="3"/>
  <c r="F1981" i="3" a="1"/>
  <c r="F1981" i="3"/>
  <c r="F1980" i="3" a="1"/>
  <c r="F1980" i="3"/>
  <c r="F1979" i="3" a="1"/>
  <c r="F1979" i="3"/>
  <c r="F1978" i="3" a="1"/>
  <c r="F1978" i="3"/>
  <c r="F1977" i="3" a="1"/>
  <c r="F1977" i="3"/>
  <c r="F1976" i="3" a="1"/>
  <c r="F1976" i="3"/>
  <c r="F1975" i="3" a="1"/>
  <c r="F1975" i="3"/>
  <c r="F1974" i="3" a="1"/>
  <c r="F1974" i="3"/>
  <c r="F1973" i="3" a="1"/>
  <c r="F1973" i="3"/>
  <c r="F1972" i="3" a="1"/>
  <c r="F1972" i="3"/>
  <c r="F1971" i="3" a="1"/>
  <c r="F1971" i="3"/>
  <c r="F1970" i="3" a="1"/>
  <c r="F1970" i="3"/>
  <c r="F1969" i="3" a="1"/>
  <c r="F1969" i="3"/>
  <c r="F1968" i="3" a="1"/>
  <c r="F1968" i="3"/>
  <c r="F1967" i="3" a="1"/>
  <c r="F1967" i="3"/>
  <c r="F1966" i="3" a="1"/>
  <c r="F1966" i="3"/>
  <c r="F1965" i="3" a="1"/>
  <c r="F1965" i="3"/>
  <c r="F1964" i="3" a="1"/>
  <c r="F1964" i="3"/>
  <c r="F1963" i="3" a="1"/>
  <c r="F1963" i="3"/>
  <c r="F1962" i="3" a="1"/>
  <c r="F1962" i="3"/>
  <c r="F1961" i="3" a="1"/>
  <c r="F1961" i="3"/>
  <c r="F1960" i="3" a="1"/>
  <c r="F1960" i="3"/>
  <c r="F1959" i="3" a="1"/>
  <c r="F1959" i="3"/>
  <c r="F1958" i="3" a="1"/>
  <c r="F1958" i="3"/>
  <c r="F1957" i="3" a="1"/>
  <c r="F1957" i="3"/>
  <c r="F1956" i="3" a="1"/>
  <c r="F1956" i="3"/>
  <c r="F1955" i="3" a="1"/>
  <c r="F1955" i="3"/>
  <c r="F1954" i="3" a="1"/>
  <c r="F1954" i="3"/>
  <c r="F1953" i="3" a="1"/>
  <c r="F1953" i="3"/>
  <c r="F1952" i="3" a="1"/>
  <c r="F1952" i="3"/>
  <c r="F1951" i="3" a="1"/>
  <c r="F1951" i="3"/>
  <c r="F1950" i="3" a="1"/>
  <c r="F1950" i="3"/>
  <c r="F1949" i="3" a="1"/>
  <c r="F1949" i="3"/>
  <c r="F1948" i="3" a="1"/>
  <c r="F1948" i="3"/>
  <c r="F1947" i="3" a="1"/>
  <c r="F1947" i="3"/>
  <c r="F1946" i="3" a="1"/>
  <c r="F1946" i="3"/>
  <c r="F1945" i="3" a="1"/>
  <c r="F1945" i="3"/>
  <c r="F1944" i="3" a="1"/>
  <c r="F1944" i="3"/>
  <c r="F1943" i="3" a="1"/>
  <c r="F1943" i="3"/>
  <c r="F1942" i="3" a="1"/>
  <c r="F1942" i="3"/>
  <c r="F1941" i="3" a="1"/>
  <c r="F1941" i="3"/>
  <c r="F1940" i="3" a="1"/>
  <c r="F1940" i="3"/>
  <c r="F1939" i="3" a="1"/>
  <c r="F1939" i="3"/>
  <c r="F1938" i="3" a="1"/>
  <c r="F1938" i="3"/>
  <c r="F1937" i="3" a="1"/>
  <c r="F1937" i="3"/>
  <c r="F1936" i="3" a="1"/>
  <c r="F1936" i="3"/>
  <c r="F1935" i="3" a="1"/>
  <c r="F1935" i="3"/>
  <c r="F1934" i="3" a="1"/>
  <c r="F1934" i="3"/>
  <c r="F1933" i="3" a="1"/>
  <c r="F1933" i="3"/>
  <c r="F1932" i="3" a="1"/>
  <c r="F1932" i="3"/>
  <c r="F1931" i="3" a="1"/>
  <c r="F1931" i="3"/>
  <c r="F1930" i="3" a="1"/>
  <c r="F1930" i="3"/>
  <c r="F1929" i="3" a="1"/>
  <c r="F1929" i="3"/>
  <c r="F1928" i="3" a="1"/>
  <c r="F1928" i="3"/>
  <c r="F1927" i="3" a="1"/>
  <c r="F1927" i="3"/>
  <c r="F1926" i="3" a="1"/>
  <c r="F1926" i="3"/>
  <c r="F1925" i="3" a="1"/>
  <c r="F1925" i="3"/>
  <c r="F1924" i="3" a="1"/>
  <c r="F1924" i="3"/>
  <c r="F1923" i="3" a="1"/>
  <c r="F1923" i="3"/>
  <c r="F1922" i="3" a="1"/>
  <c r="F1922" i="3"/>
  <c r="F1921" i="3" a="1"/>
  <c r="F1921" i="3"/>
  <c r="F1920" i="3" a="1"/>
  <c r="F1920" i="3"/>
  <c r="F1919" i="3" a="1"/>
  <c r="F1919" i="3"/>
  <c r="F1918" i="3" a="1"/>
  <c r="F1918" i="3"/>
  <c r="F1917" i="3" a="1"/>
  <c r="F1917" i="3"/>
  <c r="F1916" i="3" a="1"/>
  <c r="F1916" i="3"/>
  <c r="F1915" i="3" a="1"/>
  <c r="F1915" i="3"/>
  <c r="F1914" i="3" a="1"/>
  <c r="F1914" i="3"/>
  <c r="F1913" i="3" a="1"/>
  <c r="F1913" i="3"/>
  <c r="F1912" i="3" a="1"/>
  <c r="F1912" i="3"/>
  <c r="F1911" i="3" a="1"/>
  <c r="F1911" i="3"/>
  <c r="F1910" i="3" a="1"/>
  <c r="F1910" i="3"/>
  <c r="F1909" i="3" a="1"/>
  <c r="F1909" i="3"/>
  <c r="F1908" i="3" a="1"/>
  <c r="F1908" i="3"/>
  <c r="F1907" i="3" a="1"/>
  <c r="F1907" i="3"/>
  <c r="F1906" i="3" a="1"/>
  <c r="F1906" i="3"/>
  <c r="F1905" i="3" a="1"/>
  <c r="F1905" i="3"/>
  <c r="F1904" i="3" a="1"/>
  <c r="F1904" i="3"/>
  <c r="F1903" i="3" a="1"/>
  <c r="F1903" i="3"/>
  <c r="F1902" i="3" a="1"/>
  <c r="F1902" i="3"/>
  <c r="F1901" i="3" a="1"/>
  <c r="F1901" i="3"/>
  <c r="F1900" i="3" a="1"/>
  <c r="F1900" i="3"/>
  <c r="F1899" i="3" a="1"/>
  <c r="F1899" i="3"/>
  <c r="F1898" i="3" a="1"/>
  <c r="F1898" i="3"/>
  <c r="F1897" i="3" a="1"/>
  <c r="F1897" i="3"/>
  <c r="F1896" i="3" a="1"/>
  <c r="F1896" i="3"/>
  <c r="F1895" i="3" a="1"/>
  <c r="F1895" i="3"/>
  <c r="F1894" i="3" a="1"/>
  <c r="F1894" i="3"/>
  <c r="F1893" i="3" a="1"/>
  <c r="F1893" i="3"/>
  <c r="F1892" i="3" a="1"/>
  <c r="F1892" i="3"/>
  <c r="F1891" i="3" a="1"/>
  <c r="F1891" i="3"/>
  <c r="F1890" i="3" a="1"/>
  <c r="F1890" i="3"/>
  <c r="F1889" i="3" a="1"/>
  <c r="F1889" i="3"/>
  <c r="F1888" i="3" a="1"/>
  <c r="F1888" i="3"/>
  <c r="F1887" i="3" a="1"/>
  <c r="F1887" i="3"/>
  <c r="F1886" i="3" a="1"/>
  <c r="F1886" i="3"/>
  <c r="F1885" i="3" a="1"/>
  <c r="F1885" i="3"/>
  <c r="F1884" i="3" a="1"/>
  <c r="F1884" i="3"/>
  <c r="F1883" i="3" a="1"/>
  <c r="F1883" i="3"/>
  <c r="F1882" i="3" a="1"/>
  <c r="F1882" i="3"/>
  <c r="F1881" i="3" a="1"/>
  <c r="F1881" i="3"/>
  <c r="F1880" i="3" a="1"/>
  <c r="F1880" i="3"/>
  <c r="F1879" i="3" a="1"/>
  <c r="F1879" i="3"/>
  <c r="F1878" i="3" a="1"/>
  <c r="F1878" i="3"/>
  <c r="F1877" i="3" a="1"/>
  <c r="F1877" i="3"/>
  <c r="F1876" i="3" a="1"/>
  <c r="F1876" i="3"/>
  <c r="F1875" i="3" a="1"/>
  <c r="F1875" i="3"/>
  <c r="F1874" i="3" a="1"/>
  <c r="F1874" i="3"/>
  <c r="F1873" i="3" a="1"/>
  <c r="F1873" i="3"/>
  <c r="F1872" i="3" a="1"/>
  <c r="F1872" i="3"/>
  <c r="F1871" i="3" a="1"/>
  <c r="F1871" i="3"/>
  <c r="F1870" i="3" a="1"/>
  <c r="F1870" i="3"/>
  <c r="F1869" i="3" a="1"/>
  <c r="F1869" i="3"/>
  <c r="F1868" i="3" a="1"/>
  <c r="F1868" i="3"/>
  <c r="F1867" i="3" a="1"/>
  <c r="F1867" i="3"/>
  <c r="F1866" i="3" a="1"/>
  <c r="F1866" i="3"/>
  <c r="F1865" i="3" a="1"/>
  <c r="F1865" i="3"/>
  <c r="F1864" i="3" a="1"/>
  <c r="F1864" i="3"/>
  <c r="F1863" i="3" a="1"/>
  <c r="F1863" i="3"/>
  <c r="F1862" i="3" a="1"/>
  <c r="F1862" i="3"/>
  <c r="F1861" i="3" a="1"/>
  <c r="F1861" i="3"/>
  <c r="F1860" i="3" a="1"/>
  <c r="F1860" i="3"/>
  <c r="F1859" i="3" a="1"/>
  <c r="F1859" i="3"/>
  <c r="F1858" i="3" a="1"/>
  <c r="F1858" i="3"/>
  <c r="F1857" i="3" a="1"/>
  <c r="F1857" i="3"/>
  <c r="F1856" i="3" a="1"/>
  <c r="F1856" i="3"/>
  <c r="F1855" i="3" a="1"/>
  <c r="F1855" i="3"/>
  <c r="F1854" i="3" a="1"/>
  <c r="F1854" i="3"/>
  <c r="F1853" i="3" a="1"/>
  <c r="F1853" i="3"/>
  <c r="F1852" i="3" a="1"/>
  <c r="F1852" i="3"/>
  <c r="F1851" i="3" a="1"/>
  <c r="F1851" i="3"/>
  <c r="F1850" i="3" a="1"/>
  <c r="F1850" i="3"/>
  <c r="F1849" i="3" a="1"/>
  <c r="F1849" i="3"/>
  <c r="F1848" i="3" a="1"/>
  <c r="F1848" i="3"/>
  <c r="F1847" i="3" a="1"/>
  <c r="F1847" i="3"/>
  <c r="F1846" i="3" a="1"/>
  <c r="F1846" i="3"/>
  <c r="F1845" i="3" a="1"/>
  <c r="F1845" i="3"/>
  <c r="F1844" i="3" a="1"/>
  <c r="F1844" i="3"/>
  <c r="F1843" i="3" a="1"/>
  <c r="F1843" i="3"/>
  <c r="F1842" i="3" a="1"/>
  <c r="F1842" i="3"/>
  <c r="F1841" i="3" a="1"/>
  <c r="F1841" i="3"/>
  <c r="F1840" i="3" a="1"/>
  <c r="F1840" i="3"/>
  <c r="F1839" i="3" a="1"/>
  <c r="F1839" i="3"/>
  <c r="F1838" i="3" a="1"/>
  <c r="F1838" i="3"/>
  <c r="F1837" i="3" a="1"/>
  <c r="F1837" i="3"/>
  <c r="F1836" i="3" a="1"/>
  <c r="F1836" i="3"/>
  <c r="F1835" i="3" a="1"/>
  <c r="F1835" i="3"/>
  <c r="F1834" i="3" a="1"/>
  <c r="F1834" i="3"/>
  <c r="F1833" i="3" a="1"/>
  <c r="F1833" i="3"/>
  <c r="F1832" i="3" a="1"/>
  <c r="F1832" i="3"/>
  <c r="F1831" i="3" a="1"/>
  <c r="F1831" i="3"/>
  <c r="F1830" i="3" a="1"/>
  <c r="F1830" i="3"/>
  <c r="F1829" i="3" a="1"/>
  <c r="F1829" i="3"/>
  <c r="F1828" i="3" a="1"/>
  <c r="F1828" i="3"/>
  <c r="F1827" i="3" a="1"/>
  <c r="F1827" i="3"/>
  <c r="F1826" i="3" a="1"/>
  <c r="F1826" i="3"/>
  <c r="F1825" i="3" a="1"/>
  <c r="F1825" i="3"/>
  <c r="F1824" i="3" a="1"/>
  <c r="F1824" i="3"/>
  <c r="F1823" i="3" a="1"/>
  <c r="F1823" i="3"/>
  <c r="F1822" i="3" a="1"/>
  <c r="F1822" i="3"/>
  <c r="F1821" i="3" a="1"/>
  <c r="F1821" i="3"/>
  <c r="F1820" i="3" a="1"/>
  <c r="F1820" i="3"/>
  <c r="F1819" i="3" a="1"/>
  <c r="F1819" i="3"/>
  <c r="F1818" i="3" a="1"/>
  <c r="F1818" i="3"/>
  <c r="F1817" i="3" a="1"/>
  <c r="F1817" i="3"/>
  <c r="F1816" i="3" a="1"/>
  <c r="F1816" i="3"/>
  <c r="F1815" i="3" a="1"/>
  <c r="F1815" i="3"/>
  <c r="F1814" i="3" a="1"/>
  <c r="F1814" i="3"/>
  <c r="F1813" i="3" a="1"/>
  <c r="F1813" i="3"/>
  <c r="F1812" i="3" a="1"/>
  <c r="F1812" i="3"/>
  <c r="F1811" i="3" a="1"/>
  <c r="F1811" i="3"/>
  <c r="F1810" i="3" a="1"/>
  <c r="F1810" i="3"/>
  <c r="F1809" i="3" a="1"/>
  <c r="F1809" i="3"/>
  <c r="F1808" i="3" a="1"/>
  <c r="F1808" i="3"/>
  <c r="F1807" i="3" a="1"/>
  <c r="F1807" i="3"/>
  <c r="F1806" i="3" a="1"/>
  <c r="F1806" i="3"/>
  <c r="F1805" i="3" a="1"/>
  <c r="F1805" i="3"/>
  <c r="F1804" i="3" a="1"/>
  <c r="F1804" i="3"/>
  <c r="F1803" i="3" a="1"/>
  <c r="F1803" i="3"/>
  <c r="F1802" i="3" a="1"/>
  <c r="F1802" i="3"/>
  <c r="F1801" i="3" a="1"/>
  <c r="F1801" i="3"/>
  <c r="F1800" i="3" a="1"/>
  <c r="F1800" i="3"/>
  <c r="F1799" i="3" a="1"/>
  <c r="F1799" i="3"/>
  <c r="F1798" i="3" a="1"/>
  <c r="F1798" i="3"/>
  <c r="F1797" i="3" a="1"/>
  <c r="F1797" i="3"/>
  <c r="F1796" i="3" a="1"/>
  <c r="F1796" i="3"/>
  <c r="F1795" i="3" a="1"/>
  <c r="F1795" i="3"/>
  <c r="F1794" i="3" a="1"/>
  <c r="F1794" i="3"/>
  <c r="F1793" i="3" a="1"/>
  <c r="F1793" i="3"/>
  <c r="F1792" i="3" a="1"/>
  <c r="F1792" i="3"/>
  <c r="F1791" i="3" a="1"/>
  <c r="F1791" i="3"/>
  <c r="F1790" i="3" a="1"/>
  <c r="F1790" i="3"/>
  <c r="F1789" i="3" a="1"/>
  <c r="F1789" i="3"/>
  <c r="F1788" i="3" a="1"/>
  <c r="F1788" i="3"/>
  <c r="F1787" i="3" a="1"/>
  <c r="F1787" i="3"/>
  <c r="F1786" i="3" a="1"/>
  <c r="F1786" i="3"/>
  <c r="F1785" i="3" a="1"/>
  <c r="F1785" i="3"/>
  <c r="F1784" i="3" a="1"/>
  <c r="F1784" i="3"/>
  <c r="F1783" i="3" a="1"/>
  <c r="F1783" i="3"/>
  <c r="F1782" i="3" a="1"/>
  <c r="F1782" i="3"/>
  <c r="F1781" i="3" a="1"/>
  <c r="F1781" i="3"/>
  <c r="F1780" i="3" a="1"/>
  <c r="F1780" i="3"/>
  <c r="F1779" i="3" a="1"/>
  <c r="F1779" i="3"/>
  <c r="F1778" i="3" a="1"/>
  <c r="F1778" i="3"/>
  <c r="F1777" i="3" a="1"/>
  <c r="F1777" i="3"/>
  <c r="F1776" i="3" a="1"/>
  <c r="F1776" i="3"/>
  <c r="F1775" i="3" a="1"/>
  <c r="F1775" i="3"/>
  <c r="F1774" i="3" a="1"/>
  <c r="F1774" i="3"/>
  <c r="F1773" i="3" a="1"/>
  <c r="F1773" i="3"/>
  <c r="F1772" i="3" a="1"/>
  <c r="F1772" i="3"/>
  <c r="F1771" i="3" a="1"/>
  <c r="F1771" i="3"/>
  <c r="F1770" i="3" a="1"/>
  <c r="F1770" i="3"/>
  <c r="F1769" i="3" a="1"/>
  <c r="F1769" i="3"/>
  <c r="F1768" i="3" a="1"/>
  <c r="F1768" i="3"/>
  <c r="F1767" i="3" a="1"/>
  <c r="F1767" i="3"/>
  <c r="F1766" i="3" a="1"/>
  <c r="F1766" i="3"/>
  <c r="F1765" i="3" a="1"/>
  <c r="F1765" i="3"/>
  <c r="F1764" i="3" a="1"/>
  <c r="F1764" i="3"/>
  <c r="F1763" i="3" a="1"/>
  <c r="F1763" i="3"/>
  <c r="F1762" i="3" a="1"/>
  <c r="F1762" i="3"/>
  <c r="F1761" i="3" a="1"/>
  <c r="F1761" i="3"/>
  <c r="F1760" i="3" a="1"/>
  <c r="F1760" i="3"/>
  <c r="F1759" i="3" a="1"/>
  <c r="F1759" i="3"/>
  <c r="F1758" i="3" a="1"/>
  <c r="F1758" i="3"/>
  <c r="F1757" i="3" a="1"/>
  <c r="F1757" i="3"/>
  <c r="F1756" i="3" a="1"/>
  <c r="F1756" i="3"/>
  <c r="F1755" i="3" a="1"/>
  <c r="F1755" i="3"/>
  <c r="F1754" i="3" a="1"/>
  <c r="F1754" i="3"/>
  <c r="F1753" i="3" a="1"/>
  <c r="F1753" i="3"/>
  <c r="F1752" i="3" a="1"/>
  <c r="F1752" i="3"/>
  <c r="F1751" i="3" a="1"/>
  <c r="F1751" i="3"/>
  <c r="F1750" i="3" a="1"/>
  <c r="F1750" i="3"/>
  <c r="F1749" i="3" a="1"/>
  <c r="F1749" i="3"/>
  <c r="F1748" i="3" a="1"/>
  <c r="F1748" i="3"/>
  <c r="F1747" i="3" a="1"/>
  <c r="F1747" i="3"/>
  <c r="F1746" i="3" a="1"/>
  <c r="F1746" i="3"/>
  <c r="F1745" i="3" a="1"/>
  <c r="F1745" i="3"/>
  <c r="F1744" i="3" a="1"/>
  <c r="F1744" i="3"/>
  <c r="F1743" i="3" a="1"/>
  <c r="F1743" i="3"/>
  <c r="F1742" i="3" a="1"/>
  <c r="F1742" i="3"/>
  <c r="F1741" i="3" a="1"/>
  <c r="F1741" i="3"/>
  <c r="F1740" i="3" a="1"/>
  <c r="F1740" i="3"/>
  <c r="F1739" i="3" a="1"/>
  <c r="F1739" i="3"/>
  <c r="F1738" i="3" a="1"/>
  <c r="F1738" i="3"/>
  <c r="F1737" i="3" a="1"/>
  <c r="F1737" i="3"/>
  <c r="F1736" i="3" a="1"/>
  <c r="F1736" i="3"/>
  <c r="F1735" i="3" a="1"/>
  <c r="F1735" i="3"/>
  <c r="F1734" i="3" a="1"/>
  <c r="F1734" i="3"/>
  <c r="F1733" i="3" a="1"/>
  <c r="F1733" i="3"/>
  <c r="F1732" i="3" a="1"/>
  <c r="F1732" i="3"/>
  <c r="F1731" i="3" a="1"/>
  <c r="F1731" i="3"/>
  <c r="F1730" i="3" a="1"/>
  <c r="F1730" i="3"/>
  <c r="F1729" i="3" a="1"/>
  <c r="F1729" i="3"/>
  <c r="F1728" i="3" a="1"/>
  <c r="F1728" i="3"/>
  <c r="F1727" i="3" a="1"/>
  <c r="F1727" i="3"/>
  <c r="F1726" i="3" a="1"/>
  <c r="F1726" i="3"/>
  <c r="F1725" i="3" a="1"/>
  <c r="F1725" i="3"/>
  <c r="F1724" i="3" a="1"/>
  <c r="F1724" i="3"/>
  <c r="F1723" i="3" a="1"/>
  <c r="F1723" i="3"/>
  <c r="F1722" i="3" a="1"/>
  <c r="F1722" i="3"/>
  <c r="F1721" i="3" a="1"/>
  <c r="F1721" i="3"/>
  <c r="F1720" i="3" a="1"/>
  <c r="F1720" i="3"/>
  <c r="F1719" i="3" a="1"/>
  <c r="F1719" i="3"/>
  <c r="F1718" i="3" a="1"/>
  <c r="F1718" i="3"/>
  <c r="F1717" i="3" a="1"/>
  <c r="F1717" i="3"/>
  <c r="F1716" i="3" a="1"/>
  <c r="F1716" i="3"/>
  <c r="F1715" i="3" a="1"/>
  <c r="F1715" i="3"/>
  <c r="F1714" i="3" a="1"/>
  <c r="F1714" i="3"/>
  <c r="F1713" i="3" a="1"/>
  <c r="F1713" i="3"/>
  <c r="F1712" i="3" a="1"/>
  <c r="F1712" i="3"/>
  <c r="F1711" i="3" a="1"/>
  <c r="F1711" i="3"/>
  <c r="F1710" i="3" a="1"/>
  <c r="F1710" i="3"/>
  <c r="F1709" i="3" a="1"/>
  <c r="F1709" i="3"/>
  <c r="F1708" i="3" a="1"/>
  <c r="F1708" i="3"/>
  <c r="F1707" i="3" a="1"/>
  <c r="F1707" i="3"/>
  <c r="F1706" i="3" a="1"/>
  <c r="F1706" i="3"/>
  <c r="F1705" i="3" a="1"/>
  <c r="F1705" i="3"/>
  <c r="F1704" i="3" a="1"/>
  <c r="F1704" i="3"/>
  <c r="F1703" i="3" a="1"/>
  <c r="F1703" i="3"/>
  <c r="F1702" i="3" a="1"/>
  <c r="F1702" i="3"/>
  <c r="F1701" i="3" a="1"/>
  <c r="F1701" i="3"/>
  <c r="F1700" i="3" a="1"/>
  <c r="F1700" i="3"/>
  <c r="F1699" i="3" a="1"/>
  <c r="F1699" i="3"/>
  <c r="F1698" i="3" a="1"/>
  <c r="F1698" i="3"/>
  <c r="F1697" i="3" a="1"/>
  <c r="F1697" i="3"/>
  <c r="F1696" i="3" a="1"/>
  <c r="F1696" i="3"/>
  <c r="F1695" i="3" a="1"/>
  <c r="F1695" i="3"/>
  <c r="F1694" i="3" a="1"/>
  <c r="F1694" i="3"/>
  <c r="F1693" i="3" a="1"/>
  <c r="F1693" i="3"/>
  <c r="F1692" i="3" a="1"/>
  <c r="F1692" i="3"/>
  <c r="F1691" i="3" a="1"/>
  <c r="F1691" i="3"/>
  <c r="F1690" i="3" a="1"/>
  <c r="F1690" i="3"/>
  <c r="F1689" i="3" a="1"/>
  <c r="F1689" i="3"/>
  <c r="F1688" i="3" a="1"/>
  <c r="F1688" i="3"/>
  <c r="F1687" i="3" a="1"/>
  <c r="F1687" i="3"/>
  <c r="F1686" i="3" a="1"/>
  <c r="F1686" i="3"/>
  <c r="F1685" i="3" a="1"/>
  <c r="F1685" i="3"/>
  <c r="F1684" i="3" a="1"/>
  <c r="F1684" i="3"/>
  <c r="F1683" i="3" a="1"/>
  <c r="F1683" i="3"/>
  <c r="F1682" i="3" a="1"/>
  <c r="F1682" i="3"/>
  <c r="F1681" i="3" a="1"/>
  <c r="F1681" i="3"/>
  <c r="F1680" i="3" a="1"/>
  <c r="F1680" i="3"/>
  <c r="F1679" i="3" a="1"/>
  <c r="F1679" i="3"/>
  <c r="F1678" i="3" a="1"/>
  <c r="F1678" i="3"/>
  <c r="F1677" i="3" a="1"/>
  <c r="F1677" i="3"/>
  <c r="F1676" i="3" a="1"/>
  <c r="F1676" i="3"/>
  <c r="F1675" i="3" a="1"/>
  <c r="F1675" i="3"/>
  <c r="F1674" i="3" a="1"/>
  <c r="F1674" i="3"/>
  <c r="F1673" i="3" a="1"/>
  <c r="F1673" i="3"/>
  <c r="F1672" i="3" a="1"/>
  <c r="F1672" i="3"/>
  <c r="F1671" i="3" a="1"/>
  <c r="F1671" i="3"/>
  <c r="F1670" i="3" a="1"/>
  <c r="F1670" i="3"/>
  <c r="F1669" i="3" a="1"/>
  <c r="F1669" i="3"/>
  <c r="F1668" i="3" a="1"/>
  <c r="F1668" i="3"/>
  <c r="F1667" i="3" a="1"/>
  <c r="F1667" i="3"/>
  <c r="F1666" i="3" a="1"/>
  <c r="F1666" i="3"/>
  <c r="F1665" i="3" a="1"/>
  <c r="F1665" i="3"/>
  <c r="F1664" i="3" a="1"/>
  <c r="F1664" i="3"/>
  <c r="F1663" i="3" a="1"/>
  <c r="F1663" i="3"/>
  <c r="F1662" i="3" a="1"/>
  <c r="F1662" i="3"/>
  <c r="F1661" i="3" a="1"/>
  <c r="F1661" i="3"/>
  <c r="F1660" i="3" a="1"/>
  <c r="F1660" i="3"/>
  <c r="F1659" i="3" a="1"/>
  <c r="F1659" i="3"/>
  <c r="F1658" i="3" a="1"/>
  <c r="F1658" i="3"/>
  <c r="F1657" i="3" a="1"/>
  <c r="F1657" i="3"/>
  <c r="F1656" i="3" a="1"/>
  <c r="F1656" i="3"/>
  <c r="F1655" i="3" a="1"/>
  <c r="F1655" i="3"/>
  <c r="F1654" i="3" a="1"/>
  <c r="F1654" i="3"/>
  <c r="F1653" i="3" a="1"/>
  <c r="F1653" i="3"/>
  <c r="F1652" i="3" a="1"/>
  <c r="F1652" i="3"/>
  <c r="F1651" i="3" a="1"/>
  <c r="F1651" i="3"/>
  <c r="F1650" i="3" a="1"/>
  <c r="F1650" i="3"/>
  <c r="F1649" i="3" a="1"/>
  <c r="F1649" i="3"/>
  <c r="F1648" i="3" a="1"/>
  <c r="F1648" i="3"/>
  <c r="F1647" i="3" a="1"/>
  <c r="F1647" i="3"/>
  <c r="F1646" i="3" a="1"/>
  <c r="F1646" i="3"/>
  <c r="F1645" i="3" a="1"/>
  <c r="F1645" i="3"/>
  <c r="F1644" i="3" a="1"/>
  <c r="F1644" i="3"/>
  <c r="F1643" i="3" a="1"/>
  <c r="F1643" i="3"/>
  <c r="F1642" i="3" a="1"/>
  <c r="F1642" i="3"/>
  <c r="F1641" i="3" a="1"/>
  <c r="F1641" i="3"/>
  <c r="F1640" i="3" a="1"/>
  <c r="F1640" i="3"/>
  <c r="F1639" i="3" a="1"/>
  <c r="F1639" i="3"/>
  <c r="F1638" i="3" a="1"/>
  <c r="F1638" i="3"/>
  <c r="F1637" i="3" a="1"/>
  <c r="F1637" i="3"/>
  <c r="F1636" i="3" a="1"/>
  <c r="F1636" i="3"/>
  <c r="F1635" i="3" a="1"/>
  <c r="F1635" i="3"/>
  <c r="F1634" i="3" a="1"/>
  <c r="F1634" i="3"/>
  <c r="F1633" i="3" a="1"/>
  <c r="F1633" i="3"/>
  <c r="F1632" i="3" a="1"/>
  <c r="F1632" i="3"/>
  <c r="F1631" i="3" a="1"/>
  <c r="F1631" i="3"/>
  <c r="F1630" i="3" a="1"/>
  <c r="F1630" i="3"/>
  <c r="F1629" i="3" a="1"/>
  <c r="F1629" i="3"/>
  <c r="F1628" i="3" a="1"/>
  <c r="F1628" i="3"/>
  <c r="F1627" i="3" a="1"/>
  <c r="F1627" i="3"/>
  <c r="F1626" i="3" a="1"/>
  <c r="F1626" i="3"/>
  <c r="F1625" i="3" a="1"/>
  <c r="F1625" i="3"/>
  <c r="F1624" i="3" a="1"/>
  <c r="F1624" i="3"/>
  <c r="F1623" i="3" a="1"/>
  <c r="F1623" i="3"/>
  <c r="F1622" i="3" a="1"/>
  <c r="F1622" i="3"/>
  <c r="F1621" i="3" a="1"/>
  <c r="F1621" i="3"/>
  <c r="F1620" i="3" a="1"/>
  <c r="F1620" i="3"/>
  <c r="F1619" i="3" a="1"/>
  <c r="F1619" i="3"/>
  <c r="F1618" i="3" a="1"/>
  <c r="F1618" i="3"/>
  <c r="F1617" i="3" a="1"/>
  <c r="F1617" i="3"/>
  <c r="F1616" i="3" a="1"/>
  <c r="F1616" i="3"/>
  <c r="F1615" i="3" a="1"/>
  <c r="F1615" i="3"/>
  <c r="F1614" i="3" a="1"/>
  <c r="F1614" i="3"/>
  <c r="F1613" i="3" a="1"/>
  <c r="F1613" i="3"/>
  <c r="F1612" i="3" a="1"/>
  <c r="F1612" i="3"/>
  <c r="F1611" i="3" a="1"/>
  <c r="F1611" i="3"/>
  <c r="F1610" i="3" a="1"/>
  <c r="F1610" i="3"/>
  <c r="F1609" i="3" a="1"/>
  <c r="F1609" i="3"/>
  <c r="F1608" i="3" a="1"/>
  <c r="F1608" i="3"/>
  <c r="F1607" i="3" a="1"/>
  <c r="F1607" i="3"/>
  <c r="F1606" i="3" a="1"/>
  <c r="F1606" i="3"/>
  <c r="F1605" i="3" a="1"/>
  <c r="F1605" i="3"/>
  <c r="F1604" i="3" a="1"/>
  <c r="F1604" i="3"/>
  <c r="F1603" i="3" a="1"/>
  <c r="F1603" i="3"/>
  <c r="F1602" i="3" a="1"/>
  <c r="F1602" i="3"/>
  <c r="F1601" i="3" a="1"/>
  <c r="F1601" i="3"/>
  <c r="F1600" i="3" a="1"/>
  <c r="F1600" i="3"/>
  <c r="F1599" i="3" a="1"/>
  <c r="F1599" i="3"/>
  <c r="F1598" i="3" a="1"/>
  <c r="F1598" i="3"/>
  <c r="F1597" i="3" a="1"/>
  <c r="F1597" i="3"/>
  <c r="F1596" i="3" a="1"/>
  <c r="F1596" i="3"/>
  <c r="F1595" i="3" a="1"/>
  <c r="F1595" i="3"/>
  <c r="F1594" i="3" a="1"/>
  <c r="F1594" i="3"/>
  <c r="F1593" i="3" a="1"/>
  <c r="F1593" i="3"/>
  <c r="F1592" i="3" a="1"/>
  <c r="F1592" i="3"/>
  <c r="F1591" i="3" a="1"/>
  <c r="F1591" i="3"/>
  <c r="F1590" i="3" a="1"/>
  <c r="F1590" i="3"/>
  <c r="F1589" i="3" a="1"/>
  <c r="F1589" i="3"/>
  <c r="F1588" i="3" a="1"/>
  <c r="F1588" i="3"/>
  <c r="F1587" i="3" a="1"/>
  <c r="F1587" i="3"/>
  <c r="F1586" i="3" a="1"/>
  <c r="F1586" i="3"/>
  <c r="F1585" i="3" a="1"/>
  <c r="F1585" i="3"/>
  <c r="F1584" i="3" a="1"/>
  <c r="F1584" i="3"/>
  <c r="F1583" i="3" a="1"/>
  <c r="F1583" i="3"/>
  <c r="F1582" i="3" a="1"/>
  <c r="F1582" i="3"/>
  <c r="F1581" i="3" a="1"/>
  <c r="F1581" i="3"/>
  <c r="F1580" i="3" a="1"/>
  <c r="F1580" i="3"/>
  <c r="F1579" i="3" a="1"/>
  <c r="F1579" i="3"/>
  <c r="F1578" i="3" a="1"/>
  <c r="F1578" i="3"/>
  <c r="F1577" i="3" a="1"/>
  <c r="F1577" i="3"/>
  <c r="F1576" i="3" a="1"/>
  <c r="F1576" i="3"/>
  <c r="F1575" i="3" a="1"/>
  <c r="F1575" i="3"/>
  <c r="F1574" i="3" a="1"/>
  <c r="F1574" i="3"/>
  <c r="F1573" i="3" a="1"/>
  <c r="F1573" i="3"/>
  <c r="F1572" i="3" a="1"/>
  <c r="F1572" i="3"/>
  <c r="F1571" i="3" a="1"/>
  <c r="F1571" i="3"/>
  <c r="F1570" i="3" a="1"/>
  <c r="F1570" i="3"/>
  <c r="F1569" i="3" a="1"/>
  <c r="F1569" i="3"/>
  <c r="F1568" i="3" a="1"/>
  <c r="F1568" i="3"/>
  <c r="F1567" i="3" a="1"/>
  <c r="F1567" i="3"/>
  <c r="F1566" i="3" a="1"/>
  <c r="F1566" i="3"/>
  <c r="F1565" i="3" a="1"/>
  <c r="F1565" i="3"/>
  <c r="F1564" i="3" a="1"/>
  <c r="F1564" i="3"/>
  <c r="F1563" i="3" a="1"/>
  <c r="F1563" i="3"/>
  <c r="F1562" i="3" a="1"/>
  <c r="F1562" i="3"/>
  <c r="F1561" i="3" a="1"/>
  <c r="F1561" i="3"/>
  <c r="F1560" i="3" a="1"/>
  <c r="F1560" i="3"/>
  <c r="F1559" i="3" a="1"/>
  <c r="F1559" i="3"/>
  <c r="F1558" i="3" a="1"/>
  <c r="F1558" i="3"/>
  <c r="F1557" i="3" a="1"/>
  <c r="F1557" i="3"/>
  <c r="F1556" i="3" a="1"/>
  <c r="F1556" i="3"/>
  <c r="F1555" i="3" a="1"/>
  <c r="F1555" i="3"/>
  <c r="F1554" i="3" a="1"/>
  <c r="F1554" i="3"/>
  <c r="F1553" i="3" a="1"/>
  <c r="F1553" i="3"/>
  <c r="F1552" i="3" a="1"/>
  <c r="F1552" i="3"/>
  <c r="F1551" i="3" a="1"/>
  <c r="F1551" i="3"/>
  <c r="F1550" i="3" a="1"/>
  <c r="F1550" i="3"/>
  <c r="F1549" i="3" a="1"/>
  <c r="F1549" i="3"/>
  <c r="F1548" i="3" a="1"/>
  <c r="F1548" i="3"/>
  <c r="F1547" i="3" a="1"/>
  <c r="F1547" i="3"/>
  <c r="F1546" i="3" a="1"/>
  <c r="F1546" i="3"/>
  <c r="F1545" i="3" a="1"/>
  <c r="F1545" i="3"/>
  <c r="F1544" i="3" a="1"/>
  <c r="F1544" i="3"/>
  <c r="F1543" i="3" a="1"/>
  <c r="F1543" i="3"/>
  <c r="F1542" i="3" a="1"/>
  <c r="F1542" i="3"/>
  <c r="F1541" i="3" a="1"/>
  <c r="F1541" i="3"/>
  <c r="F1540" i="3" a="1"/>
  <c r="F1540" i="3"/>
  <c r="F1539" i="3" a="1"/>
  <c r="F1539" i="3"/>
  <c r="F1538" i="3" a="1"/>
  <c r="F1538" i="3"/>
  <c r="F1537" i="3" a="1"/>
  <c r="F1537" i="3"/>
  <c r="F1536" i="3" a="1"/>
  <c r="F1536" i="3"/>
  <c r="F1535" i="3" a="1"/>
  <c r="F1535" i="3"/>
  <c r="F1534" i="3" a="1"/>
  <c r="F1534" i="3"/>
  <c r="F1533" i="3" a="1"/>
  <c r="F1533" i="3"/>
  <c r="F1532" i="3" a="1"/>
  <c r="F1532" i="3"/>
  <c r="F1531" i="3" a="1"/>
  <c r="F1531" i="3"/>
  <c r="F1530" i="3" a="1"/>
  <c r="F1530" i="3"/>
  <c r="F1529" i="3" a="1"/>
  <c r="F1529" i="3"/>
  <c r="F1528" i="3" a="1"/>
  <c r="F1528" i="3"/>
  <c r="F1527" i="3" a="1"/>
  <c r="F1527" i="3"/>
  <c r="F1526" i="3" a="1"/>
  <c r="F1526" i="3"/>
  <c r="F1525" i="3" a="1"/>
  <c r="F1525" i="3"/>
  <c r="F1524" i="3" a="1"/>
  <c r="F1524" i="3"/>
  <c r="F1523" i="3" a="1"/>
  <c r="F1523" i="3"/>
  <c r="F1522" i="3" a="1"/>
  <c r="F1522" i="3"/>
  <c r="F1521" i="3" a="1"/>
  <c r="F1521" i="3"/>
  <c r="F1520" i="3" a="1"/>
  <c r="F1520" i="3"/>
  <c r="F1519" i="3" a="1"/>
  <c r="F1519" i="3"/>
  <c r="F1518" i="3" a="1"/>
  <c r="F1518" i="3"/>
  <c r="F1517" i="3" a="1"/>
  <c r="F1517" i="3"/>
  <c r="F1516" i="3" a="1"/>
  <c r="F1516" i="3"/>
  <c r="F1515" i="3" a="1"/>
  <c r="F1515" i="3"/>
  <c r="F1514" i="3" a="1"/>
  <c r="F1514" i="3"/>
  <c r="F1513" i="3" a="1"/>
  <c r="F1513" i="3"/>
  <c r="F1512" i="3" a="1"/>
  <c r="F1512" i="3"/>
  <c r="F1511" i="3" a="1"/>
  <c r="F1511" i="3"/>
  <c r="F1510" i="3" a="1"/>
  <c r="F1510" i="3"/>
  <c r="F1509" i="3" a="1"/>
  <c r="F1509" i="3"/>
  <c r="F1508" i="3" a="1"/>
  <c r="F1508" i="3"/>
  <c r="F1507" i="3" a="1"/>
  <c r="F1507" i="3"/>
  <c r="F1506" i="3" a="1"/>
  <c r="F1506" i="3"/>
  <c r="F1505" i="3" a="1"/>
  <c r="F1505" i="3"/>
  <c r="F1504" i="3" a="1"/>
  <c r="F1504" i="3"/>
  <c r="F1503" i="3" a="1"/>
  <c r="F1503" i="3"/>
  <c r="F1502" i="3" a="1"/>
  <c r="F1502" i="3"/>
  <c r="F1501" i="3" a="1"/>
  <c r="F1501" i="3"/>
  <c r="F1500" i="3" a="1"/>
  <c r="F1500" i="3"/>
  <c r="F1499" i="3" a="1"/>
  <c r="F1499" i="3"/>
  <c r="F1498" i="3" a="1"/>
  <c r="F1498" i="3"/>
  <c r="F1497" i="3" a="1"/>
  <c r="F1497" i="3"/>
  <c r="F1496" i="3" a="1"/>
  <c r="F1496" i="3"/>
  <c r="F1495" i="3" a="1"/>
  <c r="F1495" i="3"/>
  <c r="F1494" i="3" a="1"/>
  <c r="F1494" i="3"/>
  <c r="F1493" i="3" a="1"/>
  <c r="F1493" i="3"/>
  <c r="F1492" i="3" a="1"/>
  <c r="F1492" i="3"/>
  <c r="F1491" i="3" a="1"/>
  <c r="F1491" i="3"/>
  <c r="F1490" i="3" a="1"/>
  <c r="F1490" i="3"/>
  <c r="F1489" i="3" a="1"/>
  <c r="F1489" i="3"/>
  <c r="F1488" i="3" a="1"/>
  <c r="F1488" i="3"/>
  <c r="F1487" i="3" a="1"/>
  <c r="F1487" i="3"/>
  <c r="F1486" i="3" a="1"/>
  <c r="F1486" i="3"/>
  <c r="F1485" i="3" a="1"/>
  <c r="F1485" i="3"/>
  <c r="F1484" i="3" a="1"/>
  <c r="F1484" i="3"/>
  <c r="F1483" i="3" a="1"/>
  <c r="F1483" i="3"/>
  <c r="F1482" i="3" a="1"/>
  <c r="F1482" i="3"/>
  <c r="F1481" i="3" a="1"/>
  <c r="F1481" i="3"/>
  <c r="F1480" i="3" a="1"/>
  <c r="F1480" i="3"/>
  <c r="F1479" i="3" a="1"/>
  <c r="F1479" i="3"/>
  <c r="F1478" i="3" a="1"/>
  <c r="F1478" i="3"/>
  <c r="F1477" i="3" a="1"/>
  <c r="F1477" i="3"/>
  <c r="F1476" i="3" a="1"/>
  <c r="F1476" i="3"/>
  <c r="F1475" i="3" a="1"/>
  <c r="F1475" i="3"/>
  <c r="F1474" i="3" a="1"/>
  <c r="F1474" i="3"/>
  <c r="F1473" i="3" a="1"/>
  <c r="F1473" i="3"/>
  <c r="F1472" i="3" a="1"/>
  <c r="F1472" i="3"/>
  <c r="F1471" i="3" a="1"/>
  <c r="F1471" i="3"/>
  <c r="F1470" i="3" a="1"/>
  <c r="F1470" i="3"/>
  <c r="F1469" i="3" a="1"/>
  <c r="F1469" i="3"/>
  <c r="F1468" i="3" a="1"/>
  <c r="F1468" i="3"/>
  <c r="F1467" i="3" a="1"/>
  <c r="F1467" i="3"/>
  <c r="F1466" i="3" a="1"/>
  <c r="F1466" i="3"/>
  <c r="F1465" i="3" a="1"/>
  <c r="F1465" i="3"/>
  <c r="F1464" i="3" a="1"/>
  <c r="F1464" i="3"/>
  <c r="F1463" i="3" a="1"/>
  <c r="F1463" i="3"/>
  <c r="F1462" i="3" a="1"/>
  <c r="F1462" i="3"/>
  <c r="F1461" i="3" a="1"/>
  <c r="F1461" i="3"/>
  <c r="F1460" i="3" a="1"/>
  <c r="F1460" i="3"/>
  <c r="F1459" i="3" a="1"/>
  <c r="F1459" i="3"/>
  <c r="F1458" i="3" a="1"/>
  <c r="F1458" i="3"/>
  <c r="F1457" i="3" a="1"/>
  <c r="F1457" i="3"/>
  <c r="F1456" i="3" a="1"/>
  <c r="F1456" i="3"/>
  <c r="F1455" i="3" a="1"/>
  <c r="F1455" i="3"/>
  <c r="F1454" i="3" a="1"/>
  <c r="F1454" i="3"/>
  <c r="F1453" i="3" a="1"/>
  <c r="F1453" i="3"/>
  <c r="F1452" i="3" a="1"/>
  <c r="F1452" i="3"/>
  <c r="F1451" i="3" a="1"/>
  <c r="F1451" i="3"/>
  <c r="F1450" i="3" a="1"/>
  <c r="F1450" i="3"/>
  <c r="F1449" i="3" a="1"/>
  <c r="F1449" i="3"/>
  <c r="F1448" i="3" a="1"/>
  <c r="F1448" i="3"/>
  <c r="F1447" i="3" a="1"/>
  <c r="F1447" i="3"/>
  <c r="F1446" i="3" a="1"/>
  <c r="F1446" i="3"/>
  <c r="F1445" i="3" a="1"/>
  <c r="F1445" i="3"/>
  <c r="F1444" i="3" a="1"/>
  <c r="F1444" i="3"/>
  <c r="F1443" i="3" a="1"/>
  <c r="F1443" i="3"/>
  <c r="F1442" i="3" a="1"/>
  <c r="F1442" i="3"/>
  <c r="F1441" i="3" a="1"/>
  <c r="F1441" i="3"/>
  <c r="F1440" i="3" a="1"/>
  <c r="F1440" i="3"/>
  <c r="F1439" i="3" a="1"/>
  <c r="F1439" i="3"/>
  <c r="F1438" i="3" a="1"/>
  <c r="F1438" i="3"/>
  <c r="F1437" i="3" a="1"/>
  <c r="F1437" i="3"/>
  <c r="F1436" i="3" a="1"/>
  <c r="F1436" i="3"/>
  <c r="F1435" i="3" a="1"/>
  <c r="F1435" i="3"/>
  <c r="F1434" i="3" a="1"/>
  <c r="F1434" i="3"/>
  <c r="F1433" i="3" a="1"/>
  <c r="F1433" i="3"/>
  <c r="F1432" i="3" a="1"/>
  <c r="F1432" i="3"/>
  <c r="F1431" i="3" a="1"/>
  <c r="F1431" i="3"/>
  <c r="F1430" i="3" a="1"/>
  <c r="F1430" i="3"/>
  <c r="F1429" i="3" a="1"/>
  <c r="F1429" i="3"/>
  <c r="F1428" i="3" a="1"/>
  <c r="F1428" i="3"/>
  <c r="F1427" i="3" a="1"/>
  <c r="F1427" i="3"/>
  <c r="F1426" i="3" a="1"/>
  <c r="F1426" i="3"/>
  <c r="F1425" i="3" a="1"/>
  <c r="F1425" i="3"/>
  <c r="F1424" i="3" a="1"/>
  <c r="F1424" i="3"/>
  <c r="F1423" i="3" a="1"/>
  <c r="F1423" i="3"/>
  <c r="F1422" i="3" a="1"/>
  <c r="F1422" i="3"/>
  <c r="F1421" i="3" a="1"/>
  <c r="F1421" i="3"/>
  <c r="F1420" i="3" a="1"/>
  <c r="F1420" i="3"/>
  <c r="F1419" i="3" a="1"/>
  <c r="F1419" i="3"/>
  <c r="F1418" i="3" a="1"/>
  <c r="F1418" i="3"/>
  <c r="F1417" i="3" a="1"/>
  <c r="F1417" i="3"/>
  <c r="F1416" i="3" a="1"/>
  <c r="F1416" i="3"/>
  <c r="F1415" i="3" a="1"/>
  <c r="F1415" i="3"/>
  <c r="F1414" i="3" a="1"/>
  <c r="F1414" i="3"/>
  <c r="F1413" i="3" a="1"/>
  <c r="F1413" i="3"/>
  <c r="F1412" i="3" a="1"/>
  <c r="F1412" i="3"/>
  <c r="F1411" i="3" a="1"/>
  <c r="F1411" i="3"/>
  <c r="F1410" i="3" a="1"/>
  <c r="F1410" i="3"/>
  <c r="F1409" i="3" a="1"/>
  <c r="F1409" i="3"/>
  <c r="F1408" i="3" a="1"/>
  <c r="F1408" i="3"/>
  <c r="F1407" i="3" a="1"/>
  <c r="F1407" i="3"/>
  <c r="F1406" i="3" a="1"/>
  <c r="F1406" i="3"/>
  <c r="F1405" i="3" a="1"/>
  <c r="F1405" i="3"/>
  <c r="F1404" i="3" a="1"/>
  <c r="F1404" i="3"/>
  <c r="F1403" i="3" a="1"/>
  <c r="F1403" i="3"/>
  <c r="F1402" i="3" a="1"/>
  <c r="F1402" i="3"/>
  <c r="F1401" i="3" a="1"/>
  <c r="F1401" i="3"/>
  <c r="F1400" i="3" a="1"/>
  <c r="F1400" i="3"/>
  <c r="F1399" i="3" a="1"/>
  <c r="F1399" i="3"/>
  <c r="F1398" i="3" a="1"/>
  <c r="F1398" i="3"/>
  <c r="F1397" i="3" a="1"/>
  <c r="F1397" i="3"/>
  <c r="F1396" i="3" a="1"/>
  <c r="F1396" i="3"/>
  <c r="F1395" i="3" a="1"/>
  <c r="F1395" i="3"/>
  <c r="F1394" i="3" a="1"/>
  <c r="F1394" i="3"/>
  <c r="F1393" i="3" a="1"/>
  <c r="F1393" i="3"/>
  <c r="F1392" i="3" a="1"/>
  <c r="F1392" i="3"/>
  <c r="F1391" i="3" a="1"/>
  <c r="F1391" i="3"/>
  <c r="F1390" i="3" a="1"/>
  <c r="F1390" i="3"/>
  <c r="F1389" i="3" a="1"/>
  <c r="F1389" i="3"/>
  <c r="F1388" i="3" a="1"/>
  <c r="F1388" i="3"/>
  <c r="F1387" i="3" a="1"/>
  <c r="F1387" i="3"/>
  <c r="F1386" i="3" a="1"/>
  <c r="F1386" i="3"/>
  <c r="F1385" i="3" a="1"/>
  <c r="F1385" i="3"/>
  <c r="F1384" i="3" a="1"/>
  <c r="F1384" i="3"/>
  <c r="F1383" i="3" a="1"/>
  <c r="F1383" i="3"/>
  <c r="F1382" i="3" a="1"/>
  <c r="F1382" i="3"/>
  <c r="F1381" i="3" a="1"/>
  <c r="F1381" i="3"/>
  <c r="F1380" i="3" a="1"/>
  <c r="F1380" i="3"/>
  <c r="F1379" i="3" a="1"/>
  <c r="F1379" i="3"/>
  <c r="F1378" i="3" a="1"/>
  <c r="F1378" i="3"/>
  <c r="F1377" i="3" a="1"/>
  <c r="F1377" i="3"/>
  <c r="F1376" i="3" a="1"/>
  <c r="F1376" i="3"/>
  <c r="F1375" i="3" a="1"/>
  <c r="F1375" i="3"/>
  <c r="F1374" i="3" a="1"/>
  <c r="F1374" i="3"/>
  <c r="F1373" i="3" a="1"/>
  <c r="F1373" i="3"/>
  <c r="F1372" i="3" a="1"/>
  <c r="F1372" i="3"/>
  <c r="F1371" i="3" a="1"/>
  <c r="F1371" i="3"/>
  <c r="F1370" i="3" a="1"/>
  <c r="F1370" i="3"/>
  <c r="F1369" i="3" a="1"/>
  <c r="F1369" i="3"/>
  <c r="F1368" i="3" a="1"/>
  <c r="F1368" i="3"/>
  <c r="F1367" i="3" a="1"/>
  <c r="F1367" i="3"/>
  <c r="F1366" i="3" a="1"/>
  <c r="F1366" i="3"/>
  <c r="F1365" i="3" a="1"/>
  <c r="F1365" i="3"/>
  <c r="F1364" i="3" a="1"/>
  <c r="F1364" i="3"/>
  <c r="F1363" i="3" a="1"/>
  <c r="F1363" i="3"/>
  <c r="F1362" i="3" a="1"/>
  <c r="F1362" i="3"/>
  <c r="F1361" i="3" a="1"/>
  <c r="F1361" i="3"/>
  <c r="F1360" i="3" a="1"/>
  <c r="F1360" i="3"/>
  <c r="F1359" i="3" a="1"/>
  <c r="F1359" i="3"/>
  <c r="F1358" i="3" a="1"/>
  <c r="F1358" i="3"/>
  <c r="F1357" i="3" a="1"/>
  <c r="F1357" i="3"/>
  <c r="F1356" i="3" a="1"/>
  <c r="F1356" i="3"/>
  <c r="F1355" i="3" a="1"/>
  <c r="F1355" i="3"/>
  <c r="F1354" i="3" a="1"/>
  <c r="F1354" i="3"/>
  <c r="F1353" i="3" a="1"/>
  <c r="F1353" i="3"/>
  <c r="F1352" i="3" a="1"/>
  <c r="F1352" i="3"/>
  <c r="F1351" i="3" a="1"/>
  <c r="F1351" i="3"/>
  <c r="F1350" i="3" a="1"/>
  <c r="F1350" i="3"/>
  <c r="F1349" i="3" a="1"/>
  <c r="F1349" i="3"/>
  <c r="F1348" i="3" a="1"/>
  <c r="F1348" i="3"/>
  <c r="F1347" i="3" a="1"/>
  <c r="F1347" i="3"/>
  <c r="F1346" i="3" a="1"/>
  <c r="F1346" i="3"/>
  <c r="F1345" i="3" a="1"/>
  <c r="F1345" i="3"/>
  <c r="F1344" i="3" a="1"/>
  <c r="F1344" i="3"/>
  <c r="F1343" i="3" a="1"/>
  <c r="F1343" i="3"/>
  <c r="F1342" i="3" a="1"/>
  <c r="F1342" i="3"/>
  <c r="F1341" i="3" a="1"/>
  <c r="F1341" i="3"/>
  <c r="F1340" i="3" a="1"/>
  <c r="F1340" i="3"/>
  <c r="F1339" i="3" a="1"/>
  <c r="F1339" i="3"/>
  <c r="F1338" i="3" a="1"/>
  <c r="F1338" i="3"/>
  <c r="F1337" i="3" a="1"/>
  <c r="F1337" i="3"/>
  <c r="F1336" i="3" a="1"/>
  <c r="F1336" i="3"/>
  <c r="F1335" i="3" a="1"/>
  <c r="F1335" i="3"/>
  <c r="F1334" i="3" a="1"/>
  <c r="F1334" i="3"/>
  <c r="F1333" i="3" a="1"/>
  <c r="F1333" i="3"/>
  <c r="F1332" i="3" a="1"/>
  <c r="F1332" i="3"/>
  <c r="F1331" i="3" a="1"/>
  <c r="F1331" i="3"/>
  <c r="F1330" i="3" a="1"/>
  <c r="F1330" i="3"/>
  <c r="F1329" i="3" a="1"/>
  <c r="F1329" i="3"/>
  <c r="F1328" i="3" a="1"/>
  <c r="F1328" i="3"/>
  <c r="F1327" i="3" a="1"/>
  <c r="F1327" i="3"/>
  <c r="F1326" i="3" a="1"/>
  <c r="F1326" i="3"/>
  <c r="F1325" i="3" a="1"/>
  <c r="F1325" i="3"/>
  <c r="F1324" i="3" a="1"/>
  <c r="F1324" i="3"/>
  <c r="F1323" i="3" a="1"/>
  <c r="F1323" i="3"/>
  <c r="F1322" i="3" a="1"/>
  <c r="F1322" i="3"/>
  <c r="F1321" i="3" a="1"/>
  <c r="F1321" i="3"/>
  <c r="F1320" i="3" a="1"/>
  <c r="F1320" i="3"/>
  <c r="F1319" i="3" a="1"/>
  <c r="F1319" i="3"/>
  <c r="F1318" i="3" a="1"/>
  <c r="F1318" i="3"/>
  <c r="F1317" i="3" a="1"/>
  <c r="F1317" i="3"/>
  <c r="F1316" i="3" a="1"/>
  <c r="F1316" i="3"/>
  <c r="F1315" i="3" a="1"/>
  <c r="F1315" i="3"/>
  <c r="F1314" i="3" a="1"/>
  <c r="F1314" i="3"/>
  <c r="F1313" i="3" a="1"/>
  <c r="F1313" i="3"/>
  <c r="F1312" i="3" a="1"/>
  <c r="F1312" i="3"/>
  <c r="F1311" i="3" a="1"/>
  <c r="F1311" i="3"/>
  <c r="F1310" i="3" a="1"/>
  <c r="F1310" i="3"/>
  <c r="F1309" i="3" a="1"/>
  <c r="F1309" i="3"/>
  <c r="F1308" i="3" a="1"/>
  <c r="F1308" i="3"/>
  <c r="F1307" i="3" a="1"/>
  <c r="F1307" i="3"/>
  <c r="F1306" i="3" a="1"/>
  <c r="F1306" i="3"/>
  <c r="F1305" i="3" a="1"/>
  <c r="F1305" i="3"/>
  <c r="F1304" i="3" a="1"/>
  <c r="F1304" i="3"/>
  <c r="F1303" i="3" a="1"/>
  <c r="F1303" i="3"/>
  <c r="F1302" i="3" a="1"/>
  <c r="F1302" i="3"/>
  <c r="F1301" i="3" a="1"/>
  <c r="F1301" i="3"/>
  <c r="F1300" i="3" a="1"/>
  <c r="F1300" i="3"/>
  <c r="F1299" i="3" a="1"/>
  <c r="F1299" i="3"/>
  <c r="F1298" i="3" a="1"/>
  <c r="F1298" i="3"/>
  <c r="F1297" i="3" a="1"/>
  <c r="F1297" i="3"/>
  <c r="F1296" i="3" a="1"/>
  <c r="F1296" i="3"/>
  <c r="F1295" i="3" a="1"/>
  <c r="F1295" i="3"/>
  <c r="F1294" i="3" a="1"/>
  <c r="F1294" i="3"/>
  <c r="F1293" i="3" a="1"/>
  <c r="F1293" i="3"/>
  <c r="F1292" i="3" a="1"/>
  <c r="F1292" i="3"/>
  <c r="F1291" i="3" a="1"/>
  <c r="F1291" i="3"/>
  <c r="F1290" i="3" a="1"/>
  <c r="F1290" i="3"/>
  <c r="F1289" i="3" a="1"/>
  <c r="F1289" i="3"/>
  <c r="F1288" i="3" a="1"/>
  <c r="F1288" i="3"/>
  <c r="F1287" i="3" a="1"/>
  <c r="F1287" i="3"/>
  <c r="F1286" i="3" a="1"/>
  <c r="F1286" i="3"/>
  <c r="F1285" i="3" a="1"/>
  <c r="F1285" i="3"/>
  <c r="F1284" i="3" a="1"/>
  <c r="F1284" i="3"/>
  <c r="F1283" i="3" a="1"/>
  <c r="F1283" i="3"/>
  <c r="F1282" i="3" a="1"/>
  <c r="F1282" i="3"/>
  <c r="F1281" i="3" a="1"/>
  <c r="F1281" i="3"/>
  <c r="F1280" i="3" a="1"/>
  <c r="F1280" i="3"/>
  <c r="F1279" i="3" a="1"/>
  <c r="F1279" i="3"/>
  <c r="F1278" i="3" a="1"/>
  <c r="F1278" i="3"/>
  <c r="F1277" i="3" a="1"/>
  <c r="F1277" i="3"/>
  <c r="F1276" i="3" a="1"/>
  <c r="F1276" i="3"/>
  <c r="F1275" i="3" a="1"/>
  <c r="F1275" i="3"/>
  <c r="F1274" i="3" a="1"/>
  <c r="F1274" i="3"/>
  <c r="F1273" i="3" a="1"/>
  <c r="F1273" i="3"/>
  <c r="F1272" i="3" a="1"/>
  <c r="F1272" i="3"/>
  <c r="F1271" i="3" a="1"/>
  <c r="F1271" i="3"/>
  <c r="F1270" i="3" a="1"/>
  <c r="F1270" i="3"/>
  <c r="F1269" i="3" a="1"/>
  <c r="F1269" i="3"/>
  <c r="F1268" i="3" a="1"/>
  <c r="F1268" i="3"/>
  <c r="F1267" i="3" a="1"/>
  <c r="F1267" i="3"/>
  <c r="F1266" i="3" a="1"/>
  <c r="F1266" i="3"/>
  <c r="F1265" i="3" a="1"/>
  <c r="F1265" i="3"/>
  <c r="F1264" i="3" a="1"/>
  <c r="F1264" i="3"/>
  <c r="F1263" i="3" a="1"/>
  <c r="F1263" i="3"/>
  <c r="F1262" i="3" a="1"/>
  <c r="F1262" i="3"/>
  <c r="F1261" i="3" a="1"/>
  <c r="F1261" i="3"/>
  <c r="F1260" i="3" a="1"/>
  <c r="F1260" i="3"/>
  <c r="F1259" i="3" a="1"/>
  <c r="F1259" i="3"/>
  <c r="F1258" i="3" a="1"/>
  <c r="F1258" i="3"/>
  <c r="F1257" i="3" a="1"/>
  <c r="F1257" i="3"/>
  <c r="F1256" i="3" a="1"/>
  <c r="F1256" i="3"/>
  <c r="F1255" i="3" a="1"/>
  <c r="F1255" i="3"/>
  <c r="F1254" i="3" a="1"/>
  <c r="F1254" i="3"/>
  <c r="F1253" i="3" a="1"/>
  <c r="F1253" i="3"/>
  <c r="F1252" i="3" a="1"/>
  <c r="F1252" i="3"/>
  <c r="F1251" i="3" a="1"/>
  <c r="F1251" i="3"/>
  <c r="F1250" i="3" a="1"/>
  <c r="F1250" i="3"/>
  <c r="F1249" i="3" a="1"/>
  <c r="F1249" i="3"/>
  <c r="F1248" i="3" a="1"/>
  <c r="F1248" i="3"/>
  <c r="F1247" i="3" a="1"/>
  <c r="F1247" i="3"/>
  <c r="F1246" i="3" a="1"/>
  <c r="F1246" i="3"/>
  <c r="F1245" i="3" a="1"/>
  <c r="F1245" i="3"/>
  <c r="F1244" i="3" a="1"/>
  <c r="F1244" i="3"/>
  <c r="F1243" i="3" a="1"/>
  <c r="F1243" i="3"/>
  <c r="F1242" i="3" a="1"/>
  <c r="F1242" i="3"/>
  <c r="F1241" i="3" a="1"/>
  <c r="F1241" i="3"/>
  <c r="F1240" i="3" a="1"/>
  <c r="F1240" i="3"/>
  <c r="F1239" i="3" a="1"/>
  <c r="F1239" i="3"/>
  <c r="F1238" i="3" a="1"/>
  <c r="F1238" i="3"/>
  <c r="F1237" i="3" a="1"/>
  <c r="F1237" i="3"/>
  <c r="F1236" i="3" a="1"/>
  <c r="F1236" i="3"/>
  <c r="F1235" i="3" a="1"/>
  <c r="F1235" i="3"/>
  <c r="F1234" i="3" a="1"/>
  <c r="F1234" i="3"/>
  <c r="F1233" i="3" a="1"/>
  <c r="F1233" i="3"/>
  <c r="F1232" i="3" a="1"/>
  <c r="F1232" i="3"/>
  <c r="F1231" i="3" a="1"/>
  <c r="F1231" i="3"/>
  <c r="F1230" i="3" a="1"/>
  <c r="F1230" i="3"/>
  <c r="F1229" i="3" a="1"/>
  <c r="F1229" i="3"/>
  <c r="F1228" i="3" a="1"/>
  <c r="F1228" i="3"/>
  <c r="F1227" i="3" a="1"/>
  <c r="F1227" i="3"/>
  <c r="F1226" i="3" a="1"/>
  <c r="F1226" i="3"/>
  <c r="F1225" i="3" a="1"/>
  <c r="F1225" i="3"/>
  <c r="F1224" i="3" a="1"/>
  <c r="F1224" i="3"/>
  <c r="F1223" i="3" a="1"/>
  <c r="F1223" i="3"/>
  <c r="F1222" i="3" a="1"/>
  <c r="F1222" i="3"/>
  <c r="F1221" i="3" a="1"/>
  <c r="F1221" i="3"/>
  <c r="F1220" i="3" a="1"/>
  <c r="F1220" i="3"/>
  <c r="F1219" i="3" a="1"/>
  <c r="F1219" i="3"/>
  <c r="F1218" i="3" a="1"/>
  <c r="F1218" i="3"/>
  <c r="F1217" i="3" a="1"/>
  <c r="F1217" i="3"/>
  <c r="F1216" i="3" a="1"/>
  <c r="F1216" i="3"/>
  <c r="F1215" i="3" a="1"/>
  <c r="F1215" i="3"/>
  <c r="F1214" i="3" a="1"/>
  <c r="F1214" i="3"/>
  <c r="F1213" i="3" a="1"/>
  <c r="F1213" i="3"/>
  <c r="F1212" i="3" a="1"/>
  <c r="F1212" i="3"/>
  <c r="F1211" i="3" a="1"/>
  <c r="F1211" i="3"/>
  <c r="F1210" i="3" a="1"/>
  <c r="F1210" i="3"/>
  <c r="F1209" i="3" a="1"/>
  <c r="F1209" i="3"/>
  <c r="F1208" i="3" a="1"/>
  <c r="F1208" i="3"/>
  <c r="F1207" i="3" a="1"/>
  <c r="F1207" i="3"/>
  <c r="F1206" i="3" a="1"/>
  <c r="F1206" i="3"/>
  <c r="F1205" i="3" a="1"/>
  <c r="F1205" i="3"/>
  <c r="F1204" i="3" a="1"/>
  <c r="F1204" i="3"/>
  <c r="F1203" i="3" a="1"/>
  <c r="F1203" i="3"/>
  <c r="F1202" i="3" a="1"/>
  <c r="F1202" i="3"/>
  <c r="F1201" i="3" a="1"/>
  <c r="F1201" i="3"/>
  <c r="F1200" i="3" a="1"/>
  <c r="F1200" i="3"/>
  <c r="F1199" i="3" a="1"/>
  <c r="F1199" i="3"/>
  <c r="F1198" i="3" a="1"/>
  <c r="F1198" i="3"/>
  <c r="F1197" i="3" a="1"/>
  <c r="F1197" i="3"/>
  <c r="F1196" i="3" a="1"/>
  <c r="F1196" i="3"/>
  <c r="F1195" i="3" a="1"/>
  <c r="F1195" i="3"/>
  <c r="F1194" i="3" a="1"/>
  <c r="F1194" i="3"/>
  <c r="F1193" i="3" a="1"/>
  <c r="F1193" i="3"/>
  <c r="F1192" i="3" a="1"/>
  <c r="F1192" i="3"/>
  <c r="F1191" i="3" a="1"/>
  <c r="F1191" i="3"/>
  <c r="F1190" i="3" a="1"/>
  <c r="F1190" i="3"/>
  <c r="F1189" i="3" a="1"/>
  <c r="F1189" i="3"/>
  <c r="F1188" i="3" a="1"/>
  <c r="F1188" i="3"/>
  <c r="F1187" i="3" a="1"/>
  <c r="F1187" i="3"/>
  <c r="F1186" i="3" a="1"/>
  <c r="F1186" i="3"/>
  <c r="F1185" i="3" a="1"/>
  <c r="F1185" i="3"/>
  <c r="F1184" i="3" a="1"/>
  <c r="F1184" i="3"/>
  <c r="F1183" i="3" a="1"/>
  <c r="F1183" i="3"/>
  <c r="F1182" i="3" a="1"/>
  <c r="F1182" i="3"/>
  <c r="F1181" i="3" a="1"/>
  <c r="F1181" i="3"/>
  <c r="F1180" i="3" a="1"/>
  <c r="F1180" i="3"/>
  <c r="F1179" i="3" a="1"/>
  <c r="F1179" i="3"/>
  <c r="F1178" i="3" a="1"/>
  <c r="F1178" i="3"/>
  <c r="F1177" i="3" a="1"/>
  <c r="F1177" i="3"/>
  <c r="F1176" i="3" a="1"/>
  <c r="F1176" i="3"/>
  <c r="F1175" i="3" a="1"/>
  <c r="F1175" i="3"/>
  <c r="F1174" i="3" a="1"/>
  <c r="F1174" i="3"/>
  <c r="F1173" i="3" a="1"/>
  <c r="F1173" i="3"/>
  <c r="F1172" i="3" a="1"/>
  <c r="F1172" i="3"/>
  <c r="F1171" i="3" a="1"/>
  <c r="F1171" i="3"/>
  <c r="F1170" i="3" a="1"/>
  <c r="F1170" i="3"/>
  <c r="F1169" i="3" a="1"/>
  <c r="F1169" i="3"/>
  <c r="F1168" i="3" a="1"/>
  <c r="F1168" i="3"/>
  <c r="F1167" i="3" a="1"/>
  <c r="F1167" i="3"/>
  <c r="F1166" i="3" a="1"/>
  <c r="F1166" i="3"/>
  <c r="F1165" i="3" a="1"/>
  <c r="F1165" i="3"/>
  <c r="F1164" i="3" a="1"/>
  <c r="F1164" i="3"/>
  <c r="F1163" i="3" a="1"/>
  <c r="F1163" i="3"/>
  <c r="F1162" i="3" a="1"/>
  <c r="F1162" i="3"/>
  <c r="F1161" i="3" a="1"/>
  <c r="F1161" i="3"/>
  <c r="F1160" i="3" a="1"/>
  <c r="F1160" i="3"/>
  <c r="F1159" i="3" a="1"/>
  <c r="F1159" i="3"/>
  <c r="F1158" i="3" a="1"/>
  <c r="F1158" i="3"/>
  <c r="F1157" i="3" a="1"/>
  <c r="F1157" i="3"/>
  <c r="F1156" i="3" a="1"/>
  <c r="F1156" i="3"/>
  <c r="F1155" i="3" a="1"/>
  <c r="F1155" i="3"/>
  <c r="F1154" i="3" a="1"/>
  <c r="F1154" i="3"/>
  <c r="F1153" i="3" a="1"/>
  <c r="F1153" i="3"/>
  <c r="F1152" i="3" a="1"/>
  <c r="F1152" i="3"/>
  <c r="F1151" i="3" a="1"/>
  <c r="F1151" i="3"/>
  <c r="F1150" i="3" a="1"/>
  <c r="F1150" i="3"/>
  <c r="F1149" i="3" a="1"/>
  <c r="F1149" i="3"/>
  <c r="F1148" i="3" a="1"/>
  <c r="F1148" i="3"/>
  <c r="F1147" i="3" a="1"/>
  <c r="F1147" i="3"/>
  <c r="F1146" i="3" a="1"/>
  <c r="F1146" i="3"/>
  <c r="F1145" i="3" a="1"/>
  <c r="F1145" i="3"/>
  <c r="F1144" i="3" a="1"/>
  <c r="F1144" i="3"/>
  <c r="F1143" i="3" a="1"/>
  <c r="F1143" i="3"/>
  <c r="F1142" i="3" a="1"/>
  <c r="F1142" i="3"/>
  <c r="F1141" i="3" a="1"/>
  <c r="F1141" i="3"/>
  <c r="F1140" i="3" a="1"/>
  <c r="F1140" i="3"/>
  <c r="F1139" i="3" a="1"/>
  <c r="F1139" i="3"/>
  <c r="F1138" i="3" a="1"/>
  <c r="F1138" i="3"/>
  <c r="F1137" i="3" a="1"/>
  <c r="F1137" i="3"/>
  <c r="F1136" i="3" a="1"/>
  <c r="F1136" i="3"/>
  <c r="F1135" i="3" a="1"/>
  <c r="F1135" i="3"/>
  <c r="F1134" i="3" a="1"/>
  <c r="F1134" i="3"/>
  <c r="F1133" i="3" a="1"/>
  <c r="F1133" i="3"/>
  <c r="F1132" i="3" a="1"/>
  <c r="F1132" i="3"/>
  <c r="F1131" i="3" a="1"/>
  <c r="F1131" i="3"/>
  <c r="F1130" i="3" a="1"/>
  <c r="F1130" i="3"/>
  <c r="F1129" i="3" a="1"/>
  <c r="F1129" i="3"/>
  <c r="F1128" i="3" a="1"/>
  <c r="F1128" i="3"/>
  <c r="F1127" i="3" a="1"/>
  <c r="F1127" i="3"/>
  <c r="F1126" i="3" a="1"/>
  <c r="F1126" i="3"/>
  <c r="F1125" i="3" a="1"/>
  <c r="F1125" i="3"/>
  <c r="F1124" i="3" a="1"/>
  <c r="F1124" i="3"/>
  <c r="F1123" i="3" a="1"/>
  <c r="F1123" i="3"/>
  <c r="F1122" i="3" a="1"/>
  <c r="F1122" i="3"/>
  <c r="F1121" i="3" a="1"/>
  <c r="F1121" i="3"/>
  <c r="F1120" i="3" a="1"/>
  <c r="F1120" i="3"/>
  <c r="F1119" i="3" a="1"/>
  <c r="F1119" i="3"/>
  <c r="F1118" i="3" a="1"/>
  <c r="F1118" i="3"/>
  <c r="F1117" i="3" a="1"/>
  <c r="F1117" i="3"/>
  <c r="F1116" i="3" a="1"/>
  <c r="F1116" i="3"/>
  <c r="F1115" i="3" a="1"/>
  <c r="F1115" i="3"/>
  <c r="F1114" i="3" a="1"/>
  <c r="F1114" i="3"/>
  <c r="F1113" i="3" a="1"/>
  <c r="F1113" i="3"/>
  <c r="F1112" i="3" a="1"/>
  <c r="F1112" i="3"/>
  <c r="F1111" i="3" a="1"/>
  <c r="F1111" i="3"/>
  <c r="F1110" i="3" a="1"/>
  <c r="F1110" i="3"/>
  <c r="F1109" i="3" a="1"/>
  <c r="F1109" i="3"/>
  <c r="F1108" i="3" a="1"/>
  <c r="F1108" i="3"/>
  <c r="F1107" i="3" a="1"/>
  <c r="F1107" i="3"/>
  <c r="F1106" i="3" a="1"/>
  <c r="F1106" i="3"/>
  <c r="F1105" i="3" a="1"/>
  <c r="F1105" i="3"/>
  <c r="F1104" i="3" a="1"/>
  <c r="F1104" i="3"/>
  <c r="F1103" i="3" a="1"/>
  <c r="F1103" i="3"/>
  <c r="F1102" i="3" a="1"/>
  <c r="F1102" i="3"/>
  <c r="F1101" i="3" a="1"/>
  <c r="F1101" i="3"/>
  <c r="F1100" i="3" a="1"/>
  <c r="F1100" i="3"/>
  <c r="F1099" i="3" a="1"/>
  <c r="F1099" i="3"/>
  <c r="F1098" i="3" a="1"/>
  <c r="F1098" i="3"/>
  <c r="F1097" i="3" a="1"/>
  <c r="F1097" i="3"/>
  <c r="F1096" i="3" a="1"/>
  <c r="F1096" i="3"/>
  <c r="F1095" i="3" a="1"/>
  <c r="F1095" i="3"/>
  <c r="F1094" i="3" a="1"/>
  <c r="F1094" i="3"/>
  <c r="F1093" i="3" a="1"/>
  <c r="F1093" i="3"/>
  <c r="F1092" i="3" a="1"/>
  <c r="F1092" i="3"/>
  <c r="F1091" i="3" a="1"/>
  <c r="F1091" i="3"/>
  <c r="F1090" i="3" a="1"/>
  <c r="F1090" i="3"/>
  <c r="F1089" i="3" a="1"/>
  <c r="F1089" i="3"/>
  <c r="F1088" i="3" a="1"/>
  <c r="F1088" i="3"/>
  <c r="F1087" i="3" a="1"/>
  <c r="F1087" i="3"/>
  <c r="F1086" i="3" a="1"/>
  <c r="F1086" i="3"/>
  <c r="F1085" i="3" a="1"/>
  <c r="F1085" i="3"/>
  <c r="F1084" i="3" a="1"/>
  <c r="F1084" i="3"/>
  <c r="F1083" i="3" a="1"/>
  <c r="F1083" i="3"/>
  <c r="F1082" i="3" a="1"/>
  <c r="F1082" i="3"/>
  <c r="F1081" i="3" a="1"/>
  <c r="F1081" i="3"/>
  <c r="F1080" i="3" a="1"/>
  <c r="F1080" i="3"/>
  <c r="F1079" i="3" a="1"/>
  <c r="F1079" i="3"/>
  <c r="F1078" i="3" a="1"/>
  <c r="F1078" i="3"/>
  <c r="F1077" i="3" a="1"/>
  <c r="F1077" i="3"/>
  <c r="F1076" i="3" a="1"/>
  <c r="F1076" i="3"/>
  <c r="F1075" i="3" a="1"/>
  <c r="F1075" i="3"/>
  <c r="F1074" i="3" a="1"/>
  <c r="F1074" i="3"/>
  <c r="F1073" i="3" a="1"/>
  <c r="F1073" i="3"/>
  <c r="F1072" i="3" a="1"/>
  <c r="F1072" i="3"/>
  <c r="F1071" i="3" a="1"/>
  <c r="F1071" i="3"/>
  <c r="F1070" i="3" a="1"/>
  <c r="F1070" i="3"/>
  <c r="F1069" i="3" a="1"/>
  <c r="F1069" i="3"/>
  <c r="F1068" i="3" a="1"/>
  <c r="F1068" i="3"/>
  <c r="F1067" i="3" a="1"/>
  <c r="F1067" i="3"/>
  <c r="F1066" i="3" a="1"/>
  <c r="F1066" i="3"/>
  <c r="F1065" i="3" a="1"/>
  <c r="F1065" i="3"/>
  <c r="F1064" i="3" a="1"/>
  <c r="F1064" i="3"/>
  <c r="F1063" i="3" a="1"/>
  <c r="F1063" i="3"/>
  <c r="F1062" i="3" a="1"/>
  <c r="F1062" i="3"/>
  <c r="F1061" i="3" a="1"/>
  <c r="F1061" i="3"/>
  <c r="F1060" i="3" a="1"/>
  <c r="F1060" i="3"/>
  <c r="F1059" i="3" a="1"/>
  <c r="F1059" i="3"/>
  <c r="F1058" i="3" a="1"/>
  <c r="F1058" i="3"/>
  <c r="F1057" i="3" a="1"/>
  <c r="F1057" i="3"/>
  <c r="F1056" i="3" a="1"/>
  <c r="F1056" i="3"/>
  <c r="F1055" i="3" a="1"/>
  <c r="F1055" i="3"/>
  <c r="F1054" i="3" a="1"/>
  <c r="F1054" i="3"/>
  <c r="F1053" i="3" a="1"/>
  <c r="F1053" i="3"/>
  <c r="F1052" i="3" a="1"/>
  <c r="F1052" i="3"/>
  <c r="F1051" i="3" a="1"/>
  <c r="F1051" i="3"/>
  <c r="F1050" i="3" a="1"/>
  <c r="F1050" i="3"/>
  <c r="F1049" i="3" a="1"/>
  <c r="F1049" i="3"/>
  <c r="F1048" i="3" a="1"/>
  <c r="F1048" i="3"/>
  <c r="F1047" i="3" a="1"/>
  <c r="F1047" i="3"/>
  <c r="F1046" i="3" a="1"/>
  <c r="F1046" i="3"/>
  <c r="F1045" i="3" a="1"/>
  <c r="F1045" i="3"/>
  <c r="F1044" i="3" a="1"/>
  <c r="F1044" i="3"/>
  <c r="F1043" i="3" a="1"/>
  <c r="F1043" i="3"/>
  <c r="F1042" i="3" a="1"/>
  <c r="F1042" i="3"/>
  <c r="F1041" i="3" a="1"/>
  <c r="F1041" i="3"/>
  <c r="F1040" i="3" a="1"/>
  <c r="F1040" i="3"/>
  <c r="F1039" i="3" a="1"/>
  <c r="F1039" i="3"/>
  <c r="F1038" i="3" a="1"/>
  <c r="F1038" i="3"/>
  <c r="F1037" i="3" a="1"/>
  <c r="F1037" i="3"/>
  <c r="F1036" i="3" a="1"/>
  <c r="F1036" i="3"/>
  <c r="F1035" i="3" a="1"/>
  <c r="F1035" i="3"/>
  <c r="F1034" i="3" a="1"/>
  <c r="F1034" i="3"/>
  <c r="F1033" i="3" a="1"/>
  <c r="F1033" i="3"/>
  <c r="F1032" i="3" a="1"/>
  <c r="F1032" i="3"/>
  <c r="F1031" i="3" a="1"/>
  <c r="F1031" i="3"/>
  <c r="F1030" i="3" a="1"/>
  <c r="F1030" i="3"/>
  <c r="F1029" i="3" a="1"/>
  <c r="F1029" i="3"/>
  <c r="F1028" i="3" a="1"/>
  <c r="F1028" i="3"/>
  <c r="F1027" i="3" a="1"/>
  <c r="F1027" i="3"/>
  <c r="F1026" i="3" a="1"/>
  <c r="F1026" i="3"/>
  <c r="F1025" i="3" a="1"/>
  <c r="F1025" i="3"/>
  <c r="F1024" i="3" a="1"/>
  <c r="F1024" i="3"/>
  <c r="F1023" i="3" a="1"/>
  <c r="F1023" i="3"/>
  <c r="F1022" i="3" a="1"/>
  <c r="F1022" i="3"/>
  <c r="F1021" i="3" a="1"/>
  <c r="F1021" i="3"/>
  <c r="F1020" i="3" a="1"/>
  <c r="F1020" i="3"/>
  <c r="F1019" i="3" a="1"/>
  <c r="F1019" i="3"/>
  <c r="F1018" i="3" a="1"/>
  <c r="F1018" i="3"/>
  <c r="F1017" i="3" a="1"/>
  <c r="F1017" i="3"/>
  <c r="F1016" i="3" a="1"/>
  <c r="F1016" i="3"/>
  <c r="F1015" i="3" a="1"/>
  <c r="F1015" i="3"/>
  <c r="F1014" i="3" a="1"/>
  <c r="F1014" i="3"/>
  <c r="F1013" i="3" a="1"/>
  <c r="F1013" i="3"/>
  <c r="F1012" i="3" a="1"/>
  <c r="F1012" i="3"/>
  <c r="F1011" i="3" a="1"/>
  <c r="F1011" i="3"/>
  <c r="F1010" i="3" a="1"/>
  <c r="F1010" i="3"/>
  <c r="F1009" i="3" a="1"/>
  <c r="F1009" i="3"/>
  <c r="F1008" i="3" a="1"/>
  <c r="F1008" i="3"/>
  <c r="F1007" i="3" a="1"/>
  <c r="F1007" i="3"/>
  <c r="F1006" i="3" a="1"/>
  <c r="F1006" i="3"/>
  <c r="F1005" i="3" a="1"/>
  <c r="F1005" i="3"/>
  <c r="F1004" i="3" a="1"/>
  <c r="F1004" i="3"/>
  <c r="F1003" i="3" a="1"/>
  <c r="F1003" i="3"/>
  <c r="F1002" i="3" a="1"/>
  <c r="F1002" i="3"/>
  <c r="F1001" i="3" a="1"/>
  <c r="F1001" i="3"/>
  <c r="F1000" i="3" a="1"/>
  <c r="F1000" i="3"/>
  <c r="F999" i="3" a="1"/>
  <c r="F999" i="3"/>
  <c r="F998" i="3" a="1"/>
  <c r="F998" i="3"/>
  <c r="F997" i="3" a="1"/>
  <c r="F997" i="3"/>
  <c r="F996" i="3" a="1"/>
  <c r="F996" i="3"/>
  <c r="F995" i="3" a="1"/>
  <c r="F995" i="3"/>
  <c r="F994" i="3" a="1"/>
  <c r="F994" i="3"/>
  <c r="F993" i="3" a="1"/>
  <c r="F993" i="3"/>
  <c r="F992" i="3" a="1"/>
  <c r="F992" i="3"/>
  <c r="F991" i="3" a="1"/>
  <c r="F991" i="3"/>
  <c r="F990" i="3" a="1"/>
  <c r="F990" i="3"/>
  <c r="F989" i="3" a="1"/>
  <c r="F989" i="3"/>
  <c r="F988" i="3" a="1"/>
  <c r="F988" i="3"/>
  <c r="F987" i="3" a="1"/>
  <c r="F987" i="3"/>
  <c r="F986" i="3" a="1"/>
  <c r="F986" i="3"/>
  <c r="F985" i="3" a="1"/>
  <c r="F985" i="3"/>
  <c r="F984" i="3" a="1"/>
  <c r="F984" i="3"/>
  <c r="F983" i="3" a="1"/>
  <c r="F983" i="3"/>
  <c r="F982" i="3" a="1"/>
  <c r="F982" i="3"/>
  <c r="F981" i="3" a="1"/>
  <c r="F981" i="3"/>
  <c r="F980" i="3" a="1"/>
  <c r="F980" i="3"/>
  <c r="F979" i="3" a="1"/>
  <c r="F979" i="3"/>
  <c r="F978" i="3" a="1"/>
  <c r="F978" i="3"/>
  <c r="F977" i="3" a="1"/>
  <c r="F977" i="3"/>
  <c r="F976" i="3" a="1"/>
  <c r="F976" i="3"/>
  <c r="F975" i="3" a="1"/>
  <c r="F975" i="3"/>
  <c r="F974" i="3" a="1"/>
  <c r="F974" i="3"/>
  <c r="F973" i="3" a="1"/>
  <c r="F973" i="3"/>
  <c r="F972" i="3" a="1"/>
  <c r="F972" i="3"/>
  <c r="F971" i="3" a="1"/>
  <c r="F971" i="3"/>
  <c r="F970" i="3" a="1"/>
  <c r="F970" i="3"/>
  <c r="F969" i="3" a="1"/>
  <c r="F969" i="3"/>
  <c r="F968" i="3" a="1"/>
  <c r="F968" i="3"/>
  <c r="F967" i="3" a="1"/>
  <c r="F967" i="3"/>
  <c r="F966" i="3" a="1"/>
  <c r="F966" i="3"/>
  <c r="F965" i="3" a="1"/>
  <c r="F965" i="3"/>
  <c r="F964" i="3" a="1"/>
  <c r="F964" i="3"/>
  <c r="F963" i="3" a="1"/>
  <c r="F963" i="3"/>
  <c r="F962" i="3" a="1"/>
  <c r="F962" i="3"/>
  <c r="F961" i="3" a="1"/>
  <c r="F961" i="3"/>
  <c r="F960" i="3" a="1"/>
  <c r="F960" i="3"/>
  <c r="F959" i="3" a="1"/>
  <c r="F959" i="3"/>
  <c r="F958" i="3" a="1"/>
  <c r="F958" i="3"/>
  <c r="F957" i="3" a="1"/>
  <c r="F957" i="3"/>
  <c r="F956" i="3" a="1"/>
  <c r="F956" i="3"/>
  <c r="F955" i="3" a="1"/>
  <c r="F955" i="3"/>
  <c r="F954" i="3" a="1"/>
  <c r="F954" i="3"/>
  <c r="F953" i="3" a="1"/>
  <c r="F953" i="3"/>
  <c r="F952" i="3" a="1"/>
  <c r="F952" i="3"/>
  <c r="F951" i="3" a="1"/>
  <c r="F951" i="3"/>
  <c r="F950" i="3" a="1"/>
  <c r="F950" i="3"/>
  <c r="F949" i="3" a="1"/>
  <c r="F949" i="3"/>
  <c r="F948" i="3" a="1"/>
  <c r="F948" i="3"/>
  <c r="F947" i="3" a="1"/>
  <c r="F947" i="3"/>
  <c r="F946" i="3" a="1"/>
  <c r="F946" i="3"/>
  <c r="F945" i="3" a="1"/>
  <c r="F945" i="3"/>
  <c r="F944" i="3" a="1"/>
  <c r="F944" i="3"/>
  <c r="F943" i="3" a="1"/>
  <c r="F943" i="3"/>
  <c r="F942" i="3" a="1"/>
  <c r="F942" i="3"/>
  <c r="F941" i="3" a="1"/>
  <c r="F941" i="3"/>
  <c r="F940" i="3" a="1"/>
  <c r="F940" i="3"/>
  <c r="F939" i="3" a="1"/>
  <c r="F939" i="3"/>
  <c r="F938" i="3" a="1"/>
  <c r="F938" i="3"/>
  <c r="F937" i="3" a="1"/>
  <c r="F937" i="3"/>
  <c r="F936" i="3" a="1"/>
  <c r="F936" i="3"/>
  <c r="F935" i="3" a="1"/>
  <c r="F935" i="3"/>
  <c r="F934" i="3" a="1"/>
  <c r="F934" i="3"/>
  <c r="F933" i="3" a="1"/>
  <c r="F933" i="3"/>
  <c r="F932" i="3" a="1"/>
  <c r="F932" i="3"/>
  <c r="F931" i="3" a="1"/>
  <c r="F931" i="3"/>
  <c r="F930" i="3" a="1"/>
  <c r="F930" i="3"/>
  <c r="F929" i="3" a="1"/>
  <c r="F929" i="3"/>
  <c r="F928" i="3" a="1"/>
  <c r="F928" i="3"/>
  <c r="F927" i="3" a="1"/>
  <c r="F927" i="3"/>
  <c r="F926" i="3" a="1"/>
  <c r="F926" i="3"/>
  <c r="F925" i="3" a="1"/>
  <c r="F925" i="3"/>
  <c r="F924" i="3" a="1"/>
  <c r="F924" i="3"/>
  <c r="F923" i="3" a="1"/>
  <c r="F923" i="3"/>
  <c r="F922" i="3" a="1"/>
  <c r="F922" i="3"/>
  <c r="F921" i="3" a="1"/>
  <c r="F921" i="3"/>
  <c r="F920" i="3" a="1"/>
  <c r="F920" i="3"/>
  <c r="F919" i="3" a="1"/>
  <c r="F919" i="3"/>
  <c r="F918" i="3" a="1"/>
  <c r="F918" i="3"/>
  <c r="F917" i="3" a="1"/>
  <c r="F917" i="3"/>
  <c r="F916" i="3" a="1"/>
  <c r="F916" i="3"/>
  <c r="F915" i="3" a="1"/>
  <c r="F915" i="3"/>
  <c r="F914" i="3" a="1"/>
  <c r="F914" i="3"/>
  <c r="F913" i="3" a="1"/>
  <c r="F913" i="3"/>
  <c r="F912" i="3" a="1"/>
  <c r="F912" i="3"/>
  <c r="F911" i="3" a="1"/>
  <c r="F911" i="3"/>
  <c r="F910" i="3" a="1"/>
  <c r="F910" i="3"/>
  <c r="F909" i="3" a="1"/>
  <c r="F909" i="3"/>
  <c r="F908" i="3" a="1"/>
  <c r="F908" i="3"/>
  <c r="F907" i="3" a="1"/>
  <c r="F907" i="3"/>
  <c r="F906" i="3" a="1"/>
  <c r="F906" i="3"/>
  <c r="F905" i="3" a="1"/>
  <c r="F905" i="3"/>
  <c r="F904" i="3" a="1"/>
  <c r="F904" i="3"/>
  <c r="F903" i="3" a="1"/>
  <c r="F903" i="3"/>
  <c r="F902" i="3" a="1"/>
  <c r="F902" i="3"/>
  <c r="F901" i="3" a="1"/>
  <c r="F901" i="3"/>
  <c r="F900" i="3" a="1"/>
  <c r="F900" i="3"/>
  <c r="F899" i="3" a="1"/>
  <c r="F899" i="3"/>
  <c r="F898" i="3" a="1"/>
  <c r="F898" i="3"/>
  <c r="F897" i="3" a="1"/>
  <c r="F897" i="3"/>
  <c r="F896" i="3" a="1"/>
  <c r="F896" i="3"/>
  <c r="F895" i="3" a="1"/>
  <c r="F895" i="3"/>
  <c r="F894" i="3" a="1"/>
  <c r="F894" i="3"/>
  <c r="F893" i="3" a="1"/>
  <c r="F893" i="3"/>
  <c r="F892" i="3" a="1"/>
  <c r="F892" i="3"/>
  <c r="F891" i="3" a="1"/>
  <c r="F891" i="3"/>
  <c r="F890" i="3" a="1"/>
  <c r="F890" i="3"/>
  <c r="F889" i="3" a="1"/>
  <c r="F889" i="3"/>
  <c r="F888" i="3" a="1"/>
  <c r="F888" i="3"/>
  <c r="F887" i="3" a="1"/>
  <c r="F887" i="3"/>
  <c r="F886" i="3" a="1"/>
  <c r="F886" i="3"/>
  <c r="F885" i="3" a="1"/>
  <c r="F885" i="3"/>
  <c r="F884" i="3" a="1"/>
  <c r="F884" i="3"/>
  <c r="F883" i="3" a="1"/>
  <c r="F883" i="3"/>
  <c r="F882" i="3" a="1"/>
  <c r="F882" i="3"/>
  <c r="F881" i="3" a="1"/>
  <c r="F881" i="3"/>
  <c r="F880" i="3" a="1"/>
  <c r="F880" i="3"/>
  <c r="F879" i="3" a="1"/>
  <c r="F879" i="3"/>
  <c r="F878" i="3" a="1"/>
  <c r="F878" i="3"/>
  <c r="F877" i="3" a="1"/>
  <c r="F877" i="3"/>
  <c r="F876" i="3" a="1"/>
  <c r="F876" i="3"/>
  <c r="F875" i="3" a="1"/>
  <c r="F875" i="3"/>
  <c r="F874" i="3" a="1"/>
  <c r="F874" i="3"/>
  <c r="F873" i="3" a="1"/>
  <c r="F873" i="3"/>
  <c r="F872" i="3" a="1"/>
  <c r="F872" i="3"/>
  <c r="F871" i="3" a="1"/>
  <c r="F871" i="3"/>
  <c r="F870" i="3" a="1"/>
  <c r="F870" i="3"/>
  <c r="F869" i="3" a="1"/>
  <c r="F869" i="3"/>
  <c r="F868" i="3" a="1"/>
  <c r="F868" i="3"/>
  <c r="F867" i="3" a="1"/>
  <c r="F867" i="3"/>
  <c r="F866" i="3" a="1"/>
  <c r="F866" i="3"/>
  <c r="F865" i="3" a="1"/>
  <c r="F865" i="3"/>
  <c r="F864" i="3" a="1"/>
  <c r="F864" i="3"/>
  <c r="F863" i="3" a="1"/>
  <c r="F863" i="3"/>
  <c r="F862" i="3" a="1"/>
  <c r="F862" i="3"/>
  <c r="F861" i="3" a="1"/>
  <c r="F861" i="3"/>
  <c r="F860" i="3" a="1"/>
  <c r="F860" i="3"/>
  <c r="F859" i="3" a="1"/>
  <c r="F859" i="3"/>
  <c r="F858" i="3" a="1"/>
  <c r="F858" i="3"/>
  <c r="F857" i="3" a="1"/>
  <c r="F857" i="3"/>
  <c r="F856" i="3" a="1"/>
  <c r="F856" i="3"/>
  <c r="F855" i="3" a="1"/>
  <c r="F855" i="3"/>
  <c r="F854" i="3" a="1"/>
  <c r="F854" i="3"/>
  <c r="F853" i="3" a="1"/>
  <c r="F853" i="3"/>
  <c r="F852" i="3" a="1"/>
  <c r="F852" i="3"/>
  <c r="F851" i="3" a="1"/>
  <c r="F851" i="3"/>
  <c r="F850" i="3" a="1"/>
  <c r="F850" i="3"/>
  <c r="F849" i="3" a="1"/>
  <c r="F849" i="3"/>
  <c r="F848" i="3" a="1"/>
  <c r="F848" i="3"/>
  <c r="F847" i="3" a="1"/>
  <c r="F847" i="3"/>
  <c r="F846" i="3" a="1"/>
  <c r="F846" i="3"/>
  <c r="F845" i="3" a="1"/>
  <c r="F845" i="3"/>
  <c r="F844" i="3" a="1"/>
  <c r="F844" i="3"/>
  <c r="F843" i="3" a="1"/>
  <c r="F843" i="3"/>
  <c r="F842" i="3" a="1"/>
  <c r="F842" i="3"/>
  <c r="F841" i="3" a="1"/>
  <c r="F841" i="3"/>
  <c r="F840" i="3" a="1"/>
  <c r="F840" i="3"/>
  <c r="F839" i="3" a="1"/>
  <c r="F839" i="3"/>
  <c r="F838" i="3" a="1"/>
  <c r="F838" i="3"/>
  <c r="F837" i="3" a="1"/>
  <c r="F837" i="3"/>
  <c r="F836" i="3" a="1"/>
  <c r="F836" i="3"/>
  <c r="F835" i="3" a="1"/>
  <c r="F835" i="3"/>
  <c r="F834" i="3" a="1"/>
  <c r="F834" i="3"/>
  <c r="F833" i="3" a="1"/>
  <c r="F833" i="3"/>
  <c r="F832" i="3" a="1"/>
  <c r="F832" i="3"/>
  <c r="F831" i="3" a="1"/>
  <c r="F831" i="3"/>
  <c r="F830" i="3" a="1"/>
  <c r="F830" i="3"/>
  <c r="F829" i="3" a="1"/>
  <c r="F829" i="3"/>
  <c r="F828" i="3" a="1"/>
  <c r="F828" i="3"/>
  <c r="F827" i="3" a="1"/>
  <c r="F827" i="3"/>
  <c r="F826" i="3" a="1"/>
  <c r="F826" i="3"/>
  <c r="F825" i="3" a="1"/>
  <c r="F825" i="3"/>
  <c r="F824" i="3" a="1"/>
  <c r="F824" i="3"/>
  <c r="F823" i="3" a="1"/>
  <c r="F823" i="3"/>
  <c r="F822" i="3" a="1"/>
  <c r="F822" i="3"/>
  <c r="F821" i="3" a="1"/>
  <c r="F821" i="3"/>
  <c r="F820" i="3" a="1"/>
  <c r="F820" i="3"/>
  <c r="F819" i="3" a="1"/>
  <c r="F819" i="3"/>
  <c r="F818" i="3" a="1"/>
  <c r="F818" i="3"/>
  <c r="F817" i="3" a="1"/>
  <c r="F817" i="3"/>
  <c r="F816" i="3" a="1"/>
  <c r="F816" i="3"/>
  <c r="F815" i="3" a="1"/>
  <c r="F815" i="3"/>
  <c r="F814" i="3" a="1"/>
  <c r="F814" i="3"/>
  <c r="F813" i="3" a="1"/>
  <c r="F813" i="3"/>
  <c r="F812" i="3" a="1"/>
  <c r="F812" i="3"/>
  <c r="F811" i="3" a="1"/>
  <c r="F811" i="3"/>
  <c r="F810" i="3" a="1"/>
  <c r="F810" i="3"/>
  <c r="F809" i="3" a="1"/>
  <c r="F809" i="3"/>
  <c r="F808" i="3" a="1"/>
  <c r="F808" i="3"/>
  <c r="F807" i="3" a="1"/>
  <c r="F807" i="3"/>
  <c r="F806" i="3" a="1"/>
  <c r="F806" i="3"/>
  <c r="F805" i="3" a="1"/>
  <c r="F805" i="3"/>
  <c r="F804" i="3" a="1"/>
  <c r="F804" i="3"/>
  <c r="F803" i="3" a="1"/>
  <c r="F803" i="3"/>
  <c r="F802" i="3" a="1"/>
  <c r="F802" i="3"/>
  <c r="F801" i="3" a="1"/>
  <c r="F801" i="3"/>
  <c r="F800" i="3" a="1"/>
  <c r="F800" i="3"/>
  <c r="F799" i="3" a="1"/>
  <c r="F799" i="3"/>
  <c r="F798" i="3" a="1"/>
  <c r="F798" i="3"/>
  <c r="F797" i="3" a="1"/>
  <c r="F797" i="3"/>
  <c r="F796" i="3" a="1"/>
  <c r="F796" i="3"/>
  <c r="F795" i="3" a="1"/>
  <c r="F795" i="3"/>
  <c r="F794" i="3" a="1"/>
  <c r="F794" i="3"/>
  <c r="F793" i="3" a="1"/>
  <c r="F793" i="3"/>
  <c r="F792" i="3" a="1"/>
  <c r="F792" i="3"/>
  <c r="F791" i="3" a="1"/>
  <c r="F791" i="3"/>
  <c r="F790" i="3" a="1"/>
  <c r="F790" i="3"/>
  <c r="F789" i="3" a="1"/>
  <c r="F789" i="3"/>
  <c r="F788" i="3" a="1"/>
  <c r="F788" i="3"/>
  <c r="F787" i="3" a="1"/>
  <c r="F787" i="3"/>
  <c r="F786" i="3" a="1"/>
  <c r="F786" i="3"/>
  <c r="F785" i="3" a="1"/>
  <c r="F785" i="3"/>
  <c r="F784" i="3" a="1"/>
  <c r="F784" i="3"/>
  <c r="F783" i="3" a="1"/>
  <c r="F783" i="3"/>
  <c r="F782" i="3" a="1"/>
  <c r="F782" i="3"/>
  <c r="F781" i="3" a="1"/>
  <c r="F781" i="3"/>
  <c r="F780" i="3" a="1"/>
  <c r="F780" i="3"/>
  <c r="F779" i="3" a="1"/>
  <c r="F779" i="3"/>
  <c r="F778" i="3" a="1"/>
  <c r="F778" i="3"/>
  <c r="F777" i="3" a="1"/>
  <c r="F777" i="3"/>
  <c r="F776" i="3" a="1"/>
  <c r="F776" i="3"/>
  <c r="F775" i="3" a="1"/>
  <c r="F775" i="3"/>
  <c r="F774" i="3" a="1"/>
  <c r="F774" i="3"/>
  <c r="F773" i="3" a="1"/>
  <c r="F773" i="3"/>
  <c r="F772" i="3" a="1"/>
  <c r="F772" i="3"/>
  <c r="F771" i="3" a="1"/>
  <c r="F771" i="3"/>
  <c r="F770" i="3" a="1"/>
  <c r="F770" i="3"/>
  <c r="F769" i="3" a="1"/>
  <c r="F769" i="3"/>
  <c r="F768" i="3" a="1"/>
  <c r="F768" i="3"/>
  <c r="F767" i="3" a="1"/>
  <c r="F767" i="3"/>
  <c r="F766" i="3" a="1"/>
  <c r="F766" i="3"/>
  <c r="F765" i="3" a="1"/>
  <c r="F765" i="3"/>
  <c r="F764" i="3" a="1"/>
  <c r="F764" i="3"/>
  <c r="F763" i="3" a="1"/>
  <c r="F763" i="3"/>
  <c r="F762" i="3" a="1"/>
  <c r="F762" i="3"/>
  <c r="F761" i="3" a="1"/>
  <c r="F761" i="3"/>
  <c r="F760" i="3" a="1"/>
  <c r="F760" i="3"/>
  <c r="F759" i="3" a="1"/>
  <c r="F759" i="3"/>
  <c r="F758" i="3" a="1"/>
  <c r="F758" i="3"/>
  <c r="F757" i="3" a="1"/>
  <c r="F757" i="3"/>
  <c r="F756" i="3" a="1"/>
  <c r="F756" i="3"/>
  <c r="F755" i="3" a="1"/>
  <c r="F755" i="3"/>
  <c r="F754" i="3" a="1"/>
  <c r="F754" i="3"/>
  <c r="F753" i="3" a="1"/>
  <c r="F753" i="3"/>
  <c r="F752" i="3" a="1"/>
  <c r="F752" i="3"/>
  <c r="F751" i="3" a="1"/>
  <c r="F751" i="3"/>
  <c r="F750" i="3" a="1"/>
  <c r="F750" i="3"/>
  <c r="F749" i="3" a="1"/>
  <c r="F749" i="3"/>
  <c r="F748" i="3" a="1"/>
  <c r="F748" i="3"/>
  <c r="F747" i="3" a="1"/>
  <c r="F747" i="3"/>
  <c r="F746" i="3" a="1"/>
  <c r="F746" i="3"/>
  <c r="F745" i="3" a="1"/>
  <c r="F745" i="3"/>
  <c r="F744" i="3" a="1"/>
  <c r="F744" i="3"/>
  <c r="F743" i="3" a="1"/>
  <c r="F743" i="3"/>
  <c r="F742" i="3" a="1"/>
  <c r="F742" i="3"/>
  <c r="F741" i="3" a="1"/>
  <c r="F741" i="3"/>
  <c r="F740" i="3" a="1"/>
  <c r="F740" i="3"/>
  <c r="F739" i="3" a="1"/>
  <c r="F739" i="3"/>
  <c r="F738" i="3" a="1"/>
  <c r="F738" i="3"/>
  <c r="F737" i="3" a="1"/>
  <c r="F737" i="3"/>
  <c r="F736" i="3" a="1"/>
  <c r="F736" i="3"/>
  <c r="F735" i="3" a="1"/>
  <c r="F735" i="3"/>
  <c r="F734" i="3" a="1"/>
  <c r="F734" i="3"/>
  <c r="F733" i="3" a="1"/>
  <c r="F733" i="3"/>
  <c r="F732" i="3" a="1"/>
  <c r="F732" i="3"/>
  <c r="F731" i="3" a="1"/>
  <c r="F731" i="3"/>
  <c r="F730" i="3" a="1"/>
  <c r="F730" i="3"/>
  <c r="F729" i="3" a="1"/>
  <c r="F729" i="3"/>
  <c r="F728" i="3" a="1"/>
  <c r="F728" i="3"/>
  <c r="F727" i="3" a="1"/>
  <c r="F727" i="3"/>
  <c r="F726" i="3" a="1"/>
  <c r="F726" i="3"/>
  <c r="F725" i="3" a="1"/>
  <c r="F725" i="3"/>
  <c r="F724" i="3" a="1"/>
  <c r="F724" i="3"/>
  <c r="F723" i="3" a="1"/>
  <c r="F723" i="3"/>
  <c r="F722" i="3" a="1"/>
  <c r="F722" i="3"/>
  <c r="F721" i="3" a="1"/>
  <c r="F721" i="3"/>
  <c r="F720" i="3" a="1"/>
  <c r="F720" i="3"/>
  <c r="F719" i="3" a="1"/>
  <c r="F719" i="3"/>
  <c r="F718" i="3" a="1"/>
  <c r="F718" i="3"/>
  <c r="F717" i="3" a="1"/>
  <c r="F717" i="3"/>
  <c r="F716" i="3" a="1"/>
  <c r="F716" i="3"/>
  <c r="F715" i="3" a="1"/>
  <c r="F715" i="3"/>
  <c r="F714" i="3" a="1"/>
  <c r="F714" i="3"/>
  <c r="F713" i="3" a="1"/>
  <c r="F713" i="3"/>
  <c r="F712" i="3" a="1"/>
  <c r="F712" i="3"/>
  <c r="F711" i="3" a="1"/>
  <c r="F711" i="3"/>
  <c r="F710" i="3" a="1"/>
  <c r="F710" i="3"/>
  <c r="F709" i="3" a="1"/>
  <c r="F709" i="3"/>
  <c r="F708" i="3" a="1"/>
  <c r="F708" i="3"/>
  <c r="F707" i="3" a="1"/>
  <c r="F707" i="3"/>
  <c r="F706" i="3" a="1"/>
  <c r="F706" i="3"/>
  <c r="F705" i="3" a="1"/>
  <c r="F705" i="3"/>
  <c r="F704" i="3" a="1"/>
  <c r="F704" i="3"/>
  <c r="F703" i="3" a="1"/>
  <c r="F703" i="3"/>
  <c r="F702" i="3" a="1"/>
  <c r="F702" i="3"/>
  <c r="F701" i="3" a="1"/>
  <c r="F701" i="3"/>
  <c r="F700" i="3" a="1"/>
  <c r="F700" i="3"/>
  <c r="F699" i="3" a="1"/>
  <c r="F699" i="3"/>
  <c r="F698" i="3" a="1"/>
  <c r="F698" i="3"/>
  <c r="F697" i="3" a="1"/>
  <c r="F697" i="3"/>
  <c r="F696" i="3" a="1"/>
  <c r="F696" i="3"/>
  <c r="F695" i="3" a="1"/>
  <c r="F695" i="3"/>
  <c r="F694" i="3" a="1"/>
  <c r="F694" i="3"/>
  <c r="F693" i="3" a="1"/>
  <c r="F693" i="3"/>
  <c r="F692" i="3" a="1"/>
  <c r="F692" i="3"/>
  <c r="F691" i="3" a="1"/>
  <c r="F691" i="3"/>
  <c r="F690" i="3" a="1"/>
  <c r="F690" i="3"/>
  <c r="F689" i="3" a="1"/>
  <c r="F689" i="3"/>
  <c r="F688" i="3" a="1"/>
  <c r="F688" i="3"/>
  <c r="F687" i="3" a="1"/>
  <c r="F687" i="3"/>
  <c r="F686" i="3" a="1"/>
  <c r="F686" i="3"/>
  <c r="F685" i="3" a="1"/>
  <c r="F685" i="3"/>
  <c r="F684" i="3" a="1"/>
  <c r="F684" i="3"/>
  <c r="F683" i="3" a="1"/>
  <c r="F683" i="3"/>
  <c r="F682" i="3" a="1"/>
  <c r="F682" i="3"/>
  <c r="F681" i="3" a="1"/>
  <c r="F681" i="3"/>
  <c r="F680" i="3" a="1"/>
  <c r="F680" i="3"/>
  <c r="F679" i="3" a="1"/>
  <c r="F679" i="3"/>
  <c r="F678" i="3" a="1"/>
  <c r="F678" i="3"/>
  <c r="F677" i="3" a="1"/>
  <c r="F677" i="3"/>
  <c r="F676" i="3" a="1"/>
  <c r="F676" i="3"/>
  <c r="F675" i="3" a="1"/>
  <c r="F675" i="3"/>
  <c r="F674" i="3" a="1"/>
  <c r="F674" i="3"/>
  <c r="F673" i="3" a="1"/>
  <c r="F673" i="3"/>
  <c r="F672" i="3" a="1"/>
  <c r="F672" i="3"/>
  <c r="F671" i="3" a="1"/>
  <c r="F671" i="3"/>
  <c r="F670" i="3" a="1"/>
  <c r="F670" i="3"/>
  <c r="F669" i="3" a="1"/>
  <c r="F669" i="3"/>
  <c r="F668" i="3" a="1"/>
  <c r="F668" i="3"/>
  <c r="F667" i="3" a="1"/>
  <c r="F667" i="3"/>
  <c r="F666" i="3" a="1"/>
  <c r="F666" i="3"/>
  <c r="F665" i="3" a="1"/>
  <c r="F665" i="3"/>
  <c r="F664" i="3" a="1"/>
  <c r="F664" i="3"/>
  <c r="F663" i="3" a="1"/>
  <c r="F663" i="3"/>
  <c r="F662" i="3" a="1"/>
  <c r="F662" i="3"/>
  <c r="F661" i="3" a="1"/>
  <c r="F661" i="3"/>
  <c r="F660" i="3" a="1"/>
  <c r="F660" i="3"/>
  <c r="F659" i="3" a="1"/>
  <c r="F659" i="3"/>
  <c r="F658" i="3" a="1"/>
  <c r="F658" i="3"/>
  <c r="F657" i="3" a="1"/>
  <c r="F657" i="3"/>
  <c r="F656" i="3" a="1"/>
  <c r="F656" i="3"/>
  <c r="F655" i="3" a="1"/>
  <c r="F655" i="3"/>
  <c r="F654" i="3" a="1"/>
  <c r="F654" i="3"/>
  <c r="F653" i="3" a="1"/>
  <c r="F653" i="3"/>
  <c r="F652" i="3" a="1"/>
  <c r="F652" i="3"/>
  <c r="F651" i="3" a="1"/>
  <c r="F651" i="3"/>
  <c r="F650" i="3" a="1"/>
  <c r="F650" i="3"/>
  <c r="F649" i="3" a="1"/>
  <c r="F649" i="3"/>
  <c r="F648" i="3" a="1"/>
  <c r="F648" i="3"/>
  <c r="F647" i="3" a="1"/>
  <c r="F647" i="3"/>
  <c r="F646" i="3" a="1"/>
  <c r="F646" i="3"/>
  <c r="F645" i="3" a="1"/>
  <c r="F645" i="3"/>
  <c r="F644" i="3" a="1"/>
  <c r="F644" i="3"/>
  <c r="F643" i="3" a="1"/>
  <c r="F643" i="3"/>
  <c r="F642" i="3" a="1"/>
  <c r="F642" i="3"/>
  <c r="F641" i="3" a="1"/>
  <c r="F641" i="3"/>
  <c r="F640" i="3" a="1"/>
  <c r="F640" i="3"/>
  <c r="F639" i="3" a="1"/>
  <c r="F639" i="3"/>
  <c r="F638" i="3" a="1"/>
  <c r="F638" i="3"/>
  <c r="F637" i="3" a="1"/>
  <c r="F637" i="3"/>
  <c r="F636" i="3" a="1"/>
  <c r="F636" i="3"/>
  <c r="F635" i="3" a="1"/>
  <c r="F635" i="3"/>
  <c r="F634" i="3" a="1"/>
  <c r="F634" i="3"/>
  <c r="F633" i="3" a="1"/>
  <c r="F633" i="3"/>
  <c r="F632" i="3" a="1"/>
  <c r="F632" i="3"/>
  <c r="F631" i="3" a="1"/>
  <c r="F631" i="3"/>
  <c r="F630" i="3" a="1"/>
  <c r="F630" i="3"/>
  <c r="F629" i="3" a="1"/>
  <c r="F629" i="3"/>
  <c r="F628" i="3" a="1"/>
  <c r="F628" i="3"/>
  <c r="F627" i="3" a="1"/>
  <c r="F627" i="3"/>
  <c r="F626" i="3" a="1"/>
  <c r="F626" i="3"/>
  <c r="F625" i="3" a="1"/>
  <c r="F625" i="3"/>
  <c r="F624" i="3" a="1"/>
  <c r="F624" i="3"/>
  <c r="F623" i="3" a="1"/>
  <c r="F623" i="3"/>
  <c r="F622" i="3" a="1"/>
  <c r="F622" i="3"/>
  <c r="F621" i="3" a="1"/>
  <c r="F621" i="3"/>
  <c r="F620" i="3" a="1"/>
  <c r="F620" i="3"/>
  <c r="F619" i="3" a="1"/>
  <c r="F619" i="3"/>
  <c r="F618" i="3" a="1"/>
  <c r="F618" i="3"/>
  <c r="F617" i="3" a="1"/>
  <c r="F617" i="3"/>
  <c r="F616" i="3" a="1"/>
  <c r="F616" i="3"/>
  <c r="F615" i="3" a="1"/>
  <c r="F615" i="3"/>
  <c r="F614" i="3" a="1"/>
  <c r="F614" i="3"/>
  <c r="F613" i="3" a="1"/>
  <c r="F613" i="3"/>
  <c r="F612" i="3" a="1"/>
  <c r="F612" i="3"/>
  <c r="F611" i="3" a="1"/>
  <c r="F611" i="3"/>
  <c r="F610" i="3" a="1"/>
  <c r="F610" i="3"/>
  <c r="F609" i="3" a="1"/>
  <c r="F609" i="3"/>
  <c r="F608" i="3" a="1"/>
  <c r="F608" i="3"/>
  <c r="F607" i="3" a="1"/>
  <c r="F607" i="3"/>
  <c r="F606" i="3" a="1"/>
  <c r="F606" i="3"/>
  <c r="F605" i="3" a="1"/>
  <c r="F605" i="3"/>
  <c r="F604" i="3" a="1"/>
  <c r="F604" i="3"/>
  <c r="F603" i="3" a="1"/>
  <c r="F603" i="3"/>
  <c r="F602" i="3" a="1"/>
  <c r="F602" i="3"/>
  <c r="F601" i="3" a="1"/>
  <c r="F601" i="3"/>
  <c r="F600" i="3" a="1"/>
  <c r="F600" i="3"/>
  <c r="F599" i="3" a="1"/>
  <c r="F599" i="3"/>
  <c r="F598" i="3" a="1"/>
  <c r="F598" i="3"/>
  <c r="F597" i="3" a="1"/>
  <c r="F597" i="3"/>
  <c r="F596" i="3" a="1"/>
  <c r="F596" i="3"/>
  <c r="F595" i="3" a="1"/>
  <c r="F595" i="3"/>
  <c r="F594" i="3" a="1"/>
  <c r="F594" i="3"/>
  <c r="F593" i="3" a="1"/>
  <c r="F593" i="3"/>
  <c r="F592" i="3" a="1"/>
  <c r="F592" i="3"/>
  <c r="F591" i="3" a="1"/>
  <c r="F591" i="3"/>
  <c r="F590" i="3" a="1"/>
  <c r="F590" i="3"/>
  <c r="F589" i="3" a="1"/>
  <c r="F589" i="3"/>
  <c r="F588" i="3" a="1"/>
  <c r="F588" i="3"/>
  <c r="F587" i="3" a="1"/>
  <c r="F587" i="3"/>
  <c r="F586" i="3" a="1"/>
  <c r="F586" i="3"/>
  <c r="F585" i="3" a="1"/>
  <c r="F585" i="3"/>
  <c r="F584" i="3" a="1"/>
  <c r="F584" i="3"/>
  <c r="F583" i="3" a="1"/>
  <c r="F583" i="3"/>
  <c r="F582" i="3" a="1"/>
  <c r="F582" i="3"/>
  <c r="F581" i="3" a="1"/>
  <c r="F581" i="3"/>
  <c r="F580" i="3" a="1"/>
  <c r="F580" i="3"/>
  <c r="F579" i="3" a="1"/>
  <c r="F579" i="3"/>
  <c r="F578" i="3" a="1"/>
  <c r="F578" i="3"/>
  <c r="F577" i="3" a="1"/>
  <c r="F577" i="3"/>
  <c r="F576" i="3" a="1"/>
  <c r="F576" i="3"/>
  <c r="F575" i="3" a="1"/>
  <c r="F575" i="3"/>
  <c r="F574" i="3" a="1"/>
  <c r="F574" i="3"/>
  <c r="F573" i="3" a="1"/>
  <c r="F573" i="3"/>
  <c r="F572" i="3" a="1"/>
  <c r="F572" i="3"/>
  <c r="F571" i="3" a="1"/>
  <c r="F571" i="3"/>
  <c r="F570" i="3" a="1"/>
  <c r="F570" i="3"/>
  <c r="F569" i="3" a="1"/>
  <c r="F569" i="3"/>
  <c r="F568" i="3" a="1"/>
  <c r="F568" i="3"/>
  <c r="F567" i="3" a="1"/>
  <c r="F567" i="3"/>
  <c r="F566" i="3" a="1"/>
  <c r="F566" i="3"/>
  <c r="F565" i="3" a="1"/>
  <c r="F565" i="3"/>
  <c r="F564" i="3" a="1"/>
  <c r="F564" i="3"/>
  <c r="F563" i="3" a="1"/>
  <c r="F563" i="3"/>
  <c r="F562" i="3" a="1"/>
  <c r="F562" i="3"/>
  <c r="F561" i="3" a="1"/>
  <c r="F561" i="3"/>
  <c r="F560" i="3" a="1"/>
  <c r="F560" i="3"/>
  <c r="F559" i="3" a="1"/>
  <c r="F559" i="3"/>
  <c r="F558" i="3" a="1"/>
  <c r="F558" i="3"/>
  <c r="F557" i="3" a="1"/>
  <c r="F557" i="3"/>
  <c r="F556" i="3" a="1"/>
  <c r="F556" i="3"/>
  <c r="F555" i="3" a="1"/>
  <c r="F555" i="3"/>
  <c r="F554" i="3" a="1"/>
  <c r="F554" i="3"/>
  <c r="F553" i="3" a="1"/>
  <c r="F553" i="3"/>
  <c r="F552" i="3" a="1"/>
  <c r="F552" i="3"/>
  <c r="F551" i="3" a="1"/>
  <c r="F551" i="3"/>
  <c r="F550" i="3" a="1"/>
  <c r="F550" i="3"/>
  <c r="F549" i="3" a="1"/>
  <c r="F549" i="3"/>
  <c r="F548" i="3" a="1"/>
  <c r="F548" i="3"/>
  <c r="F547" i="3" a="1"/>
  <c r="F547" i="3"/>
  <c r="F546" i="3" a="1"/>
  <c r="F546" i="3"/>
  <c r="F545" i="3" a="1"/>
  <c r="F545" i="3"/>
  <c r="F544" i="3" a="1"/>
  <c r="F544" i="3"/>
  <c r="F543" i="3" a="1"/>
  <c r="F543" i="3"/>
  <c r="F542" i="3" a="1"/>
  <c r="F542" i="3"/>
  <c r="F541" i="3" a="1"/>
  <c r="F541" i="3"/>
  <c r="F540" i="3" a="1"/>
  <c r="F540" i="3"/>
  <c r="F539" i="3" a="1"/>
  <c r="F539" i="3"/>
  <c r="F538" i="3" a="1"/>
  <c r="F538" i="3"/>
  <c r="F537" i="3" a="1"/>
  <c r="F537" i="3"/>
  <c r="F536" i="3" a="1"/>
  <c r="F536" i="3"/>
  <c r="F535" i="3" a="1"/>
  <c r="F535" i="3"/>
  <c r="F534" i="3" a="1"/>
  <c r="F534" i="3"/>
  <c r="F533" i="3" a="1"/>
  <c r="F533" i="3"/>
  <c r="F532" i="3" a="1"/>
  <c r="F532" i="3"/>
  <c r="F531" i="3" a="1"/>
  <c r="F531" i="3"/>
  <c r="F530" i="3" a="1"/>
  <c r="F530" i="3"/>
  <c r="F529" i="3" a="1"/>
  <c r="F529" i="3"/>
  <c r="F528" i="3" a="1"/>
  <c r="F528" i="3"/>
  <c r="F527" i="3" a="1"/>
  <c r="F527" i="3"/>
  <c r="F526" i="3" a="1"/>
  <c r="F526" i="3"/>
  <c r="F525" i="3" a="1"/>
  <c r="F525" i="3"/>
  <c r="F524" i="3" a="1"/>
  <c r="F524" i="3"/>
  <c r="F523" i="3" a="1"/>
  <c r="F523" i="3"/>
  <c r="F522" i="3" a="1"/>
  <c r="F522" i="3"/>
  <c r="F521" i="3" a="1"/>
  <c r="F521" i="3"/>
  <c r="F520" i="3" a="1"/>
  <c r="F520" i="3"/>
  <c r="F519" i="3" a="1"/>
  <c r="F519" i="3"/>
  <c r="F518" i="3" a="1"/>
  <c r="F518" i="3"/>
  <c r="F517" i="3" a="1"/>
  <c r="F517" i="3"/>
  <c r="F516" i="3" a="1"/>
  <c r="F516" i="3"/>
  <c r="F515" i="3" a="1"/>
  <c r="F515" i="3"/>
  <c r="F514" i="3" a="1"/>
  <c r="F514" i="3"/>
  <c r="F513" i="3" a="1"/>
  <c r="F513" i="3"/>
  <c r="F512" i="3" a="1"/>
  <c r="F512" i="3"/>
  <c r="F511" i="3" a="1"/>
  <c r="F511" i="3"/>
  <c r="F510" i="3" a="1"/>
  <c r="F510" i="3"/>
  <c r="F509" i="3" a="1"/>
  <c r="F509" i="3"/>
  <c r="F508" i="3" a="1"/>
  <c r="F508" i="3"/>
  <c r="F507" i="3" a="1"/>
  <c r="F507" i="3"/>
  <c r="F506" i="3" a="1"/>
  <c r="F506" i="3"/>
  <c r="F505" i="3" a="1"/>
  <c r="F505" i="3"/>
  <c r="F504" i="3" a="1"/>
  <c r="F504" i="3"/>
  <c r="F503" i="3" a="1"/>
  <c r="F503" i="3"/>
  <c r="F502" i="3" a="1"/>
  <c r="F502" i="3"/>
  <c r="F501" i="3" a="1"/>
  <c r="F501" i="3"/>
  <c r="F500" i="3" a="1"/>
  <c r="F500" i="3"/>
  <c r="F499" i="3" a="1"/>
  <c r="F499" i="3"/>
  <c r="F498" i="3" a="1"/>
  <c r="F498" i="3"/>
  <c r="F497" i="3" a="1"/>
  <c r="F497" i="3"/>
  <c r="F496" i="3" a="1"/>
  <c r="F496" i="3"/>
  <c r="F495" i="3" a="1"/>
  <c r="F495" i="3"/>
  <c r="F494" i="3" a="1"/>
  <c r="F494" i="3"/>
  <c r="F493" i="3" a="1"/>
  <c r="F493" i="3"/>
  <c r="F492" i="3" a="1"/>
  <c r="F492" i="3"/>
  <c r="F491" i="3" a="1"/>
  <c r="F491" i="3"/>
  <c r="F490" i="3" a="1"/>
  <c r="F490" i="3"/>
  <c r="F489" i="3" a="1"/>
  <c r="F489" i="3"/>
  <c r="F488" i="3" a="1"/>
  <c r="F488" i="3"/>
  <c r="F487" i="3" a="1"/>
  <c r="F487" i="3"/>
  <c r="F486" i="3" a="1"/>
  <c r="F486" i="3"/>
  <c r="F485" i="3" a="1"/>
  <c r="F485" i="3"/>
  <c r="F484" i="3" a="1"/>
  <c r="F484" i="3"/>
  <c r="F483" i="3" a="1"/>
  <c r="F483" i="3"/>
  <c r="F482" i="3" a="1"/>
  <c r="F482" i="3"/>
  <c r="F481" i="3" a="1"/>
  <c r="F481" i="3"/>
  <c r="F480" i="3" a="1"/>
  <c r="F480" i="3"/>
  <c r="F479" i="3" a="1"/>
  <c r="F479" i="3"/>
  <c r="F478" i="3" a="1"/>
  <c r="F478" i="3"/>
  <c r="F477" i="3" a="1"/>
  <c r="F477" i="3"/>
  <c r="F476" i="3" a="1"/>
  <c r="F476" i="3"/>
  <c r="F475" i="3" a="1"/>
  <c r="F475" i="3"/>
  <c r="F474" i="3" a="1"/>
  <c r="F474" i="3"/>
  <c r="F473" i="3" a="1"/>
  <c r="F473" i="3"/>
  <c r="F472" i="3" a="1"/>
  <c r="F472" i="3"/>
  <c r="F471" i="3" a="1"/>
  <c r="F471" i="3"/>
  <c r="F470" i="3" a="1"/>
  <c r="F470" i="3"/>
  <c r="F469" i="3" a="1"/>
  <c r="F469" i="3"/>
  <c r="F468" i="3" a="1"/>
  <c r="F468" i="3"/>
  <c r="F467" i="3" a="1"/>
  <c r="F467" i="3"/>
  <c r="F466" i="3" a="1"/>
  <c r="F466" i="3"/>
  <c r="F465" i="3" a="1"/>
  <c r="F465" i="3"/>
  <c r="F464" i="3" a="1"/>
  <c r="F464" i="3"/>
  <c r="F463" i="3" a="1"/>
  <c r="F463" i="3"/>
  <c r="F462" i="3" a="1"/>
  <c r="F462" i="3"/>
  <c r="F461" i="3" a="1"/>
  <c r="F461" i="3"/>
  <c r="F460" i="3" a="1"/>
  <c r="F460" i="3"/>
  <c r="F459" i="3" a="1"/>
  <c r="F459" i="3"/>
  <c r="F458" i="3" a="1"/>
  <c r="F458" i="3"/>
  <c r="F457" i="3" a="1"/>
  <c r="F457" i="3"/>
  <c r="F456" i="3" a="1"/>
  <c r="F456" i="3"/>
  <c r="F455" i="3" a="1"/>
  <c r="F455" i="3"/>
  <c r="F454" i="3" a="1"/>
  <c r="F454" i="3"/>
  <c r="F453" i="3" a="1"/>
  <c r="F453" i="3"/>
  <c r="F452" i="3" a="1"/>
  <c r="F452" i="3"/>
  <c r="F451" i="3" a="1"/>
  <c r="F451" i="3"/>
  <c r="F450" i="3" a="1"/>
  <c r="F450" i="3"/>
  <c r="F449" i="3" a="1"/>
  <c r="F449" i="3"/>
  <c r="F448" i="3" a="1"/>
  <c r="F448" i="3"/>
  <c r="F447" i="3" a="1"/>
  <c r="F447" i="3"/>
  <c r="F446" i="3" a="1"/>
  <c r="F446" i="3"/>
  <c r="F445" i="3" a="1"/>
  <c r="F445" i="3"/>
  <c r="F444" i="3" a="1"/>
  <c r="F444" i="3"/>
  <c r="F443" i="3" a="1"/>
  <c r="F443" i="3"/>
  <c r="F442" i="3" a="1"/>
  <c r="F442" i="3"/>
  <c r="F441" i="3" a="1"/>
  <c r="F441" i="3"/>
  <c r="F440" i="3" a="1"/>
  <c r="F440" i="3"/>
  <c r="F439" i="3" a="1"/>
  <c r="F439" i="3"/>
  <c r="F438" i="3" a="1"/>
  <c r="F438" i="3"/>
  <c r="F437" i="3" a="1"/>
  <c r="F437" i="3"/>
  <c r="F436" i="3" a="1"/>
  <c r="F436" i="3"/>
  <c r="F435" i="3" a="1"/>
  <c r="F435" i="3"/>
  <c r="F434" i="3" a="1"/>
  <c r="F434" i="3"/>
  <c r="F433" i="3" a="1"/>
  <c r="F433" i="3"/>
  <c r="F432" i="3" a="1"/>
  <c r="F432" i="3"/>
  <c r="F431" i="3" a="1"/>
  <c r="F431" i="3"/>
  <c r="F430" i="3" a="1"/>
  <c r="F430" i="3"/>
  <c r="F429" i="3" a="1"/>
  <c r="F429" i="3"/>
  <c r="F428" i="3" a="1"/>
  <c r="F428" i="3"/>
  <c r="F427" i="3" a="1"/>
  <c r="F427" i="3"/>
  <c r="F426" i="3" a="1"/>
  <c r="F426" i="3"/>
  <c r="F425" i="3" a="1"/>
  <c r="F425" i="3"/>
  <c r="F424" i="3" a="1"/>
  <c r="F424" i="3"/>
  <c r="F423" i="3" a="1"/>
  <c r="F423" i="3"/>
  <c r="F422" i="3" a="1"/>
  <c r="F422" i="3"/>
  <c r="F421" i="3" a="1"/>
  <c r="F421" i="3"/>
  <c r="F420" i="3" a="1"/>
  <c r="F420" i="3"/>
  <c r="F419" i="3" a="1"/>
  <c r="F419" i="3"/>
  <c r="F418" i="3" a="1"/>
  <c r="F418" i="3"/>
  <c r="F417" i="3" a="1"/>
  <c r="F417" i="3"/>
  <c r="F416" i="3" a="1"/>
  <c r="F416" i="3"/>
  <c r="F415" i="3" a="1"/>
  <c r="F415" i="3"/>
  <c r="F414" i="3" a="1"/>
  <c r="F414" i="3"/>
  <c r="F413" i="3" a="1"/>
  <c r="F413" i="3"/>
  <c r="F412" i="3" a="1"/>
  <c r="F412" i="3"/>
  <c r="F411" i="3" a="1"/>
  <c r="F411" i="3"/>
  <c r="F410" i="3" a="1"/>
  <c r="F410" i="3"/>
  <c r="F409" i="3" a="1"/>
  <c r="F409" i="3"/>
  <c r="F408" i="3" a="1"/>
  <c r="F408" i="3"/>
  <c r="F407" i="3" a="1"/>
  <c r="F407" i="3"/>
  <c r="F406" i="3" a="1"/>
  <c r="F406" i="3"/>
  <c r="F405" i="3" a="1"/>
  <c r="F405" i="3"/>
  <c r="F404" i="3" a="1"/>
  <c r="F404" i="3"/>
  <c r="F403" i="3" a="1"/>
  <c r="F403" i="3"/>
  <c r="F402" i="3" a="1"/>
  <c r="F402" i="3"/>
  <c r="F401" i="3" a="1"/>
  <c r="F401" i="3"/>
  <c r="F400" i="3" a="1"/>
  <c r="F400" i="3"/>
  <c r="F399" i="3" a="1"/>
  <c r="F399" i="3"/>
  <c r="F398" i="3" a="1"/>
  <c r="F398" i="3"/>
  <c r="F397" i="3" a="1"/>
  <c r="F397" i="3"/>
  <c r="F396" i="3" a="1"/>
  <c r="F396" i="3"/>
  <c r="F395" i="3" a="1"/>
  <c r="F395" i="3"/>
  <c r="F394" i="3" a="1"/>
  <c r="F394" i="3"/>
  <c r="F393" i="3" a="1"/>
  <c r="F393" i="3"/>
  <c r="F392" i="3" a="1"/>
  <c r="F392" i="3"/>
  <c r="F391" i="3" a="1"/>
  <c r="F391" i="3"/>
  <c r="F390" i="3" a="1"/>
  <c r="F390" i="3"/>
  <c r="F389" i="3" a="1"/>
  <c r="F389" i="3"/>
  <c r="F388" i="3" a="1"/>
  <c r="F388" i="3"/>
  <c r="F387" i="3" a="1"/>
  <c r="F387" i="3"/>
  <c r="F386" i="3" a="1"/>
  <c r="F386" i="3"/>
  <c r="F385" i="3" a="1"/>
  <c r="F385" i="3"/>
  <c r="F384" i="3" a="1"/>
  <c r="F384" i="3"/>
  <c r="F383" i="3" a="1"/>
  <c r="F383" i="3"/>
  <c r="F382" i="3" a="1"/>
  <c r="F382" i="3"/>
  <c r="F381" i="3" a="1"/>
  <c r="F381" i="3"/>
  <c r="F380" i="3" a="1"/>
  <c r="F380" i="3"/>
  <c r="F379" i="3" a="1"/>
  <c r="F379" i="3"/>
  <c r="F378" i="3" a="1"/>
  <c r="F378" i="3"/>
  <c r="F377" i="3" a="1"/>
  <c r="F377" i="3"/>
  <c r="F376" i="3" a="1"/>
  <c r="F376" i="3"/>
  <c r="F375" i="3" a="1"/>
  <c r="F375" i="3"/>
  <c r="F374" i="3" a="1"/>
  <c r="F374" i="3"/>
  <c r="F373" i="3" a="1"/>
  <c r="F373" i="3"/>
  <c r="F372" i="3" a="1"/>
  <c r="F372" i="3"/>
  <c r="F371" i="3" a="1"/>
  <c r="F371" i="3"/>
  <c r="F370" i="3" a="1"/>
  <c r="F370" i="3"/>
  <c r="F369" i="3" a="1"/>
  <c r="F369" i="3"/>
  <c r="F368" i="3" a="1"/>
  <c r="F368" i="3"/>
  <c r="F367" i="3" a="1"/>
  <c r="F367" i="3"/>
  <c r="F366" i="3" a="1"/>
  <c r="F366" i="3"/>
  <c r="F365" i="3" a="1"/>
  <c r="F365" i="3"/>
  <c r="F364" i="3" a="1"/>
  <c r="F364" i="3"/>
  <c r="F363" i="3" a="1"/>
  <c r="F363" i="3"/>
  <c r="F362" i="3" a="1"/>
  <c r="F362" i="3"/>
  <c r="F361" i="3" a="1"/>
  <c r="F361" i="3"/>
  <c r="F360" i="3" a="1"/>
  <c r="F360" i="3"/>
  <c r="F359" i="3" a="1"/>
  <c r="F359" i="3"/>
  <c r="F358" i="3" a="1"/>
  <c r="F358" i="3"/>
  <c r="F357" i="3" a="1"/>
  <c r="F357" i="3"/>
  <c r="F356" i="3" a="1"/>
  <c r="F356" i="3"/>
  <c r="F355" i="3" a="1"/>
  <c r="F355" i="3"/>
  <c r="F354" i="3" a="1"/>
  <c r="F354" i="3"/>
  <c r="F353" i="3" a="1"/>
  <c r="F353" i="3"/>
  <c r="F352" i="3" a="1"/>
  <c r="F352" i="3"/>
  <c r="F351" i="3" a="1"/>
  <c r="F351" i="3"/>
  <c r="F350" i="3" a="1"/>
  <c r="F350" i="3"/>
  <c r="F349" i="3" a="1"/>
  <c r="F349" i="3"/>
  <c r="F348" i="3" a="1"/>
  <c r="F348" i="3"/>
  <c r="F347" i="3" a="1"/>
  <c r="F347" i="3"/>
  <c r="F346" i="3" a="1"/>
  <c r="F346" i="3"/>
  <c r="F345" i="3" a="1"/>
  <c r="F345" i="3"/>
  <c r="F344" i="3" a="1"/>
  <c r="F344" i="3"/>
  <c r="F343" i="3" a="1"/>
  <c r="F343" i="3"/>
  <c r="F342" i="3" a="1"/>
  <c r="F342" i="3"/>
  <c r="F341" i="3" a="1"/>
  <c r="F341" i="3"/>
  <c r="F340" i="3" a="1"/>
  <c r="F340" i="3"/>
  <c r="F339" i="3" a="1"/>
  <c r="F339" i="3"/>
  <c r="F338" i="3" a="1"/>
  <c r="F338" i="3"/>
  <c r="F337" i="3" a="1"/>
  <c r="F337" i="3"/>
  <c r="F336" i="3" a="1"/>
  <c r="F336" i="3"/>
  <c r="F335" i="3" a="1"/>
  <c r="F335" i="3"/>
  <c r="F334" i="3" a="1"/>
  <c r="F334" i="3"/>
  <c r="F333" i="3" a="1"/>
  <c r="F333" i="3"/>
  <c r="F332" i="3" a="1"/>
  <c r="F332" i="3"/>
  <c r="F331" i="3" a="1"/>
  <c r="F331" i="3"/>
  <c r="F330" i="3" a="1"/>
  <c r="F330" i="3"/>
  <c r="F329" i="3" a="1"/>
  <c r="F329" i="3"/>
  <c r="F328" i="3" a="1"/>
  <c r="F328" i="3"/>
  <c r="F327" i="3" a="1"/>
  <c r="F327" i="3"/>
  <c r="F326" i="3" a="1"/>
  <c r="F326" i="3"/>
  <c r="F325" i="3" a="1"/>
  <c r="F325" i="3"/>
  <c r="F324" i="3" a="1"/>
  <c r="F324" i="3"/>
  <c r="F323" i="3" a="1"/>
  <c r="F323" i="3"/>
  <c r="F322" i="3" a="1"/>
  <c r="F322" i="3"/>
  <c r="F321" i="3" a="1"/>
  <c r="F321" i="3"/>
  <c r="F320" i="3" a="1"/>
  <c r="F320" i="3"/>
  <c r="F319" i="3" a="1"/>
  <c r="F319" i="3"/>
  <c r="F318" i="3" a="1"/>
  <c r="F318" i="3"/>
  <c r="F317" i="3" a="1"/>
  <c r="F317" i="3"/>
  <c r="F316" i="3" a="1"/>
  <c r="F316" i="3"/>
  <c r="F315" i="3" a="1"/>
  <c r="F315" i="3"/>
  <c r="F314" i="3" a="1"/>
  <c r="F314" i="3"/>
  <c r="F313" i="3" a="1"/>
  <c r="F313" i="3"/>
  <c r="F312" i="3" a="1"/>
  <c r="F312" i="3"/>
  <c r="F311" i="3" a="1"/>
  <c r="F311" i="3"/>
  <c r="F310" i="3" a="1"/>
  <c r="F310" i="3"/>
  <c r="F309" i="3" a="1"/>
  <c r="F309" i="3"/>
  <c r="F308" i="3" a="1"/>
  <c r="F308" i="3"/>
  <c r="F307" i="3" a="1"/>
  <c r="F307" i="3"/>
  <c r="F306" i="3" a="1"/>
  <c r="F306" i="3"/>
  <c r="F305" i="3" a="1"/>
  <c r="F305" i="3"/>
  <c r="F304" i="3" a="1"/>
  <c r="F304" i="3"/>
  <c r="F303" i="3" a="1"/>
  <c r="F303" i="3"/>
  <c r="F302" i="3" a="1"/>
  <c r="F302" i="3"/>
  <c r="F301" i="3" a="1"/>
  <c r="F301" i="3"/>
  <c r="F300" i="3" a="1"/>
  <c r="F300" i="3"/>
  <c r="F299" i="3" a="1"/>
  <c r="F299" i="3"/>
  <c r="F298" i="3" a="1"/>
  <c r="F298" i="3"/>
  <c r="F297" i="3" a="1"/>
  <c r="F297" i="3"/>
  <c r="F296" i="3" a="1"/>
  <c r="F296" i="3"/>
  <c r="F295" i="3" a="1"/>
  <c r="F295" i="3"/>
  <c r="F294" i="3" a="1"/>
  <c r="F294" i="3"/>
  <c r="F293" i="3" a="1"/>
  <c r="F293" i="3"/>
  <c r="F292" i="3" a="1"/>
  <c r="F292" i="3"/>
  <c r="F291" i="3" a="1"/>
  <c r="F291" i="3"/>
  <c r="F290" i="3" a="1"/>
  <c r="F290" i="3"/>
  <c r="F289" i="3" a="1"/>
  <c r="F289" i="3"/>
  <c r="F288" i="3" a="1"/>
  <c r="F288" i="3"/>
  <c r="F287" i="3" a="1"/>
  <c r="F287" i="3"/>
  <c r="F286" i="3" a="1"/>
  <c r="F286" i="3"/>
  <c r="F285" i="3" a="1"/>
  <c r="F285" i="3"/>
  <c r="F284" i="3" a="1"/>
  <c r="F284" i="3"/>
  <c r="F283" i="3" a="1"/>
  <c r="F283" i="3"/>
  <c r="F282" i="3" a="1"/>
  <c r="F282" i="3"/>
  <c r="F281" i="3" a="1"/>
  <c r="F281" i="3"/>
  <c r="F280" i="3" a="1"/>
  <c r="F280" i="3"/>
  <c r="F279" i="3" a="1"/>
  <c r="F279" i="3"/>
  <c r="F278" i="3" a="1"/>
  <c r="F278" i="3"/>
  <c r="F277" i="3" a="1"/>
  <c r="F277" i="3"/>
  <c r="F276" i="3" a="1"/>
  <c r="F276" i="3"/>
  <c r="F275" i="3" a="1"/>
  <c r="F275" i="3"/>
  <c r="F274" i="3" a="1"/>
  <c r="F274" i="3"/>
  <c r="F273" i="3" a="1"/>
  <c r="F273" i="3"/>
  <c r="F272" i="3" a="1"/>
  <c r="F272" i="3"/>
  <c r="F271" i="3" a="1"/>
  <c r="F271" i="3"/>
  <c r="F270" i="3" a="1"/>
  <c r="F270" i="3"/>
  <c r="F269" i="3" a="1"/>
  <c r="F269" i="3"/>
  <c r="F268" i="3" a="1"/>
  <c r="F268" i="3"/>
  <c r="F267" i="3" a="1"/>
  <c r="F267" i="3"/>
  <c r="F266" i="3" a="1"/>
  <c r="F266" i="3"/>
  <c r="F265" i="3" a="1"/>
  <c r="F265" i="3"/>
  <c r="F264" i="3" a="1"/>
  <c r="F264" i="3"/>
  <c r="F263" i="3" a="1"/>
  <c r="F263" i="3"/>
  <c r="F262" i="3" a="1"/>
  <c r="F262" i="3"/>
  <c r="F261" i="3" a="1"/>
  <c r="F261" i="3"/>
  <c r="F260" i="3" a="1"/>
  <c r="F260" i="3"/>
  <c r="F259" i="3" a="1"/>
  <c r="F259" i="3"/>
  <c r="F258" i="3" a="1"/>
  <c r="F258" i="3"/>
  <c r="F257" i="3" a="1"/>
  <c r="F257" i="3"/>
  <c r="F256" i="3" a="1"/>
  <c r="F256" i="3"/>
  <c r="F255" i="3" a="1"/>
  <c r="F255" i="3"/>
  <c r="F254" i="3" a="1"/>
  <c r="F254" i="3"/>
  <c r="F253" i="3" a="1"/>
  <c r="F253" i="3"/>
  <c r="F252" i="3" a="1"/>
  <c r="F252" i="3"/>
  <c r="F251" i="3" a="1"/>
  <c r="F251" i="3"/>
  <c r="F250" i="3" a="1"/>
  <c r="F250" i="3"/>
  <c r="F249" i="3" a="1"/>
  <c r="F249" i="3"/>
  <c r="F248" i="3" a="1"/>
  <c r="F248" i="3"/>
  <c r="F247" i="3" a="1"/>
  <c r="F247" i="3"/>
  <c r="F246" i="3" a="1"/>
  <c r="F246" i="3"/>
  <c r="F245" i="3" a="1"/>
  <c r="F245" i="3"/>
  <c r="F244" i="3" a="1"/>
  <c r="F244" i="3"/>
  <c r="F243" i="3" a="1"/>
  <c r="F243" i="3"/>
  <c r="F242" i="3" a="1"/>
  <c r="F242" i="3"/>
  <c r="F241" i="3" a="1"/>
  <c r="F241" i="3"/>
  <c r="F240" i="3" a="1"/>
  <c r="F240" i="3"/>
  <c r="F239" i="3" a="1"/>
  <c r="F239" i="3"/>
  <c r="F238" i="3" a="1"/>
  <c r="F238" i="3"/>
  <c r="F237" i="3" a="1"/>
  <c r="F237" i="3"/>
  <c r="F236" i="3" a="1"/>
  <c r="F236" i="3"/>
  <c r="F235" i="3" a="1"/>
  <c r="F235" i="3"/>
  <c r="F234" i="3" a="1"/>
  <c r="F234" i="3"/>
  <c r="F233" i="3" a="1"/>
  <c r="F233" i="3"/>
  <c r="F232" i="3" a="1"/>
  <c r="F232" i="3"/>
  <c r="F231" i="3" a="1"/>
  <c r="F231" i="3"/>
  <c r="F230" i="3" a="1"/>
  <c r="F230" i="3"/>
  <c r="F229" i="3" a="1"/>
  <c r="F229" i="3"/>
  <c r="F228" i="3" a="1"/>
  <c r="F228" i="3"/>
  <c r="F227" i="3" a="1"/>
  <c r="F227" i="3"/>
  <c r="F226" i="3" a="1"/>
  <c r="F226" i="3"/>
  <c r="F225" i="3" a="1"/>
  <c r="F225" i="3"/>
  <c r="F224" i="3" a="1"/>
  <c r="F224" i="3"/>
  <c r="F223" i="3" a="1"/>
  <c r="F223" i="3"/>
  <c r="F222" i="3" a="1"/>
  <c r="F222" i="3"/>
  <c r="F221" i="3" a="1"/>
  <c r="F221" i="3"/>
  <c r="F220" i="3" a="1"/>
  <c r="F220" i="3"/>
  <c r="F219" i="3" a="1"/>
  <c r="F219" i="3"/>
  <c r="F218" i="3" a="1"/>
  <c r="F218" i="3"/>
  <c r="F217" i="3" a="1"/>
  <c r="F217" i="3"/>
  <c r="F216" i="3" a="1"/>
  <c r="F216" i="3"/>
  <c r="F215" i="3" a="1"/>
  <c r="F215" i="3"/>
  <c r="F214" i="3" a="1"/>
  <c r="F214" i="3"/>
  <c r="F213" i="3" a="1"/>
  <c r="F213" i="3"/>
  <c r="F212" i="3" a="1"/>
  <c r="F212" i="3"/>
  <c r="F211" i="3" a="1"/>
  <c r="F211" i="3"/>
  <c r="F210" i="3" a="1"/>
  <c r="F210" i="3"/>
  <c r="F209" i="3" a="1"/>
  <c r="F209" i="3"/>
  <c r="F208" i="3" a="1"/>
  <c r="F208" i="3"/>
  <c r="F207" i="3" a="1"/>
  <c r="F207" i="3"/>
  <c r="F206" i="3" a="1"/>
  <c r="F206" i="3"/>
  <c r="F205" i="3" a="1"/>
  <c r="F205" i="3"/>
  <c r="F204" i="3" a="1"/>
  <c r="F204" i="3"/>
  <c r="F203" i="3" a="1"/>
  <c r="F203" i="3"/>
  <c r="F202" i="3" a="1"/>
  <c r="F202" i="3"/>
  <c r="F201" i="3" a="1"/>
  <c r="F201" i="3"/>
  <c r="F200" i="3" a="1"/>
  <c r="F200" i="3"/>
  <c r="F199" i="3" a="1"/>
  <c r="F199" i="3"/>
  <c r="F198" i="3" a="1"/>
  <c r="F198" i="3"/>
  <c r="F197" i="3" a="1"/>
  <c r="F197" i="3"/>
  <c r="F196" i="3" a="1"/>
  <c r="F196" i="3"/>
  <c r="F195" i="3" a="1"/>
  <c r="F195" i="3"/>
  <c r="F194" i="3" a="1"/>
  <c r="F194" i="3"/>
  <c r="F193" i="3" a="1"/>
  <c r="F193" i="3"/>
  <c r="F192" i="3" a="1"/>
  <c r="F192" i="3"/>
  <c r="F191" i="3" a="1"/>
  <c r="F191" i="3"/>
  <c r="F190" i="3" a="1"/>
  <c r="F190" i="3"/>
  <c r="F189" i="3" a="1"/>
  <c r="F189" i="3"/>
  <c r="F188" i="3" a="1"/>
  <c r="F188" i="3"/>
  <c r="F187" i="3" a="1"/>
  <c r="F187" i="3"/>
  <c r="F186" i="3" a="1"/>
  <c r="F186" i="3"/>
  <c r="F185" i="3" a="1"/>
  <c r="F185" i="3"/>
  <c r="F184" i="3" a="1"/>
  <c r="F184" i="3"/>
  <c r="F183" i="3" a="1"/>
  <c r="F183" i="3"/>
  <c r="F182" i="3" a="1"/>
  <c r="F182" i="3"/>
  <c r="F181" i="3" a="1"/>
  <c r="F181" i="3"/>
  <c r="F180" i="3" a="1"/>
  <c r="F180" i="3"/>
  <c r="F179" i="3" a="1"/>
  <c r="F179" i="3"/>
  <c r="F178" i="3" a="1"/>
  <c r="F178" i="3"/>
  <c r="F177" i="3" a="1"/>
  <c r="F177" i="3"/>
  <c r="F176" i="3" a="1"/>
  <c r="F176" i="3"/>
  <c r="F175" i="3" a="1"/>
  <c r="F175" i="3"/>
  <c r="F174" i="3" a="1"/>
  <c r="F174" i="3"/>
  <c r="F173" i="3" a="1"/>
  <c r="F173" i="3"/>
  <c r="F172" i="3" a="1"/>
  <c r="F172" i="3"/>
  <c r="F171" i="3" a="1"/>
  <c r="F171" i="3"/>
  <c r="F170" i="3" a="1"/>
  <c r="F170" i="3"/>
  <c r="F169" i="3" a="1"/>
  <c r="F169" i="3"/>
  <c r="F168" i="3" a="1"/>
  <c r="F168" i="3"/>
  <c r="F167" i="3" a="1"/>
  <c r="F167" i="3"/>
  <c r="F166" i="3" a="1"/>
  <c r="F166" i="3"/>
  <c r="F165" i="3" a="1"/>
  <c r="F165" i="3"/>
  <c r="F164" i="3" a="1"/>
  <c r="F164" i="3"/>
  <c r="F163" i="3" a="1"/>
  <c r="F163" i="3"/>
  <c r="F162" i="3" a="1"/>
  <c r="F162" i="3"/>
  <c r="F161" i="3" a="1"/>
  <c r="F161" i="3"/>
  <c r="F160" i="3" a="1"/>
  <c r="F160" i="3"/>
  <c r="F159" i="3" a="1"/>
  <c r="F159" i="3"/>
  <c r="F158" i="3" a="1"/>
  <c r="F158" i="3"/>
  <c r="F157" i="3" a="1"/>
  <c r="F157" i="3"/>
  <c r="F156" i="3" a="1"/>
  <c r="F156" i="3"/>
  <c r="F155" i="3" a="1"/>
  <c r="F155" i="3"/>
  <c r="F154" i="3" a="1"/>
  <c r="F154" i="3"/>
  <c r="F153" i="3" a="1"/>
  <c r="F153" i="3"/>
  <c r="F152" i="3" a="1"/>
  <c r="F152" i="3"/>
  <c r="F151" i="3" a="1"/>
  <c r="F151" i="3"/>
  <c r="F150" i="3" a="1"/>
  <c r="F150" i="3"/>
  <c r="F149" i="3" a="1"/>
  <c r="F149" i="3"/>
  <c r="F148" i="3" a="1"/>
  <c r="F148" i="3"/>
  <c r="F147" i="3" a="1"/>
  <c r="F147" i="3"/>
  <c r="F146" i="3" a="1"/>
  <c r="F146" i="3"/>
  <c r="F145" i="3" a="1"/>
  <c r="F145" i="3"/>
  <c r="F144" i="3" a="1"/>
  <c r="F144" i="3"/>
  <c r="F143" i="3" a="1"/>
  <c r="F143" i="3"/>
  <c r="F142" i="3" a="1"/>
  <c r="F142" i="3"/>
  <c r="F141" i="3" a="1"/>
  <c r="F141" i="3"/>
  <c r="F140" i="3" a="1"/>
  <c r="F140" i="3"/>
  <c r="F139" i="3" a="1"/>
  <c r="F139" i="3"/>
  <c r="F138" i="3" a="1"/>
  <c r="F138" i="3"/>
  <c r="F137" i="3" a="1"/>
  <c r="F137" i="3"/>
  <c r="F136" i="3" a="1"/>
  <c r="F136" i="3"/>
  <c r="F135" i="3" a="1"/>
  <c r="F135" i="3"/>
  <c r="F134" i="3" a="1"/>
  <c r="F134" i="3"/>
  <c r="F133" i="3" a="1"/>
  <c r="F133" i="3"/>
  <c r="F132" i="3" a="1"/>
  <c r="F132" i="3"/>
  <c r="F131" i="3" a="1"/>
  <c r="F131" i="3"/>
  <c r="F130" i="3" a="1"/>
  <c r="F130" i="3"/>
  <c r="F129" i="3" a="1"/>
  <c r="F129" i="3"/>
  <c r="F128" i="3" a="1"/>
  <c r="F128" i="3"/>
  <c r="F127" i="3" a="1"/>
  <c r="F127" i="3"/>
  <c r="F126" i="3" a="1"/>
  <c r="F126" i="3"/>
  <c r="F125" i="3" a="1"/>
  <c r="F125" i="3"/>
  <c r="F124" i="3" a="1"/>
  <c r="F124" i="3"/>
  <c r="F123" i="3" a="1"/>
  <c r="F123" i="3"/>
  <c r="F122" i="3" a="1"/>
  <c r="F122" i="3"/>
  <c r="F121" i="3" a="1"/>
  <c r="F121" i="3"/>
  <c r="F120" i="3" a="1"/>
  <c r="F120" i="3"/>
  <c r="F119" i="3" a="1"/>
  <c r="F119" i="3"/>
  <c r="F118" i="3" a="1"/>
  <c r="F118" i="3"/>
  <c r="F117" i="3" a="1"/>
  <c r="F117" i="3"/>
  <c r="F116" i="3" a="1"/>
  <c r="F116" i="3"/>
  <c r="F115" i="3" a="1"/>
  <c r="F115" i="3"/>
  <c r="F114" i="3" a="1"/>
  <c r="F114" i="3"/>
  <c r="F113" i="3" a="1"/>
  <c r="F113" i="3"/>
  <c r="F112" i="3" a="1"/>
  <c r="F112" i="3"/>
  <c r="F111" i="3" a="1"/>
  <c r="F111" i="3"/>
  <c r="F110" i="3" a="1"/>
  <c r="F110" i="3"/>
  <c r="F109" i="3" a="1"/>
  <c r="F109" i="3"/>
  <c r="F108" i="3" a="1"/>
  <c r="F108" i="3"/>
  <c r="F107" i="3" a="1"/>
  <c r="F107" i="3"/>
  <c r="F106" i="3" a="1"/>
  <c r="F106" i="3"/>
  <c r="F105" i="3" a="1"/>
  <c r="F105" i="3"/>
  <c r="F104" i="3" a="1"/>
  <c r="F104" i="3"/>
  <c r="F103" i="3" a="1"/>
  <c r="F103" i="3"/>
  <c r="F102" i="3" a="1"/>
  <c r="F102" i="3"/>
  <c r="F101" i="3" a="1"/>
  <c r="F101" i="3"/>
  <c r="F100" i="3" a="1"/>
  <c r="F100" i="3"/>
  <c r="F99" i="3" a="1"/>
  <c r="F99" i="3"/>
  <c r="F98" i="3" a="1"/>
  <c r="F98" i="3"/>
  <c r="F97" i="3" a="1"/>
  <c r="F97" i="3"/>
  <c r="F96" i="3" a="1"/>
  <c r="F96" i="3"/>
  <c r="F95" i="3" a="1"/>
  <c r="F95" i="3"/>
  <c r="F94" i="3" a="1"/>
  <c r="F94" i="3"/>
  <c r="F93" i="3" a="1"/>
  <c r="F93" i="3"/>
  <c r="F92" i="3" a="1"/>
  <c r="F92" i="3"/>
  <c r="F91" i="3" a="1"/>
  <c r="F91" i="3"/>
  <c r="F90" i="3" a="1"/>
  <c r="F90" i="3"/>
  <c r="F89" i="3" a="1"/>
  <c r="F89" i="3"/>
  <c r="F88" i="3" a="1"/>
  <c r="F88" i="3"/>
  <c r="F87" i="3" a="1"/>
  <c r="F87" i="3"/>
  <c r="F86" i="3" a="1"/>
  <c r="F86" i="3"/>
  <c r="F85" i="3" a="1"/>
  <c r="F85" i="3"/>
  <c r="F84" i="3" a="1"/>
  <c r="F84" i="3"/>
  <c r="F83" i="3" a="1"/>
  <c r="F83" i="3"/>
  <c r="F82" i="3" a="1"/>
  <c r="F82" i="3"/>
  <c r="F81" i="3" a="1"/>
  <c r="F81" i="3"/>
  <c r="F80" i="3" a="1"/>
  <c r="F80" i="3"/>
  <c r="F79" i="3" a="1"/>
  <c r="F79" i="3"/>
  <c r="F78" i="3" a="1"/>
  <c r="F78" i="3"/>
  <c r="F77" i="3" a="1"/>
  <c r="F77" i="3"/>
  <c r="F76" i="3" a="1"/>
  <c r="F76" i="3"/>
  <c r="F75" i="3" a="1"/>
  <c r="F75" i="3"/>
  <c r="F74" i="3" a="1"/>
  <c r="F74" i="3"/>
  <c r="F73" i="3" a="1"/>
  <c r="F73" i="3"/>
  <c r="F72" i="3" a="1"/>
  <c r="F72" i="3"/>
  <c r="F71" i="3" a="1"/>
  <c r="F71" i="3"/>
  <c r="F70" i="3" a="1"/>
  <c r="F70" i="3"/>
  <c r="F69" i="3" a="1"/>
  <c r="F69" i="3"/>
  <c r="F68" i="3" a="1"/>
  <c r="F68" i="3"/>
  <c r="F67" i="3" a="1"/>
  <c r="F67" i="3"/>
  <c r="F66" i="3" a="1"/>
  <c r="F66" i="3"/>
  <c r="F65" i="3" a="1"/>
  <c r="F65" i="3"/>
  <c r="F64" i="3" a="1"/>
  <c r="F64" i="3"/>
  <c r="F63" i="3" a="1"/>
  <c r="F63" i="3"/>
  <c r="F62" i="3" a="1"/>
  <c r="F62" i="3"/>
  <c r="F61" i="3" a="1"/>
  <c r="F61" i="3"/>
  <c r="F60" i="3" a="1"/>
  <c r="F60" i="3"/>
  <c r="F59" i="3" a="1"/>
  <c r="F59" i="3"/>
  <c r="F58" i="3" a="1"/>
  <c r="F58" i="3"/>
  <c r="F57" i="3" a="1"/>
  <c r="F57" i="3"/>
  <c r="F56" i="3" a="1"/>
  <c r="F56" i="3"/>
  <c r="F55" i="3" a="1"/>
  <c r="F55" i="3"/>
  <c r="F54" i="3" a="1"/>
  <c r="F54" i="3"/>
  <c r="F53" i="3" a="1"/>
  <c r="F53" i="3"/>
  <c r="F52" i="3" a="1"/>
  <c r="F52" i="3"/>
  <c r="F51" i="3" a="1"/>
  <c r="F51" i="3"/>
  <c r="F50" i="3" a="1"/>
  <c r="F50" i="3"/>
  <c r="F49" i="3" a="1"/>
  <c r="F49" i="3"/>
  <c r="F48" i="3" a="1"/>
  <c r="F48" i="3"/>
  <c r="F47" i="3" a="1"/>
  <c r="F47" i="3"/>
  <c r="F46" i="3" a="1"/>
  <c r="F46" i="3"/>
  <c r="F45" i="3" a="1"/>
  <c r="F45" i="3"/>
  <c r="F44" i="3" a="1"/>
  <c r="F44" i="3"/>
  <c r="F43" i="3" a="1"/>
  <c r="F43" i="3"/>
  <c r="F42" i="3" a="1"/>
  <c r="F42" i="3"/>
  <c r="F41" i="3" a="1"/>
  <c r="F41" i="3"/>
  <c r="F40" i="3" a="1"/>
  <c r="F40" i="3"/>
  <c r="F39" i="3" a="1"/>
  <c r="F39" i="3"/>
  <c r="F38" i="3" a="1"/>
  <c r="F38" i="3"/>
  <c r="F37" i="3" a="1"/>
  <c r="F37" i="3"/>
  <c r="F36" i="3" a="1"/>
  <c r="F36" i="3"/>
  <c r="F35" i="3" a="1"/>
  <c r="F35" i="3"/>
  <c r="F34" i="3" a="1"/>
  <c r="F34" i="3"/>
  <c r="F33" i="3" a="1"/>
  <c r="F33" i="3"/>
  <c r="F32" i="3" a="1"/>
  <c r="F32" i="3"/>
  <c r="F31" i="3" a="1"/>
  <c r="F31" i="3"/>
  <c r="F30" i="3" a="1"/>
  <c r="F30" i="3"/>
  <c r="F29" i="3" a="1"/>
  <c r="F29" i="3"/>
  <c r="F28" i="3" a="1"/>
  <c r="F28" i="3"/>
  <c r="F27" i="3" a="1"/>
  <c r="F27" i="3"/>
  <c r="F26" i="3" a="1"/>
  <c r="F26" i="3"/>
  <c r="F25" i="3" a="1"/>
  <c r="F25" i="3"/>
  <c r="F24" i="3" a="1"/>
  <c r="F24" i="3"/>
  <c r="F23" i="3" a="1"/>
  <c r="F23" i="3"/>
  <c r="F22" i="3" a="1"/>
  <c r="F22" i="3"/>
  <c r="F21" i="3" a="1"/>
  <c r="F21" i="3"/>
  <c r="F20" i="3" a="1"/>
  <c r="F20" i="3"/>
  <c r="F19" i="3" a="1"/>
  <c r="F19" i="3"/>
  <c r="F18" i="3" a="1"/>
  <c r="F18" i="3"/>
  <c r="F17" i="3" a="1"/>
  <c r="F17" i="3"/>
  <c r="F16" i="3" a="1"/>
  <c r="F16" i="3"/>
  <c r="F15" i="3" a="1"/>
  <c r="F15" i="3"/>
  <c r="F14" i="3" a="1"/>
  <c r="F14" i="3"/>
  <c r="F13" i="3" a="1"/>
  <c r="F13" i="3"/>
  <c r="F12" i="3" a="1"/>
  <c r="F12" i="3"/>
  <c r="F11" i="3" a="1"/>
  <c r="F11" i="3"/>
  <c r="F10" i="3" a="1"/>
  <c r="F10" i="3"/>
  <c r="F9" i="3" a="1"/>
  <c r="F9" i="3"/>
  <c r="F8" i="3" a="1"/>
  <c r="F8" i="3"/>
  <c r="F7" i="3" a="1"/>
  <c r="F7" i="3"/>
  <c r="F6" i="3" a="1"/>
  <c r="F6" i="3"/>
  <c r="F5" i="3" a="1"/>
  <c r="F5" i="3"/>
  <c r="F4" i="3" a="1"/>
  <c r="F4" i="3"/>
  <c r="F3" i="3" a="1"/>
  <c r="F3" i="3"/>
  <c r="F2" i="3" a="1"/>
  <c r="F2" i="3"/>
  <c r="E1106"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7" i="3"/>
  <c r="E58" i="3"/>
  <c r="E59" i="3"/>
  <c r="E60" i="3"/>
  <c r="E61" i="3"/>
  <c r="E62" i="3"/>
  <c r="E63" i="3"/>
  <c r="E64" i="3"/>
  <c r="E65" i="3"/>
  <c r="E66" i="3"/>
  <c r="E67" i="3"/>
  <c r="E68" i="3"/>
  <c r="E69" i="3"/>
  <c r="E70" i="3"/>
  <c r="E71" i="3"/>
  <c r="E72" i="3"/>
  <c r="E73" i="3"/>
  <c r="E74" i="3"/>
  <c r="E75" i="3"/>
  <c r="E76" i="3"/>
  <c r="E77" i="3"/>
  <c r="E78" i="3"/>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143" i="3"/>
  <c r="E144" i="3"/>
  <c r="E145" i="3"/>
  <c r="E146" i="3"/>
  <c r="E147" i="3"/>
  <c r="E148" i="3"/>
  <c r="E149" i="3"/>
  <c r="E150" i="3"/>
  <c r="E151" i="3"/>
  <c r="E152" i="3"/>
  <c r="E153" i="3"/>
  <c r="E154" i="3"/>
  <c r="E155" i="3"/>
  <c r="E156" i="3"/>
  <c r="E157" i="3"/>
  <c r="E158" i="3"/>
  <c r="E159" i="3"/>
  <c r="E160" i="3"/>
  <c r="E161" i="3"/>
  <c r="E162" i="3"/>
  <c r="E163" i="3"/>
  <c r="E164" i="3"/>
  <c r="E165" i="3"/>
  <c r="E166" i="3"/>
  <c r="E167" i="3"/>
  <c r="E168" i="3"/>
  <c r="E169" i="3"/>
  <c r="E170" i="3"/>
  <c r="E171" i="3"/>
  <c r="E172" i="3"/>
  <c r="E173" i="3"/>
  <c r="E174" i="3"/>
  <c r="E175" i="3"/>
  <c r="E176" i="3"/>
  <c r="E177" i="3"/>
  <c r="E178" i="3"/>
  <c r="E179" i="3"/>
  <c r="E180" i="3"/>
  <c r="E181" i="3"/>
  <c r="E182" i="3"/>
  <c r="E183" i="3"/>
  <c r="E184" i="3"/>
  <c r="E185" i="3"/>
  <c r="E186" i="3"/>
  <c r="E187" i="3"/>
  <c r="E188" i="3"/>
  <c r="E189" i="3"/>
  <c r="E190" i="3"/>
  <c r="E191" i="3"/>
  <c r="E192" i="3"/>
  <c r="E193" i="3"/>
  <c r="E194" i="3"/>
  <c r="E195" i="3"/>
  <c r="E196" i="3"/>
  <c r="E197" i="3"/>
  <c r="E198" i="3"/>
  <c r="E199" i="3"/>
  <c r="E200" i="3"/>
  <c r="E201" i="3"/>
  <c r="E202" i="3"/>
  <c r="E203" i="3"/>
  <c r="E204" i="3"/>
  <c r="E205" i="3"/>
  <c r="E206" i="3"/>
  <c r="E207" i="3"/>
  <c r="E208" i="3"/>
  <c r="E209" i="3"/>
  <c r="E210" i="3"/>
  <c r="E211" i="3"/>
  <c r="E212" i="3"/>
  <c r="E213" i="3"/>
  <c r="E214" i="3"/>
  <c r="E215" i="3"/>
  <c r="E216" i="3"/>
  <c r="E217" i="3"/>
  <c r="E218" i="3"/>
  <c r="E219" i="3"/>
  <c r="E220" i="3"/>
  <c r="E221" i="3"/>
  <c r="E222" i="3"/>
  <c r="E223" i="3"/>
  <c r="E224" i="3"/>
  <c r="E225" i="3"/>
  <c r="E226" i="3"/>
  <c r="E227" i="3"/>
  <c r="E228" i="3"/>
  <c r="E229" i="3"/>
  <c r="E230" i="3"/>
  <c r="E231" i="3"/>
  <c r="E232" i="3"/>
  <c r="E233" i="3"/>
  <c r="E234" i="3"/>
  <c r="E235" i="3"/>
  <c r="E236" i="3"/>
  <c r="E237" i="3"/>
  <c r="E238" i="3"/>
  <c r="E239" i="3"/>
  <c r="E240" i="3"/>
  <c r="E241" i="3"/>
  <c r="E242" i="3"/>
  <c r="E243" i="3"/>
  <c r="E244" i="3"/>
  <c r="E245" i="3"/>
  <c r="E246" i="3"/>
  <c r="E247" i="3"/>
  <c r="E248" i="3"/>
  <c r="E249" i="3"/>
  <c r="E250" i="3"/>
  <c r="E251" i="3"/>
  <c r="E252" i="3"/>
  <c r="E253" i="3"/>
  <c r="E254" i="3"/>
  <c r="E255" i="3"/>
  <c r="E256" i="3"/>
  <c r="E257" i="3"/>
  <c r="E258" i="3"/>
  <c r="E259" i="3"/>
  <c r="E260" i="3"/>
  <c r="E261" i="3"/>
  <c r="E262" i="3"/>
  <c r="E263" i="3"/>
  <c r="E264" i="3"/>
  <c r="E265" i="3"/>
  <c r="E266" i="3"/>
  <c r="E267" i="3"/>
  <c r="E268" i="3"/>
  <c r="E269" i="3"/>
  <c r="E270" i="3"/>
  <c r="E271" i="3"/>
  <c r="E272" i="3"/>
  <c r="E273" i="3"/>
  <c r="E274" i="3"/>
  <c r="E275" i="3"/>
  <c r="E276" i="3"/>
  <c r="E277" i="3"/>
  <c r="E278" i="3"/>
  <c r="E279" i="3"/>
  <c r="E280" i="3"/>
  <c r="E281" i="3"/>
  <c r="E282" i="3"/>
  <c r="E283" i="3"/>
  <c r="E284" i="3"/>
  <c r="E285" i="3"/>
  <c r="E286" i="3"/>
  <c r="E287" i="3"/>
  <c r="E288" i="3"/>
  <c r="E289" i="3"/>
  <c r="E290" i="3"/>
  <c r="E291" i="3"/>
  <c r="E292" i="3"/>
  <c r="E293" i="3"/>
  <c r="E294" i="3"/>
  <c r="E295" i="3"/>
  <c r="E296" i="3"/>
  <c r="E297" i="3"/>
  <c r="E298" i="3"/>
  <c r="E299" i="3"/>
  <c r="E300" i="3"/>
  <c r="E301" i="3"/>
  <c r="E302" i="3"/>
  <c r="E303" i="3"/>
  <c r="E304" i="3"/>
  <c r="E305" i="3"/>
  <c r="E306" i="3"/>
  <c r="E307" i="3"/>
  <c r="E308" i="3"/>
  <c r="E309" i="3"/>
  <c r="E310" i="3"/>
  <c r="E311" i="3"/>
  <c r="E312" i="3"/>
  <c r="E313" i="3"/>
  <c r="E314" i="3"/>
  <c r="E315" i="3"/>
  <c r="E316" i="3"/>
  <c r="E317" i="3"/>
  <c r="E318" i="3"/>
  <c r="E319" i="3"/>
  <c r="E320" i="3"/>
  <c r="E321" i="3"/>
  <c r="E322" i="3"/>
  <c r="E323" i="3"/>
  <c r="E324" i="3"/>
  <c r="E325" i="3"/>
  <c r="E326" i="3"/>
  <c r="E327" i="3"/>
  <c r="E328" i="3"/>
  <c r="E329" i="3"/>
  <c r="E330" i="3"/>
  <c r="E331" i="3"/>
  <c r="E332" i="3"/>
  <c r="E333" i="3"/>
  <c r="E334" i="3"/>
  <c r="E335" i="3"/>
  <c r="E336" i="3"/>
  <c r="E337" i="3"/>
  <c r="E338" i="3"/>
  <c r="E339" i="3"/>
  <c r="E340" i="3"/>
  <c r="E341" i="3"/>
  <c r="E342" i="3"/>
  <c r="E343" i="3"/>
  <c r="E344" i="3"/>
  <c r="E345" i="3"/>
  <c r="E346" i="3"/>
  <c r="E347" i="3"/>
  <c r="E348" i="3"/>
  <c r="E349" i="3"/>
  <c r="E350" i="3"/>
  <c r="E351" i="3"/>
  <c r="E352" i="3"/>
  <c r="E353" i="3"/>
  <c r="E354" i="3"/>
  <c r="E355" i="3"/>
  <c r="E356" i="3"/>
  <c r="E357" i="3"/>
  <c r="E358" i="3"/>
  <c r="E359" i="3"/>
  <c r="E360" i="3"/>
  <c r="E361" i="3"/>
  <c r="E362" i="3"/>
  <c r="E363" i="3"/>
  <c r="E364" i="3"/>
  <c r="E365" i="3"/>
  <c r="E366" i="3"/>
  <c r="E367" i="3"/>
  <c r="E368" i="3"/>
  <c r="E369" i="3"/>
  <c r="E370" i="3"/>
  <c r="E371" i="3"/>
  <c r="E372" i="3"/>
  <c r="E373" i="3"/>
  <c r="E374" i="3"/>
  <c r="E375" i="3"/>
  <c r="E376" i="3"/>
  <c r="E377" i="3"/>
  <c r="E378" i="3"/>
  <c r="E379" i="3"/>
  <c r="E380" i="3"/>
  <c r="E381" i="3"/>
  <c r="E382" i="3"/>
  <c r="E383" i="3"/>
  <c r="E384" i="3"/>
  <c r="E385" i="3"/>
  <c r="E386" i="3"/>
  <c r="E387" i="3"/>
  <c r="E388" i="3"/>
  <c r="E389" i="3"/>
  <c r="E390" i="3"/>
  <c r="E391" i="3"/>
  <c r="E392" i="3"/>
  <c r="E393" i="3"/>
  <c r="E394" i="3"/>
  <c r="E395" i="3"/>
  <c r="E396" i="3"/>
  <c r="E397" i="3"/>
  <c r="E398" i="3"/>
  <c r="E399" i="3"/>
  <c r="E400" i="3"/>
  <c r="E401" i="3"/>
  <c r="E402" i="3"/>
  <c r="E403" i="3"/>
  <c r="E404" i="3"/>
  <c r="E405" i="3"/>
  <c r="E406" i="3"/>
  <c r="E407" i="3"/>
  <c r="E408" i="3"/>
  <c r="E409" i="3"/>
  <c r="E410" i="3"/>
  <c r="E411" i="3"/>
  <c r="E412" i="3"/>
  <c r="E413" i="3"/>
  <c r="E414" i="3"/>
  <c r="E415" i="3"/>
  <c r="E416" i="3"/>
  <c r="E417" i="3"/>
  <c r="E418" i="3"/>
  <c r="E419" i="3"/>
  <c r="E420" i="3"/>
  <c r="E421" i="3"/>
  <c r="E422" i="3"/>
  <c r="E423" i="3"/>
  <c r="E424" i="3"/>
  <c r="E425" i="3"/>
  <c r="E426" i="3"/>
  <c r="E427" i="3"/>
  <c r="E428" i="3"/>
  <c r="E429" i="3"/>
  <c r="E430" i="3"/>
  <c r="E431" i="3"/>
  <c r="E432" i="3"/>
  <c r="E433" i="3"/>
  <c r="E434" i="3"/>
  <c r="E435" i="3"/>
  <c r="E436" i="3"/>
  <c r="E437" i="3"/>
  <c r="E438" i="3"/>
  <c r="E439" i="3"/>
  <c r="E440" i="3"/>
  <c r="E441" i="3"/>
  <c r="E442" i="3"/>
  <c r="E443" i="3"/>
  <c r="E444" i="3"/>
  <c r="E445" i="3"/>
  <c r="E446" i="3"/>
  <c r="E447" i="3"/>
  <c r="E448" i="3"/>
  <c r="E449" i="3"/>
  <c r="E450" i="3"/>
  <c r="E451" i="3"/>
  <c r="E452" i="3"/>
  <c r="E453" i="3"/>
  <c r="E454" i="3"/>
  <c r="E455" i="3"/>
  <c r="E456" i="3"/>
  <c r="E457" i="3"/>
  <c r="E458" i="3"/>
  <c r="E459" i="3"/>
  <c r="E460" i="3"/>
  <c r="E461" i="3"/>
  <c r="E462" i="3"/>
  <c r="E463" i="3"/>
  <c r="E464" i="3"/>
  <c r="E465" i="3"/>
  <c r="E466" i="3"/>
  <c r="E467" i="3"/>
  <c r="E468" i="3"/>
  <c r="E469" i="3"/>
  <c r="E470" i="3"/>
  <c r="E471" i="3"/>
  <c r="E472" i="3"/>
  <c r="E473" i="3"/>
  <c r="E474" i="3"/>
  <c r="E475" i="3"/>
  <c r="E476" i="3"/>
  <c r="E477" i="3"/>
  <c r="E478" i="3"/>
  <c r="E479" i="3"/>
  <c r="E480" i="3"/>
  <c r="E481" i="3"/>
  <c r="E482" i="3"/>
  <c r="E483" i="3"/>
  <c r="E484" i="3"/>
  <c r="E485" i="3"/>
  <c r="E486" i="3"/>
  <c r="E487" i="3"/>
  <c r="E488" i="3"/>
  <c r="E489" i="3"/>
  <c r="E490" i="3"/>
  <c r="E491" i="3"/>
  <c r="E492" i="3"/>
  <c r="E493" i="3"/>
  <c r="E494" i="3"/>
  <c r="E495" i="3"/>
  <c r="E496" i="3"/>
  <c r="E497" i="3"/>
  <c r="E498" i="3"/>
  <c r="E499" i="3"/>
  <c r="E500" i="3"/>
  <c r="E501" i="3"/>
  <c r="E502" i="3"/>
  <c r="E503" i="3"/>
  <c r="E504" i="3"/>
  <c r="E505" i="3"/>
  <c r="E506" i="3"/>
  <c r="E507" i="3"/>
  <c r="E508" i="3"/>
  <c r="E509" i="3"/>
  <c r="E510" i="3"/>
  <c r="E511" i="3"/>
  <c r="E512" i="3"/>
  <c r="E513" i="3"/>
  <c r="E514" i="3"/>
  <c r="E515" i="3"/>
  <c r="E516" i="3"/>
  <c r="E517" i="3"/>
  <c r="E518" i="3"/>
  <c r="E519" i="3"/>
  <c r="E520" i="3"/>
  <c r="E521" i="3"/>
  <c r="E522" i="3"/>
  <c r="E523" i="3"/>
  <c r="E524" i="3"/>
  <c r="E525" i="3"/>
  <c r="E526" i="3"/>
  <c r="E527" i="3"/>
  <c r="E528" i="3"/>
  <c r="E529" i="3"/>
  <c r="E530" i="3"/>
  <c r="E531" i="3"/>
  <c r="E532" i="3"/>
  <c r="E533" i="3"/>
  <c r="E534" i="3"/>
  <c r="E535" i="3"/>
  <c r="E536" i="3"/>
  <c r="E537" i="3"/>
  <c r="E538" i="3"/>
  <c r="E539" i="3"/>
  <c r="E540" i="3"/>
  <c r="E541" i="3"/>
  <c r="E542" i="3"/>
  <c r="E543" i="3"/>
  <c r="E544" i="3"/>
  <c r="E545" i="3"/>
  <c r="E546" i="3"/>
  <c r="E547" i="3"/>
  <c r="E548" i="3"/>
  <c r="E549" i="3"/>
  <c r="E550" i="3"/>
  <c r="E551" i="3"/>
  <c r="E552" i="3"/>
  <c r="E553" i="3"/>
  <c r="E554" i="3"/>
  <c r="E555" i="3"/>
  <c r="E556" i="3"/>
  <c r="E557" i="3"/>
  <c r="E558" i="3"/>
  <c r="E559" i="3"/>
  <c r="E560" i="3"/>
  <c r="E561" i="3"/>
  <c r="E562" i="3"/>
  <c r="E563" i="3"/>
  <c r="E564" i="3"/>
  <c r="E565" i="3"/>
  <c r="E566" i="3"/>
  <c r="E567" i="3"/>
  <c r="E568" i="3"/>
  <c r="E569" i="3"/>
  <c r="E570" i="3"/>
  <c r="E571" i="3"/>
  <c r="E572" i="3"/>
  <c r="E573" i="3"/>
  <c r="E574" i="3"/>
  <c r="E575" i="3"/>
  <c r="E576" i="3"/>
  <c r="E577" i="3"/>
  <c r="E578" i="3"/>
  <c r="E579" i="3"/>
  <c r="E580" i="3"/>
  <c r="E581" i="3"/>
  <c r="E582" i="3"/>
  <c r="E583" i="3"/>
  <c r="E584" i="3"/>
  <c r="E585" i="3"/>
  <c r="E586" i="3"/>
  <c r="E587" i="3"/>
  <c r="E588" i="3"/>
  <c r="E589" i="3"/>
  <c r="E590" i="3"/>
  <c r="E591" i="3"/>
  <c r="E592" i="3"/>
  <c r="E593" i="3"/>
  <c r="E594" i="3"/>
  <c r="E595" i="3"/>
  <c r="E596" i="3"/>
  <c r="E597" i="3"/>
  <c r="E598" i="3"/>
  <c r="E599" i="3"/>
  <c r="E600" i="3"/>
  <c r="E601" i="3"/>
  <c r="E602" i="3"/>
  <c r="E603" i="3"/>
  <c r="E604" i="3"/>
  <c r="E605" i="3"/>
  <c r="E606" i="3"/>
  <c r="E607" i="3"/>
  <c r="E608" i="3"/>
  <c r="E609" i="3"/>
  <c r="E610" i="3"/>
  <c r="E611" i="3"/>
  <c r="E612" i="3"/>
  <c r="E613" i="3"/>
  <c r="E614" i="3"/>
  <c r="E615" i="3"/>
  <c r="E616" i="3"/>
  <c r="E617" i="3"/>
  <c r="E618" i="3"/>
  <c r="E619" i="3"/>
  <c r="E620" i="3"/>
  <c r="E621" i="3"/>
  <c r="E622" i="3"/>
  <c r="E623" i="3"/>
  <c r="E624" i="3"/>
  <c r="E625" i="3"/>
  <c r="E626" i="3"/>
  <c r="E627" i="3"/>
  <c r="E628" i="3"/>
  <c r="E629" i="3"/>
  <c r="E630" i="3"/>
  <c r="E631" i="3"/>
  <c r="E632" i="3"/>
  <c r="E633" i="3"/>
  <c r="E634" i="3"/>
  <c r="E635" i="3"/>
  <c r="E636" i="3"/>
  <c r="E637" i="3"/>
  <c r="E638" i="3"/>
  <c r="E639" i="3"/>
  <c r="E640" i="3"/>
  <c r="E641" i="3"/>
  <c r="E642" i="3"/>
  <c r="E643" i="3"/>
  <c r="E644" i="3"/>
  <c r="E645" i="3"/>
  <c r="E646" i="3"/>
  <c r="E647" i="3"/>
  <c r="E648" i="3"/>
  <c r="E649" i="3"/>
  <c r="E650" i="3"/>
  <c r="E651" i="3"/>
  <c r="E652" i="3"/>
  <c r="E653" i="3"/>
  <c r="E654" i="3"/>
  <c r="E655" i="3"/>
  <c r="E656" i="3"/>
  <c r="E657" i="3"/>
  <c r="E658" i="3"/>
  <c r="E659" i="3"/>
  <c r="E660" i="3"/>
  <c r="E661" i="3"/>
  <c r="E662" i="3"/>
  <c r="E663" i="3"/>
  <c r="E664" i="3"/>
  <c r="E665" i="3"/>
  <c r="E666" i="3"/>
  <c r="E667" i="3"/>
  <c r="E668" i="3"/>
  <c r="E669" i="3"/>
  <c r="E670" i="3"/>
  <c r="E671" i="3"/>
  <c r="E672" i="3"/>
  <c r="E673" i="3"/>
  <c r="E674" i="3"/>
  <c r="E675" i="3"/>
  <c r="E676" i="3"/>
  <c r="E677" i="3"/>
  <c r="E678" i="3"/>
  <c r="E679" i="3"/>
  <c r="E680" i="3"/>
  <c r="E681" i="3"/>
  <c r="E682" i="3"/>
  <c r="E683" i="3"/>
  <c r="E684" i="3"/>
  <c r="E685" i="3"/>
  <c r="E686" i="3"/>
  <c r="E687" i="3"/>
  <c r="E688" i="3"/>
  <c r="E689" i="3"/>
  <c r="E690" i="3"/>
  <c r="E691" i="3"/>
  <c r="E692" i="3"/>
  <c r="E693" i="3"/>
  <c r="E694" i="3"/>
  <c r="E695" i="3"/>
  <c r="E696" i="3"/>
  <c r="E697" i="3"/>
  <c r="E698" i="3"/>
  <c r="E699" i="3"/>
  <c r="E700" i="3"/>
  <c r="E701" i="3"/>
  <c r="E702" i="3"/>
  <c r="E703" i="3"/>
  <c r="E704" i="3"/>
  <c r="E705" i="3"/>
  <c r="E706" i="3"/>
  <c r="E707" i="3"/>
  <c r="E708" i="3"/>
  <c r="E709" i="3"/>
  <c r="E710" i="3"/>
  <c r="E711" i="3"/>
  <c r="E712" i="3"/>
  <c r="E713" i="3"/>
  <c r="E714" i="3"/>
  <c r="E715" i="3"/>
  <c r="E716" i="3"/>
  <c r="E717" i="3"/>
  <c r="E718" i="3"/>
  <c r="E719" i="3"/>
  <c r="E720" i="3"/>
  <c r="E721" i="3"/>
  <c r="E722" i="3"/>
  <c r="E723" i="3"/>
  <c r="E724" i="3"/>
  <c r="E725" i="3"/>
  <c r="E726" i="3"/>
  <c r="E727" i="3"/>
  <c r="E728" i="3"/>
  <c r="E729" i="3"/>
  <c r="E730" i="3"/>
  <c r="E731" i="3"/>
  <c r="E732" i="3"/>
  <c r="E733" i="3"/>
  <c r="E734" i="3"/>
  <c r="E735" i="3"/>
  <c r="E736" i="3"/>
  <c r="E737" i="3"/>
  <c r="E738" i="3"/>
  <c r="E739" i="3"/>
  <c r="E740" i="3"/>
  <c r="E741" i="3"/>
  <c r="E742" i="3"/>
  <c r="E743" i="3"/>
  <c r="E744" i="3"/>
  <c r="E745" i="3"/>
  <c r="E746" i="3"/>
  <c r="E747" i="3"/>
  <c r="E748" i="3"/>
  <c r="E749" i="3"/>
  <c r="E750" i="3"/>
  <c r="E751" i="3"/>
  <c r="E752" i="3"/>
  <c r="E753" i="3"/>
  <c r="E754" i="3"/>
  <c r="E755" i="3"/>
  <c r="E756" i="3"/>
  <c r="E757" i="3"/>
  <c r="E758" i="3"/>
  <c r="E759" i="3"/>
  <c r="E760" i="3"/>
  <c r="E761" i="3"/>
  <c r="E762" i="3"/>
  <c r="E763" i="3"/>
  <c r="E764" i="3"/>
  <c r="E765" i="3"/>
  <c r="E766" i="3"/>
  <c r="E767" i="3"/>
  <c r="E768" i="3"/>
  <c r="E769" i="3"/>
  <c r="E770" i="3"/>
  <c r="E771" i="3"/>
  <c r="E772" i="3"/>
  <c r="E773" i="3"/>
  <c r="E774" i="3"/>
  <c r="E775" i="3"/>
  <c r="E776" i="3"/>
  <c r="E777" i="3"/>
  <c r="E778" i="3"/>
  <c r="E779" i="3"/>
  <c r="E780" i="3"/>
  <c r="E781" i="3"/>
  <c r="E782" i="3"/>
  <c r="E783" i="3"/>
  <c r="E784" i="3"/>
  <c r="E785" i="3"/>
  <c r="E786" i="3"/>
  <c r="E787" i="3"/>
  <c r="E788" i="3"/>
  <c r="E789" i="3"/>
  <c r="E790" i="3"/>
  <c r="E791" i="3"/>
  <c r="E792" i="3"/>
  <c r="E793" i="3"/>
  <c r="E794" i="3"/>
  <c r="E795" i="3"/>
  <c r="E796" i="3"/>
  <c r="E797" i="3"/>
  <c r="E798" i="3"/>
  <c r="E799" i="3"/>
  <c r="E800" i="3"/>
  <c r="E801" i="3"/>
  <c r="E802" i="3"/>
  <c r="E803" i="3"/>
  <c r="E804" i="3"/>
  <c r="E805" i="3"/>
  <c r="E806" i="3"/>
  <c r="E807" i="3"/>
  <c r="E808" i="3"/>
  <c r="E809" i="3"/>
  <c r="E810" i="3"/>
  <c r="E811" i="3"/>
  <c r="E812" i="3"/>
  <c r="E813" i="3"/>
  <c r="E814" i="3"/>
  <c r="E815" i="3"/>
  <c r="E816" i="3"/>
  <c r="E817" i="3"/>
  <c r="E818" i="3"/>
  <c r="E819" i="3"/>
  <c r="E820" i="3"/>
  <c r="E821" i="3"/>
  <c r="E822" i="3"/>
  <c r="E823" i="3"/>
  <c r="E824" i="3"/>
  <c r="E825" i="3"/>
  <c r="E826" i="3"/>
  <c r="E827" i="3"/>
  <c r="E828" i="3"/>
  <c r="E829" i="3"/>
  <c r="E830" i="3"/>
  <c r="E831" i="3"/>
  <c r="E832" i="3"/>
  <c r="E833" i="3"/>
  <c r="E834" i="3"/>
  <c r="E835" i="3"/>
  <c r="E836" i="3"/>
  <c r="E837" i="3"/>
  <c r="E838" i="3"/>
  <c r="E839" i="3"/>
  <c r="E840" i="3"/>
  <c r="E841" i="3"/>
  <c r="E842" i="3"/>
  <c r="E843" i="3"/>
  <c r="E844" i="3"/>
  <c r="E845" i="3"/>
  <c r="E846" i="3"/>
  <c r="E847" i="3"/>
  <c r="E848" i="3"/>
  <c r="E849" i="3"/>
  <c r="E850" i="3"/>
  <c r="E851" i="3"/>
  <c r="E852" i="3"/>
  <c r="E853" i="3"/>
  <c r="E854" i="3"/>
  <c r="E855" i="3"/>
  <c r="E856" i="3"/>
  <c r="E857" i="3"/>
  <c r="E858" i="3"/>
  <c r="E859" i="3"/>
  <c r="E860" i="3"/>
  <c r="E861" i="3"/>
  <c r="E862" i="3"/>
  <c r="E863" i="3"/>
  <c r="E864" i="3"/>
  <c r="E865" i="3"/>
  <c r="E866" i="3"/>
  <c r="E867" i="3"/>
  <c r="E868" i="3"/>
  <c r="E869" i="3"/>
  <c r="E870" i="3"/>
  <c r="E871" i="3"/>
  <c r="E872" i="3"/>
  <c r="E873" i="3"/>
  <c r="E874" i="3"/>
  <c r="E875" i="3"/>
  <c r="E876" i="3"/>
  <c r="E877" i="3"/>
  <c r="E878" i="3"/>
  <c r="E879" i="3"/>
  <c r="E880" i="3"/>
  <c r="E881" i="3"/>
  <c r="E882" i="3"/>
  <c r="E883" i="3"/>
  <c r="E884" i="3"/>
  <c r="E885" i="3"/>
  <c r="E886" i="3"/>
  <c r="E887" i="3"/>
  <c r="E888" i="3"/>
  <c r="E889" i="3"/>
  <c r="E890" i="3"/>
  <c r="E891" i="3"/>
  <c r="E892" i="3"/>
  <c r="E893" i="3"/>
  <c r="E894" i="3"/>
  <c r="E895" i="3"/>
  <c r="E896" i="3"/>
  <c r="E897" i="3"/>
  <c r="E898" i="3"/>
  <c r="E899" i="3"/>
  <c r="E900" i="3"/>
  <c r="E901" i="3"/>
  <c r="E902" i="3"/>
  <c r="E903" i="3"/>
  <c r="E904" i="3"/>
  <c r="E905" i="3"/>
  <c r="E906" i="3"/>
  <c r="E907" i="3"/>
  <c r="E908" i="3"/>
  <c r="E909" i="3"/>
  <c r="E910" i="3"/>
  <c r="E911" i="3"/>
  <c r="E912" i="3"/>
  <c r="E913" i="3"/>
  <c r="E914" i="3"/>
  <c r="E915" i="3"/>
  <c r="E916" i="3"/>
  <c r="E917" i="3"/>
  <c r="E918" i="3"/>
  <c r="E919" i="3"/>
  <c r="E920" i="3"/>
  <c r="E921" i="3"/>
  <c r="E922" i="3"/>
  <c r="E923" i="3"/>
  <c r="E924" i="3"/>
  <c r="E925" i="3"/>
  <c r="E926" i="3"/>
  <c r="E927" i="3"/>
  <c r="E928" i="3"/>
  <c r="E929" i="3"/>
  <c r="E930" i="3"/>
  <c r="E931" i="3"/>
  <c r="E932" i="3"/>
  <c r="E933" i="3"/>
  <c r="E934" i="3"/>
  <c r="E935" i="3"/>
  <c r="E936" i="3"/>
  <c r="E937" i="3"/>
  <c r="E938" i="3"/>
  <c r="E939" i="3"/>
  <c r="E940" i="3"/>
  <c r="E941" i="3"/>
  <c r="E942" i="3"/>
  <c r="E943" i="3"/>
  <c r="E944" i="3"/>
  <c r="E945" i="3"/>
  <c r="E946" i="3"/>
  <c r="E947" i="3"/>
  <c r="E948" i="3"/>
  <c r="E949" i="3"/>
  <c r="E950" i="3"/>
  <c r="E951" i="3"/>
  <c r="E952" i="3"/>
  <c r="E953" i="3"/>
  <c r="E954" i="3"/>
  <c r="E955" i="3"/>
  <c r="E956" i="3"/>
  <c r="E957" i="3"/>
  <c r="E958" i="3"/>
  <c r="E959" i="3"/>
  <c r="E960" i="3"/>
  <c r="E961" i="3"/>
  <c r="E962" i="3"/>
  <c r="E963" i="3"/>
  <c r="E964" i="3"/>
  <c r="E965" i="3"/>
  <c r="E966" i="3"/>
  <c r="E967" i="3"/>
  <c r="E968" i="3"/>
  <c r="E969" i="3"/>
  <c r="E970" i="3"/>
  <c r="E971" i="3"/>
  <c r="E972" i="3"/>
  <c r="E973" i="3"/>
  <c r="E974" i="3"/>
  <c r="E975" i="3"/>
  <c r="E976" i="3"/>
  <c r="E977" i="3"/>
  <c r="E978" i="3"/>
  <c r="E979" i="3"/>
  <c r="E980" i="3"/>
  <c r="E981" i="3"/>
  <c r="E982" i="3"/>
  <c r="E983" i="3"/>
  <c r="E984" i="3"/>
  <c r="E985" i="3"/>
  <c r="E986" i="3"/>
  <c r="E987" i="3"/>
  <c r="E988" i="3"/>
  <c r="E989" i="3"/>
  <c r="E990" i="3"/>
  <c r="E991" i="3"/>
  <c r="E992" i="3"/>
  <c r="E993" i="3"/>
  <c r="E994" i="3"/>
  <c r="E995" i="3"/>
  <c r="E996" i="3"/>
  <c r="E997" i="3"/>
  <c r="E998" i="3"/>
  <c r="E999" i="3"/>
  <c r="E1000" i="3"/>
  <c r="E1001" i="3"/>
  <c r="E1002" i="3"/>
  <c r="E1003" i="3"/>
  <c r="E1004" i="3"/>
  <c r="E1005" i="3"/>
  <c r="E1006" i="3"/>
  <c r="E1007" i="3"/>
  <c r="E1008" i="3"/>
  <c r="E1009" i="3"/>
  <c r="E1010" i="3"/>
  <c r="E1011" i="3"/>
  <c r="E1012" i="3"/>
  <c r="E1013" i="3"/>
  <c r="E1014" i="3"/>
  <c r="E1015" i="3"/>
  <c r="E1016" i="3"/>
  <c r="E1017" i="3"/>
  <c r="E1018" i="3"/>
  <c r="E1019" i="3"/>
  <c r="E1020" i="3"/>
  <c r="E1021" i="3"/>
  <c r="E1022" i="3"/>
  <c r="E1023" i="3"/>
  <c r="E1024" i="3"/>
  <c r="E1026" i="3"/>
  <c r="E1027" i="3"/>
  <c r="E1028" i="3"/>
  <c r="E1029" i="3"/>
  <c r="E1030" i="3"/>
  <c r="E1031" i="3"/>
  <c r="E1032" i="3"/>
  <c r="E1033" i="3"/>
  <c r="E1034" i="3"/>
  <c r="E1035" i="3"/>
  <c r="E1036" i="3"/>
  <c r="E1037" i="3"/>
  <c r="E1038" i="3"/>
  <c r="E1039" i="3"/>
  <c r="E1040" i="3"/>
  <c r="E1041" i="3"/>
  <c r="E1042" i="3"/>
  <c r="E1043" i="3"/>
  <c r="E1044" i="3"/>
  <c r="E1045" i="3"/>
  <c r="E1046" i="3"/>
  <c r="E1047" i="3"/>
  <c r="E1048" i="3"/>
  <c r="E1049" i="3"/>
  <c r="E1050" i="3"/>
  <c r="E1051" i="3"/>
  <c r="E1052" i="3"/>
  <c r="E1053" i="3"/>
  <c r="E1054" i="3"/>
  <c r="E1055" i="3"/>
  <c r="E1056" i="3"/>
  <c r="E1057" i="3"/>
  <c r="E1058" i="3"/>
  <c r="E1059" i="3"/>
  <c r="E1060" i="3"/>
  <c r="E1061" i="3"/>
  <c r="E1062" i="3"/>
  <c r="E1063" i="3"/>
  <c r="E1064" i="3"/>
  <c r="E1065" i="3"/>
  <c r="E1066" i="3"/>
  <c r="E1067" i="3"/>
  <c r="E1068" i="3"/>
  <c r="E1069" i="3"/>
  <c r="E1070" i="3"/>
  <c r="E1071" i="3"/>
  <c r="E1072" i="3"/>
  <c r="E1073" i="3"/>
  <c r="E1074" i="3"/>
  <c r="E1075" i="3"/>
  <c r="E1076" i="3"/>
  <c r="E1077" i="3"/>
  <c r="E1078" i="3"/>
  <c r="E1079" i="3"/>
  <c r="E1080" i="3"/>
  <c r="E1081" i="3"/>
  <c r="E1082" i="3"/>
  <c r="E1083" i="3"/>
  <c r="E1085" i="3"/>
  <c r="E1086" i="3"/>
  <c r="E1087" i="3"/>
  <c r="E1088" i="3"/>
  <c r="E1089" i="3"/>
  <c r="E1090" i="3"/>
  <c r="E1091" i="3"/>
  <c r="E1092" i="3"/>
  <c r="E1093" i="3"/>
  <c r="E1094" i="3"/>
  <c r="E1095" i="3"/>
  <c r="E1096" i="3"/>
  <c r="E1097" i="3"/>
  <c r="E1098" i="3"/>
  <c r="E1099" i="3"/>
  <c r="E1101" i="3"/>
  <c r="E1102" i="3"/>
  <c r="E1103" i="3"/>
  <c r="E1104" i="3"/>
  <c r="E1105" i="3"/>
  <c r="E1107" i="3"/>
  <c r="E12" i="3"/>
  <c r="E13" i="3"/>
  <c r="E14" i="3"/>
  <c r="E15" i="3"/>
  <c r="E16" i="3"/>
  <c r="E17" i="3"/>
  <c r="E18" i="3"/>
  <c r="E19" i="3"/>
  <c r="E20" i="3"/>
  <c r="E3" i="3"/>
  <c r="E4" i="3"/>
  <c r="E5" i="3"/>
  <c r="E6" i="3"/>
  <c r="E7" i="3"/>
  <c r="E8" i="3"/>
  <c r="E9" i="3"/>
  <c r="E10" i="3"/>
  <c r="E11" i="3"/>
  <c r="E2" i="3"/>
  <c r="A6" i="4"/>
  <c r="A7" i="4" s="1"/>
  <c r="A2" i="4"/>
  <c r="A3"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tc={3D8EA60D-E22A-4BF4-85EB-CF2F4CFAEAB8}</author>
  </authors>
  <commentList>
    <comment ref="J914" authorId="0" shapeId="0" xr:uid="{3D8EA60D-E22A-4BF4-85EB-CF2F4CFAEAB8}">
      <text>
        <t>[Threaded comment]
Your version of Excel allows you to read this threaded comment; however, any edits to it will get removed if the file is opened in a newer version of Excel. Learn more: https://go.microsoft.com/fwlink/?linkid=870924
Comment:
    The regional sites, including this one, are midway through being overhauled (to the point that work on them was pre-empted by this crisis!) and I don't know off the top of my head if this page will still exist.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<sst xmlns="http://schemas.openxmlformats.org/spreadsheetml/2006/main" count="11026" uniqueCount="5659">
  <si>
    <t>A URL has been suggested for</t>
  </si>
  <si>
    <t>entries,</t>
  </si>
  <si>
    <t>of the way to completion</t>
  </si>
  <si>
    <t xml:space="preserve">A URL has been determined for </t>
  </si>
  <si>
    <t>Rank #</t>
  </si>
  <si>
    <t>https://www.adl.org/resources/backgrounder/764</t>
  </si>
  <si>
    <t>Page path and screen class</t>
  </si>
  <si>
    <t>Redirected</t>
  </si>
  <si>
    <t>Regex to match main sheet</t>
  </si>
  <si>
    <t>Finalized But Not RD'd?</t>
  </si>
  <si>
    <t>Views</t>
  </si>
  <si>
    <t>Active users</t>
  </si>
  <si>
    <t>Views per active user</t>
  </si>
  <si>
    <t>Average engagement time per active user</t>
  </si>
  <si>
    <t>Event count</t>
  </si>
  <si>
    <t>https://www.adl.org/resources/backgrounder/qanon</t>
  </si>
  <si>
    <t>/glossary/frazzledrip/</t>
  </si>
  <si>
    <t>=VLOOKUP(H2,'PrioritizedGlossaryTerms'!A2:C1066</t>
  </si>
  <si>
    <t>https://www.adl.org/resources/article/qanon-adherents-reeling-wake-inauguration-trump-departure</t>
  </si>
  <si>
    <t>/glossary/nesaragesara/</t>
  </si>
  <si>
    <t>Y</t>
  </si>
  <si>
    <t>/glossary/europa-last-battle/</t>
  </si>
  <si>
    <t>https://www.adl.org/resources/backgrounder/incels-involuntary-celibates</t>
  </si>
  <si>
    <t>/glossary/foid/</t>
  </si>
  <si>
    <t>/glossary/fall-cabal/</t>
  </si>
  <si>
    <t>https://www.adl.org/resources/backgrounder/sovereign-citizen-movement-united-states</t>
  </si>
  <si>
    <t>/glossary/civil-peace-flagcivil-flag-peacetime/</t>
  </si>
  <si>
    <t>/glossary/q-drop/</t>
  </si>
  <si>
    <t>https://adl.org/resources/backgrounder/groyper-army-and-america-first</t>
  </si>
  <si>
    <t>/glossary/america-first/</t>
  </si>
  <si>
    <t>https://www.adl.org/resources/article/israel-hamas-ceasefire-sparks-fresh-wave-antisemitism-support-terror-us-anti</t>
  </si>
  <si>
    <t>/glossary/inverted-red-triangle/</t>
  </si>
  <si>
    <t>/glossary/ncswic-nothing-can-stop-what-coming/</t>
  </si>
  <si>
    <t>https://www.adl.org/resources/article/another-weekend-hate-neo-nazis-gather-florida</t>
  </si>
  <si>
    <t>/glossary/order-black-sun/</t>
  </si>
  <si>
    <t>/glossary/dumbs/</t>
  </si>
  <si>
    <t>https://www.adl.org/resources/backgrounder/proud-boys</t>
  </si>
  <si>
    <t>/glossary/fuck-around-and-find-out-fafo/</t>
  </si>
  <si>
    <t>https://www.adl.org/resources/article/coded-hate-extremists-weaponize-seemingly-innocuous-content-promote-bigotry</t>
  </si>
  <si>
    <t>/glossary/noticing/</t>
  </si>
  <si>
    <t>/glossary/david-straight/</t>
  </si>
  <si>
    <t>/glossary/early-life-check/</t>
  </si>
  <si>
    <t>/glossary/patriotswin/</t>
  </si>
  <si>
    <t>/glossary/never-lose-your-smile/</t>
  </si>
  <si>
    <t>/glossary/american-state-national/</t>
  </si>
  <si>
    <t>/glossary/brother-nathanael/</t>
  </si>
  <si>
    <t>/glossary/betar-usa/</t>
  </si>
  <si>
    <t>https://www.adl.org/resources/article/terrorgram-collective-international-terrorists-promoting-violence-and-white</t>
  </si>
  <si>
    <t>/glossary/terrorgram/</t>
  </si>
  <si>
    <t>/glossary/matt-forney/</t>
  </si>
  <si>
    <t>/glossary/died-suddenly/</t>
  </si>
  <si>
    <t>/glossary/turning-point-usa-tpusa/</t>
  </si>
  <si>
    <t>/resources/article/qanon-glossary/</t>
  </si>
  <si>
    <t>/glossary/271k/</t>
  </si>
  <si>
    <t>https://www.adl.org/resources/backgrounder/christian-identity-movement</t>
  </si>
  <si>
    <t>/glossary/christian-identity/</t>
  </si>
  <si>
    <t>/glossary/false-flag/</t>
  </si>
  <si>
    <t>https://www.adl.org/resources/backgrounder/blood-tribe</t>
  </si>
  <si>
    <t>/glossary/christopher-pohlhaus/</t>
  </si>
  <si>
    <t>/glossary/thomas-dalton/</t>
  </si>
  <si>
    <t>/glossary/whiteblack-hats/</t>
  </si>
  <si>
    <t>/glossary/six-million-cookies/</t>
  </si>
  <si>
    <t>/glossary/traditionalist-catholicism/</t>
  </si>
  <si>
    <t>/glossary/chemtrails/</t>
  </si>
  <si>
    <t>https://www.adl.org/resources/backgrounder/great-replacement-explainer</t>
  </si>
  <si>
    <t>/glossary/great-replacement-replacement-theory/</t>
  </si>
  <si>
    <t>/glossary/wwg1wga/</t>
  </si>
  <si>
    <t>/glossary/murder-seth-rich/</t>
  </si>
  <si>
    <t>/glossary/ryan-j-murdough/</t>
  </si>
  <si>
    <t>/glossary/cultural-marxism/</t>
  </si>
  <si>
    <t>https://www.adl.org/resources/backgrounder/american-blackshirts-movement-abm</t>
  </si>
  <si>
    <t>/glossary/american-blackshirts/</t>
  </si>
  <si>
    <t>/glossary/great-awakening-map/</t>
  </si>
  <si>
    <t>/glossary/19th-president/</t>
  </si>
  <si>
    <t>https://www.adl.org/resources/backgrounder/goyim-defense-league</t>
  </si>
  <si>
    <t>/glossary/goyim-defense-league/</t>
  </si>
  <si>
    <t>/glossary/my-heart-goes-out-you/</t>
  </si>
  <si>
    <t>https://www.adl.org/resources/article/white-supremacist-propaganda-focused-jews-and-immigrants-2024</t>
  </si>
  <si>
    <t>/glossary/new-england-white-network/</t>
  </si>
  <si>
    <t>/glossary/parents-rights-movement/</t>
  </si>
  <si>
    <t>/glossary/stew-peters/</t>
  </si>
  <si>
    <t>/glossary/fatigue-black-fatigue-jew-fatigue/</t>
  </si>
  <si>
    <t>/glossary/q-clock/</t>
  </si>
  <si>
    <t>/glossary/resistance-news-network-rnn/</t>
  </si>
  <si>
    <t>https://www.adl.org/resources/report/antisemitic-conspiracies-about-911-endure-20-years-later</t>
  </si>
  <si>
    <t>/glossary/dancing-israelis/</t>
  </si>
  <si>
    <t>/glossary/juice/</t>
  </si>
  <si>
    <t>https://www.adl.org/resources/profile/nation-islam</t>
  </si>
  <si>
    <t>/glossary/yakub/</t>
  </si>
  <si>
    <t>/resources/glossary-term/2021-israel-hamas-conflict-0/</t>
  </si>
  <si>
    <t>/glossary/ten-days-darkness/</t>
  </si>
  <si>
    <t>/glossary/order-nine-angles-o9a-ona/</t>
  </si>
  <si>
    <t>https://www.adl.org/resources/backgrounder/accelerationism</t>
  </si>
  <si>
    <t>/glossary/injekt-division/</t>
  </si>
  <si>
    <t>/glossary/atlantic-nationalist-club-anc/</t>
  </si>
  <si>
    <t>/glossary/q-0/</t>
  </si>
  <si>
    <t>/glossary/764/</t>
  </si>
  <si>
    <t>https://www.adl.org/holocaust-denial-anatomy-antisemitic-conspiracy-theory</t>
  </si>
  <si>
    <t>/glossary/david-irving/</t>
  </si>
  <si>
    <t>/glossary/open-borders-israel/</t>
  </si>
  <si>
    <t>/glossary/national-socialist-resistance-front-nsrf/</t>
  </si>
  <si>
    <t>/glossary/remigration/</t>
  </si>
  <si>
    <t>https://www.adl.org/resources/backgrounder/e-michael-jones</t>
  </si>
  <si>
    <t>/glossary/e-michael-jones/</t>
  </si>
  <si>
    <t>/glossary/every-single-time/</t>
  </si>
  <si>
    <t>/glossary/romana-didulo/</t>
  </si>
  <si>
    <t>/glossary/follow-white-rabbit/</t>
  </si>
  <si>
    <t>/glossary/khazars/</t>
  </si>
  <si>
    <t>/glossary/psyop/</t>
  </si>
  <si>
    <t>/glossary/american-futurist-0/</t>
  </si>
  <si>
    <t>/glossary/scott-mckay/</t>
  </si>
  <si>
    <t>/glossary/race-realism-racial-realism/</t>
  </si>
  <si>
    <t>/glossary/ghost-face-gangster/</t>
  </si>
  <si>
    <t>/glossary/accelerationism/</t>
  </si>
  <si>
    <t>/glossary/hate-group/</t>
  </si>
  <si>
    <t>/glossary/bishop-richard-williamson/</t>
  </si>
  <si>
    <t>/resources/article/nicholas-j-fuentes-five-things-know</t>
  </si>
  <si>
    <t>/glossary/nick-fuentes/</t>
  </si>
  <si>
    <t>/glossary/new-world-order/</t>
  </si>
  <si>
    <t>/glossary/raven-folk-united/</t>
  </si>
  <si>
    <t>/glossary/fakecel/</t>
  </si>
  <si>
    <t>/glossary/wolves-vinland/</t>
  </si>
  <si>
    <t>/resources/tools-and-strategies/education-glossary-terms/</t>
  </si>
  <si>
    <t>/glossary/american-futurist/</t>
  </si>
  <si>
    <t>adl.org/resources/backgrounder/sovereign-citizen-movement-united-states</t>
  </si>
  <si>
    <t>/glossary/14th-amendment/</t>
  </si>
  <si>
    <t>/glossary/nationalist-network/</t>
  </si>
  <si>
    <t>/glossary/globalist/</t>
  </si>
  <si>
    <t>/glossary/harold-hardy-carroll-lloyd/</t>
  </si>
  <si>
    <t>/glossary/pepe-frog/</t>
  </si>
  <si>
    <t>/glossary/khaybar-khaybar-ya-yahud/</t>
  </si>
  <si>
    <t>/glossary/neo-nazi/</t>
  </si>
  <si>
    <t>/glossary/arthur-butz/</t>
  </si>
  <si>
    <t>/glossary/clay-clark/</t>
  </si>
  <si>
    <t>https://adl.org/resources/backgrounder/christian-identity-movement</t>
  </si>
  <si>
    <t>/glossary/christian-identity-movement/</t>
  </si>
  <si>
    <t>/glossary/western-chauvinism/</t>
  </si>
  <si>
    <t>/glossary/hannah-pearl-davis/</t>
  </si>
  <si>
    <t>/glossary/ucc-1-308-and-ucc-1-207/</t>
  </si>
  <si>
    <t>/glossary/mkultra/</t>
  </si>
  <si>
    <t>/glossary/vinland-rebels/</t>
  </si>
  <si>
    <t>/glossary/maniac-murder-cult-mky-mku-mmc/</t>
  </si>
  <si>
    <t>/glossary/hate-club/</t>
  </si>
  <si>
    <t>/glossary/stop-zionist-hate/</t>
  </si>
  <si>
    <t>/glossary/83/</t>
  </si>
  <si>
    <t>/glossary/kalergi-plan/</t>
  </si>
  <si>
    <t>/glossary/national-organization-vital-action-nova/</t>
  </si>
  <si>
    <t>/glossary/irminfolk/</t>
  </si>
  <si>
    <t>/glossary/unity-fields-formerly-known-palestine-action-us/</t>
  </si>
  <si>
    <t>/glossary/2119-crew/</t>
  </si>
  <si>
    <t>/glossary/popular-front-liberation-palestine/</t>
  </si>
  <si>
    <t>/glossary/paul-miller/</t>
  </si>
  <si>
    <t>https://adl.org/resources/backgrounder/oath-keepers-and-three-ers-part-growing-anti-government-movement</t>
  </si>
  <si>
    <t>/glossary/oath-keepers-usa/</t>
  </si>
  <si>
    <t>/glossary/promised-them-3000-years-ago/</t>
  </si>
  <si>
    <t>/glossary/brenton-tarrant/</t>
  </si>
  <si>
    <t>/glossary/bobby-lawrence/</t>
  </si>
  <si>
    <t>/glossary/trinity-white-knights/</t>
  </si>
  <si>
    <t>/glossary/weimar-problems-require-weimar-solutions/</t>
  </si>
  <si>
    <t>https://www.adl.org/resources/report/hate-cascade-states-extremism-antisemitism-oregon-washington</t>
  </si>
  <si>
    <t>/glossary/pacific-northwest-wolfpack/</t>
  </si>
  <si>
    <t>/glossary/rwdsright-wing-death-squad/</t>
  </si>
  <si>
    <t>/glossary/transgenderism/</t>
  </si>
  <si>
    <t>/glossary/party-socialism-and-liberation-psl/</t>
  </si>
  <si>
    <t>/glossary/8kun/</t>
  </si>
  <si>
    <t>/glossary/david-icke/</t>
  </si>
  <si>
    <t>/glossary/lgbtq-agenda/</t>
  </si>
  <si>
    <t>/glossary/odinism/</t>
  </si>
  <si>
    <t>/glossary/white-supremacy/</t>
  </si>
  <si>
    <t>/glossary/no-lives-matter-nlm/</t>
  </si>
  <si>
    <t>/glossary/uss-liberty-conspiracy-theory/</t>
  </si>
  <si>
    <t>/glossary/1352/</t>
  </si>
  <si>
    <t>/glossary/dog-code/</t>
  </si>
  <si>
    <t>/glossary/jewish-questionjq/</t>
  </si>
  <si>
    <t>/glossary/clockwork-crew/</t>
  </si>
  <si>
    <t>/glossary/northwest-nationalist-network-3n/</t>
  </si>
  <si>
    <t>https://adl.org/resources/backgrounder/three-percenters</t>
  </si>
  <si>
    <t>/glossary/three-percenters/</t>
  </si>
  <si>
    <t>/glossary/fresnecks/</t>
  </si>
  <si>
    <t>/glossary/wotanism/</t>
  </si>
  <si>
    <t>/glossary/trinity-white-knights-0/</t>
  </si>
  <si>
    <t>https://adl.org/resources/backgrounder/who-are-antifa</t>
  </si>
  <si>
    <t>/glossary/antifa/</t>
  </si>
  <si>
    <t>/glossary/ye/</t>
  </si>
  <si>
    <t>/glossary/alison-chabloz/</t>
  </si>
  <si>
    <t>/glossary/fred-leuchter/</t>
  </si>
  <si>
    <t>/glossary/folkish-resistance-movement-frm/</t>
  </si>
  <si>
    <t>/glossary/gold-fringed-flag/</t>
  </si>
  <si>
    <t>/glossary/nathaniel-ray-aka-bishop-nathanyel/</t>
  </si>
  <si>
    <t>/glossary/sacred-white-knights-ku-klux-klan-swk/</t>
  </si>
  <si>
    <t>/glossary/henry-herskovitz/</t>
  </si>
  <si>
    <t>/resources/article/jewish-problem-conference-kentucky-brings-together-antisemites-extremists-across</t>
  </si>
  <si>
    <t>/glossary/ayo-kimathi/</t>
  </si>
  <si>
    <t>y</t>
  </si>
  <si>
    <t>/glossary/israelite-school-universal-practical-knowledge-isupk/</t>
  </si>
  <si>
    <t>/glossary/groyper-army/</t>
  </si>
  <si>
    <t>/glossary/acab-all-cops-are-bastards/</t>
  </si>
  <si>
    <t>/resources/backgrounder/new-independent-fundamental-baptist-new-ifb-movement</t>
  </si>
  <si>
    <t>/glossary/bruce-mejia/</t>
  </si>
  <si>
    <t>/glossary/rothschilds/</t>
  </si>
  <si>
    <t>/glossary/blood-tribe/</t>
  </si>
  <si>
    <t>/glossary/threat-duress-coercion-tdc/</t>
  </si>
  <si>
    <t>/glossary/adrenochrome/</t>
  </si>
  <si>
    <t>/glossary/Ycel/</t>
  </si>
  <si>
    <t>/glossary/911-conspiracy-theorists/</t>
  </si>
  <si>
    <t>/glossary/esoteric-hitlerism/</t>
  </si>
  <si>
    <t>/glossary/1390/</t>
  </si>
  <si>
    <t>/glossary/gender-ideology/</t>
  </si>
  <si>
    <t>/glossary/al-awda-palestine-right-return-coalition/</t>
  </si>
  <si>
    <t>https://www.adl.org/resources/backgrounder/ammon-bundy-and-peoples-rights</t>
  </si>
  <si>
    <t>/glossary/ammon-bundy/</t>
  </si>
  <si>
    <t>/resources/press-release/adl-launches-first-its-kind-online-glossary-extremism/</t>
  </si>
  <si>
    <t>/glossary/synagogue-satan/</t>
  </si>
  <si>
    <t>/glossary/agenda-2030/</t>
  </si>
  <si>
    <t>/glossary/old-glory-knights/</t>
  </si>
  <si>
    <t>/glossary/14-words/</t>
  </si>
  <si>
    <t>/glossary/telegram/</t>
  </si>
  <si>
    <t>/glossary/community-com-comm/</t>
  </si>
  <si>
    <t>/glossary/charles-weisman/</t>
  </si>
  <si>
    <t>/glossary/small-hats-big-problems/</t>
  </si>
  <si>
    <t>/glossary/white-pride-worldwide-wpww/</t>
  </si>
  <si>
    <t>/glossary/church-jesus-christ-christian-aryan-nations/</t>
  </si>
  <si>
    <t>/glossary/da-goyim-know/</t>
  </si>
  <si>
    <t>https://www.adl.org/resources/article/extremist-medicine-cabinet-guide-online-pills</t>
  </si>
  <si>
    <t>/glossary/red-pillredpilling/</t>
  </si>
  <si>
    <t>/glossary/zog-zionist-occupied-government/</t>
  </si>
  <si>
    <t>/glossary/moorish-movement/</t>
  </si>
  <si>
    <t>/glossary/6-million-wasnt-enough-6mwe/</t>
  </si>
  <si>
    <t>/resources/backgrounder/great-replacement-explainer</t>
  </si>
  <si>
    <t>/glossary/martin-sellner/</t>
  </si>
  <si>
    <t>/glossary/incels/</t>
  </si>
  <si>
    <t>/glossary/vincent-james-vincent-james-foxx/</t>
  </si>
  <si>
    <t>/glossary/j-woke-jwoke-j-woke/</t>
  </si>
  <si>
    <t>/glossary/antisemitism/</t>
  </si>
  <si>
    <t>/glossary/robert-faurisson/</t>
  </si>
  <si>
    <t>https://www.adl.org/resources/backgrounder/proud-boys-0</t>
  </si>
  <si>
    <t>/glossary/west-best/</t>
  </si>
  <si>
    <t>/glossary/elliot-rodger/</t>
  </si>
  <si>
    <t>/glossary/act-now-stop-war-and-end-racism-answer-coalition/</t>
  </si>
  <si>
    <t>/glossary/jon-minadeo-ii/</t>
  </si>
  <si>
    <t>/glossary/us-palestinian-community-network-uspcn/</t>
  </si>
  <si>
    <t>/glossary/tightrope-records/</t>
  </si>
  <si>
    <t>/glossary/deep-state/</t>
  </si>
  <si>
    <t>/glossary/ku-klux-klan-kkk/</t>
  </si>
  <si>
    <t>/glossary/colton-williams/</t>
  </si>
  <si>
    <t>/glossary/red-ink-thumbprintsfingerprints/</t>
  </si>
  <si>
    <t>/glossary/germar-rudolf/</t>
  </si>
  <si>
    <t>/glossary/victor-thorn/</t>
  </si>
  <si>
    <t>/glossary/pol/</t>
  </si>
  <si>
    <t>/glossary/skousenism/</t>
  </si>
  <si>
    <t>/glossary/white-genocide/</t>
  </si>
  <si>
    <t>/glossary/andrew-tate/</t>
  </si>
  <si>
    <t>/glossary/jim-rizoli/</t>
  </si>
  <si>
    <t>/glossary/reawaken-america-tour/</t>
  </si>
  <si>
    <t>/glossary/109110/</t>
  </si>
  <si>
    <t>/glossary/michael-santomauro/</t>
  </si>
  <si>
    <t>/glossary/masar-badil/</t>
  </si>
  <si>
    <t>/glossary/do-your-own-research-or-do-research/</t>
  </si>
  <si>
    <t>https://www.adl.org/resources/backgrounder/students-justice-palestine-sjp</t>
  </si>
  <si>
    <t>/glossary/national-students-justice-palestine-nsjp/</t>
  </si>
  <si>
    <t>/glossary/young-pharaoh-aka-marshall-daniels/</t>
  </si>
  <si>
    <t>/glossary/88-precepts/</t>
  </si>
  <si>
    <t>/glossary/extremism/</t>
  </si>
  <si>
    <t>/glossary/samidoun/</t>
  </si>
  <si>
    <t>/glossary/fight-flynn/</t>
  </si>
  <si>
    <t>/glossary/james-mason/</t>
  </si>
  <si>
    <t>/glossary/storm/</t>
  </si>
  <si>
    <t>/glossary/moon-man/</t>
  </si>
  <si>
    <t>/glossary/california-blackshirts/</t>
  </si>
  <si>
    <t>/glossary/charles-c-johnson/</t>
  </si>
  <si>
    <t>/glossary/john-sabal/</t>
  </si>
  <si>
    <t>/glossary/will2rise/</t>
  </si>
  <si>
    <t>/glossary/david-duke/</t>
  </si>
  <si>
    <t>/glossary/active-clubs/</t>
  </si>
  <si>
    <t>/glossary/institute-historical-review-ihr/</t>
  </si>
  <si>
    <t>/glossary/4chan/</t>
  </si>
  <si>
    <t>/glossary/fashwave/</t>
  </si>
  <si>
    <t>/glossary/anons/</t>
  </si>
  <si>
    <t>/glossary/michael-hoffman-ii/</t>
  </si>
  <si>
    <t>/glossary/payton-gendron/</t>
  </si>
  <si>
    <t>/glossary/okay-hand-gesture-symbol/</t>
  </si>
  <si>
    <t>/glossary/america-first-political-action-conference-afpac/</t>
  </si>
  <si>
    <t>/glossary/fake-jews/</t>
  </si>
  <si>
    <t>/glossary/adam-green/</t>
  </si>
  <si>
    <t>/glossary/edomedomitesesau/</t>
  </si>
  <si>
    <t>/glossary/george-soros-conspiracy-theories/</t>
  </si>
  <si>
    <t>/glossary/jack-posobiec/</t>
  </si>
  <si>
    <t>/glossary/dixieland-nationalists-club/</t>
  </si>
  <si>
    <t>/glossary/peoples-initiative-new-england/</t>
  </si>
  <si>
    <t>/glossary/denis-kapustin/</t>
  </si>
  <si>
    <t>/glossary/aryan-freedom-network-afn/</t>
  </si>
  <si>
    <t>/glossary/palestinian-youth-movement-pym/</t>
  </si>
  <si>
    <t>/glossary/firm-22/</t>
  </si>
  <si>
    <t>/glossary/molon-labe/</t>
  </si>
  <si>
    <t>/glossary/national-socialist-front-nsf/</t>
  </si>
  <si>
    <t>/glossary/zionist-entity/</t>
  </si>
  <si>
    <t>https://www.adl.org/resources/backgrounder/hamas</t>
  </si>
  <si>
    <t>/glossary/hamas/</t>
  </si>
  <si>
    <t>/glossary/christopher-bollyn/</t>
  </si>
  <si>
    <t>/glossary/marcus-follin/</t>
  </si>
  <si>
    <t>/glossary/charleston-church-massacre/</t>
  </si>
  <si>
    <t>/glossary/revisionisthistoryorg/</t>
  </si>
  <si>
    <t>/glossary/william-finck/</t>
  </si>
  <si>
    <t>/glossary/edgar-welch/</t>
  </si>
  <si>
    <t>/glossary/q-proofs/</t>
  </si>
  <si>
    <t>/glossary/digital-soldier-oath/</t>
  </si>
  <si>
    <t>/glossary/1488/</t>
  </si>
  <si>
    <t>/glossary/dave-gahary/</t>
  </si>
  <si>
    <t>/glossary/5-words/</t>
  </si>
  <si>
    <t>/glossary/american-nazi-party/</t>
  </si>
  <si>
    <t>/glossary/moorish-sovereign-citizens/</t>
  </si>
  <si>
    <t>/glossary/asatru-folk-assembly-afa/</t>
  </si>
  <si>
    <t>/resources/backgrounder/christian-identity-movement</t>
  </si>
  <si>
    <t>/glossary/christogenea/</t>
  </si>
  <si>
    <t>/glossary/white-rex-clothing/</t>
  </si>
  <si>
    <t>/glossary/joplin-honkys/</t>
  </si>
  <si>
    <t>/glossary/hitler-salute/</t>
  </si>
  <si>
    <t>/glossary/archbishop-carlo-maria-vigano/</t>
  </si>
  <si>
    <t>/glossary/pick-artists-pua/</t>
  </si>
  <si>
    <t>/glossary/14-first-foundation/</t>
  </si>
  <si>
    <t>/glossary/norse-paganism-modern/</t>
  </si>
  <si>
    <t>/glossary/ernst-zundel/</t>
  </si>
  <si>
    <t>/glossary/tradcatknight/</t>
  </si>
  <si>
    <t>/glossary/gorillion-gorrillion/</t>
  </si>
  <si>
    <t>/glossary/future-proves-past/</t>
  </si>
  <si>
    <t>/glossary/chad/</t>
  </si>
  <si>
    <t>/glossary/celtic-cross/</t>
  </si>
  <si>
    <t>/glossary/popular-front-liberation-palestine-general-command-pflp-gc/</t>
  </si>
  <si>
    <t>/glossary/plot-against-church-maurice-pinay/</t>
  </si>
  <si>
    <t>/glossary/dog-pill/</t>
  </si>
  <si>
    <t>/glossary/kek/</t>
  </si>
  <si>
    <t>/glossary/reverse-dog-pill/</t>
  </si>
  <si>
    <t>/glossary/save-children/</t>
  </si>
  <si>
    <t>/glossary/bowl-gang-bowlwaffenbowlwaffen-divisionthe-bowl-patrol/</t>
  </si>
  <si>
    <t>/glossary/vkontakte-vk/</t>
  </si>
  <si>
    <t>/glossary/its-okay-be-white/</t>
  </si>
  <si>
    <t>/glossary/white-supremacist/</t>
  </si>
  <si>
    <t>/glossary/big-igloo/</t>
  </si>
  <si>
    <t>/glossary/delta/</t>
  </si>
  <si>
    <t>/glossary/david-wynn-miller/</t>
  </si>
  <si>
    <t>/glossary/great-awakening/</t>
  </si>
  <si>
    <t>/glossary/honkler/</t>
  </si>
  <si>
    <t>/glossary/mahmoud-ahmadinejad/</t>
  </si>
  <si>
    <t>/glossary/qanon/</t>
  </si>
  <si>
    <t>/glossary/sovereign-citizen/</t>
  </si>
  <si>
    <t>/glossary/theres-q-and-theres-anons/</t>
  </si>
  <si>
    <t>/glossary/inconvenient-history-journal/</t>
  </si>
  <si>
    <t>/glossary/committee-open-debate-holocaust-codoh/</t>
  </si>
  <si>
    <t>/glossary/john-fitzgerald/</t>
  </si>
  <si>
    <t>/glossary/willis-carto/</t>
  </si>
  <si>
    <t>/glossary/211-bootboys/</t>
  </si>
  <si>
    <t>/glossary/lorebook/</t>
  </si>
  <si>
    <t>/glossary/castle-hill-publishers-chp/</t>
  </si>
  <si>
    <t>/glossary/national-bolshevism/</t>
  </si>
  <si>
    <t>/glossary/alphabet-boys/</t>
  </si>
  <si>
    <t>/glossary/john-wear/</t>
  </si>
  <si>
    <t>/glossary/leila-khaled/</t>
  </si>
  <si>
    <t>/glossary/ropefuel/</t>
  </si>
  <si>
    <t>/glossary/rape-pill/</t>
  </si>
  <si>
    <t>/glossary/happy-merchant/</t>
  </si>
  <si>
    <t>/glossary/88/</t>
  </si>
  <si>
    <t>/glossary/agenda-21/</t>
  </si>
  <si>
    <t>/glossary/coors-family-skins/</t>
  </si>
  <si>
    <t>/glossary/femcels/</t>
  </si>
  <si>
    <t>/glossary/mark-weber/</t>
  </si>
  <si>
    <t>/glossary/nikolas-cruz/</t>
  </si>
  <si>
    <t>https://www.adl.org/resources/article/mens-rights-activists-what-you-need-know</t>
  </si>
  <si>
    <t>/glossary/mens-rights-activist-mra/</t>
  </si>
  <si>
    <t>/glossary/cut-signs-cut-signing/</t>
  </si>
  <si>
    <t>/glossary/looksmaxxing/</t>
  </si>
  <si>
    <t>/glossary/little-shell-pembina-band-north-america/</t>
  </si>
  <si>
    <t>/glossary/dirty-white-boys/</t>
  </si>
  <si>
    <t>/glossary/hffh-symbol/</t>
  </si>
  <si>
    <t>/glossary/red-elephants/</t>
  </si>
  <si>
    <t>/glossary/redemption-theorystrawman-theory/</t>
  </si>
  <si>
    <t>/glossary/trust-planthe-plan/</t>
  </si>
  <si>
    <t>/glossary/white-pill/</t>
  </si>
  <si>
    <t>/glossary/henrik-palmgren/</t>
  </si>
  <si>
    <t>/glossary/israelite-church-god-jesus-christ-icgjc/</t>
  </si>
  <si>
    <t>/glossary/alex-jones/</t>
  </si>
  <si>
    <t>/glossary/stacystacey/</t>
  </si>
  <si>
    <t>/glossary/cuckservatives/</t>
  </si>
  <si>
    <t>/glossary/manosphere/</t>
  </si>
  <si>
    <t>/glossary/aryan-nations-prison-gang/</t>
  </si>
  <si>
    <t>/glossary/yahya-sinwar/</t>
  </si>
  <si>
    <t>/glossary/ye-right/</t>
  </si>
  <si>
    <t>/glossary/empire-state-stormers-ess/</t>
  </si>
  <si>
    <t>/glossary/kevin-barrett/</t>
  </si>
  <si>
    <t>/glossary/bullion-state-nationalists-bsn/</t>
  </si>
  <si>
    <t>/glossary/life-rune/</t>
  </si>
  <si>
    <t>/glossary/ss-bolts/</t>
  </si>
  <si>
    <t>/glossary/peckerwood/</t>
  </si>
  <si>
    <t>/glossary/rise-above-movement-ram/</t>
  </si>
  <si>
    <t>/glossary/combat-18/</t>
  </si>
  <si>
    <t>/glossary/earth-first/</t>
  </si>
  <si>
    <t>/glossary/black-pill/</t>
  </si>
  <si>
    <t>/glossary/day-rope/</t>
  </si>
  <si>
    <t>/glossary/336/</t>
  </si>
  <si>
    <t>/glossary/freemasonry/</t>
  </si>
  <si>
    <t>/glossary/palestine-liberation-front/</t>
  </si>
  <si>
    <t>/glossary/chuck-baldwin/</t>
  </si>
  <si>
    <t>/glossary/israel-united-christ/</t>
  </si>
  <si>
    <t>/glossary/proud-boys/</t>
  </si>
  <si>
    <t>/glossary/inspire-magazine/</t>
  </si>
  <si>
    <t>/glossary/big-luau/</t>
  </si>
  <si>
    <t>/glossary/iron-cross/</t>
  </si>
  <si>
    <t>/glossary/right-wing-extremism/</t>
  </si>
  <si>
    <t>/glossary/ishmael-muhammad/</t>
  </si>
  <si>
    <t>/glossary/military-only-way/</t>
  </si>
  <si>
    <t>/glossary/black-hebrew-israelites-bhi/</t>
  </si>
  <si>
    <t>/glossary/17anon/</t>
  </si>
  <si>
    <t>/glossary/ted-kaczynski/</t>
  </si>
  <si>
    <t>/glossary/anarchism/</t>
  </si>
  <si>
    <t>/glossary/patriot-movement/</t>
  </si>
  <si>
    <t>/glossary/hate-symbol-0/</t>
  </si>
  <si>
    <t>/glossary/holocaust-denial/</t>
  </si>
  <si>
    <t>/glossary/white-power/</t>
  </si>
  <si>
    <t>/glossary/eli-james/</t>
  </si>
  <si>
    <t>/glossary/crusaders/</t>
  </si>
  <si>
    <t>/glossary/america-first-students/</t>
  </si>
  <si>
    <t>/glossary/american-defense-skinheads/</t>
  </si>
  <si>
    <t>/glossary/kataib-hezbollah/</t>
  </si>
  <si>
    <t>https://www.adl.org/resources/report/hate-no-game-hate-and-harassment-online-games-2023</t>
  </si>
  <si>
    <t>/glossary/steam/</t>
  </si>
  <si>
    <t>/glossary/civnatfags/</t>
  </si>
  <si>
    <t>/glossary/david-j-miner/</t>
  </si>
  <si>
    <t>/glossary/white-lives-matter/</t>
  </si>
  <si>
    <t>/glossary/unz-review/</t>
  </si>
  <si>
    <t>/glossary/zero-delta/</t>
  </si>
  <si>
    <t>/glossary/black-bloc-tactics/</t>
  </si>
  <si>
    <t>/glossary/rightway-law/</t>
  </si>
  <si>
    <t>/glossary/blood-signs-blood-signing/</t>
  </si>
  <si>
    <t>/glossary/atomwaffen-division/</t>
  </si>
  <si>
    <t>/glossary/pizzagate/</t>
  </si>
  <si>
    <t>/glossary/liberty-tree/</t>
  </si>
  <si>
    <t>/glossary/purebloodpure-blood/</t>
  </si>
  <si>
    <t>/glossary/varg-vikernes/</t>
  </si>
  <si>
    <t>/glossary/cliff-herrington/</t>
  </si>
  <si>
    <t>/glossary/cabal/</t>
  </si>
  <si>
    <t>/glossary/1423/</t>
  </si>
  <si>
    <t>/glossary/othala-rune/</t>
  </si>
  <si>
    <t>/glossary/peoples-rights/</t>
  </si>
  <si>
    <t>/glossary/burt-colucci/</t>
  </si>
  <si>
    <t>/glossary/featherwood/</t>
  </si>
  <si>
    <t>/glossary/national-socialist-order-nso/</t>
  </si>
  <si>
    <t>/glossary/oath-keepers/</t>
  </si>
  <si>
    <t>/glossary/nutella-and-kittens/</t>
  </si>
  <si>
    <t>/glossary/plan-save-world/</t>
  </si>
  <si>
    <t>/glossary/zionazi/</t>
  </si>
  <si>
    <t>/glossary/hunter-wallace/</t>
  </si>
  <si>
    <t>/glossary/diy-division/</t>
  </si>
  <si>
    <t>/glossary/patriot-front/</t>
  </si>
  <si>
    <t>/glossary/paul-fromm/</t>
  </si>
  <si>
    <t>/glossary/america-first-media/</t>
  </si>
  <si>
    <t>/glossary/catboy-kami/</t>
  </si>
  <si>
    <t>/glossary/name-nose-tour/</t>
  </si>
  <si>
    <t>/glossary/patrick-casey/</t>
  </si>
  <si>
    <t>/glossary/alek-minassian/</t>
  </si>
  <si>
    <t>/glossary/racist-skinhead/</t>
  </si>
  <si>
    <t>/glossary/sharp/</t>
  </si>
  <si>
    <t>/glossary/1993-world-trade-center-bombing/</t>
  </si>
  <si>
    <t>/glossary/crew-38/</t>
  </si>
  <si>
    <t>/glossary/normie/</t>
  </si>
  <si>
    <t>/glossary/21-2-12/</t>
  </si>
  <si>
    <t>/glossary/jim-watkins/</t>
  </si>
  <si>
    <t>/glossary/vanguard-news-network-vnn/</t>
  </si>
  <si>
    <t>/glossary/joseph-h-cannariato/</t>
  </si>
  <si>
    <t>/glossary/white-nationalism/</t>
  </si>
  <si>
    <t>/glossary/23-hand-sign/</t>
  </si>
  <si>
    <t>/glossary/alison-weir/</t>
  </si>
  <si>
    <t>/glossary/barnes-review-tbr/</t>
  </si>
  <si>
    <t>/glossary/florida-nationalists/</t>
  </si>
  <si>
    <t>/glossary/crew-1488/</t>
  </si>
  <si>
    <t>/glossary/occidental-templars/</t>
  </si>
  <si>
    <t>/glossary/vdare/</t>
  </si>
  <si>
    <t>/glossary/aryan-strikeforce/</t>
  </si>
  <si>
    <t>/glossary/ecofascism/</t>
  </si>
  <si>
    <t>/glossary/alexander-dugin/</t>
  </si>
  <si>
    <t>/glossary/brigitte-gabriel/</t>
  </si>
  <si>
    <t>/glossary/gavin-mcinnes/</t>
  </si>
  <si>
    <t>/glossary/love-your-race/</t>
  </si>
  <si>
    <t>/glossary/arthur-jones/</t>
  </si>
  <si>
    <t>/glossary/crazy-white-boy/</t>
  </si>
  <si>
    <t>/glossary/druck18/</t>
  </si>
  <si>
    <t>/glossary/last-rhodesian/</t>
  </si>
  <si>
    <t>/glossary/media2rise/</t>
  </si>
  <si>
    <t>/glossary/st-michaels-cross/</t>
  </si>
  <si>
    <t>/glossary/trollface/</t>
  </si>
  <si>
    <t>/glossary/truth-social-q-tsq/</t>
  </si>
  <si>
    <t>/glossary/totenkopf/</t>
  </si>
  <si>
    <t>/glossary/white-boy-summer/</t>
  </si>
  <si>
    <t>/glossary/american-freedom-party/</t>
  </si>
  <si>
    <t>/glossary/jared-taylor/</t>
  </si>
  <si>
    <t>/glossary/men-going-their-own-way-mgtows/</t>
  </si>
  <si>
    <t>/glossary/great-reset/</t>
  </si>
  <si>
    <t>https://www.adl.org/resources/backgrounder/alt-right-alt-lite-naming-hate</t>
  </si>
  <si>
    <t>/glossary/brittany-pettibone/</t>
  </si>
  <si>
    <t>/glossary/anti-antifa/</t>
  </si>
  <si>
    <t>/glossary/william-potter-gale/</t>
  </si>
  <si>
    <t>/glossary/anders-behring-breivik/</t>
  </si>
  <si>
    <t>/glossary/arseniy-bilodub/</t>
  </si>
  <si>
    <t>/glossary/black-swan-event/</t>
  </si>
  <si>
    <t>/glossary/fema-camps/</t>
  </si>
  <si>
    <t>/glossary/fred-perry-polo-shirts-symbol/</t>
  </si>
  <si>
    <t>/glossary/mark-collett/</t>
  </si>
  <si>
    <t>/glossary/lauren-southern/</t>
  </si>
  <si>
    <t>/glossary/baking/</t>
  </si>
  <si>
    <t>/glossary/bradley-smith/</t>
  </si>
  <si>
    <t>/glossary/john-birch-society/</t>
  </si>
  <si>
    <t>/glossary/creativity-movement-tcm/</t>
  </si>
  <si>
    <t>/glossary/boots-and-laces/</t>
  </si>
  <si>
    <t>/glossary/isis/</t>
  </si>
  <si>
    <t>/glossary/going-er/</t>
  </si>
  <si>
    <t>/glossary/adrenaline-control/</t>
  </si>
  <si>
    <t>/glossary/al-aqsa-martyrs-brigades-aamb/</t>
  </si>
  <si>
    <t>/glossary/crucified-skinhead-symbol/</t>
  </si>
  <si>
    <t>/glossary/john-kopko/</t>
  </si>
  <si>
    <t>/glossary/traveling-not-driving/</t>
  </si>
  <si>
    <t>/glossary/al-hayat-media/</t>
  </si>
  <si>
    <t>/glossary/church-creativity/</t>
  </si>
  <si>
    <t>/glossary/i-am-proud-western-chauvinist-and-i-refuse-apologize-creating-modern-world/</t>
  </si>
  <si>
    <t>/glossary/islamic-state-sinai-province/</t>
  </si>
  <si>
    <t>/glossary/israel-shamir/</t>
  </si>
  <si>
    <t>/glossary/taqiyyataqiyatakiya/</t>
  </si>
  <si>
    <t>/glossary/illuminati/</t>
  </si>
  <si>
    <t>/glossary/medbeds/</t>
  </si>
  <si>
    <t>/resources/backgrounder/shield-wall-network-swn</t>
  </si>
  <si>
    <t>/glossary/billy-roper/</t>
  </si>
  <si>
    <t>/glossary/bread-pill/</t>
  </si>
  <si>
    <t>/glossary/brian-ruhe/</t>
  </si>
  <si>
    <t>/glossary/christoffer-dulny/</t>
  </si>
  <si>
    <t>/glossary/craig-rosebraugh/</t>
  </si>
  <si>
    <t>/glossary/akia/</t>
  </si>
  <si>
    <t>/glossary/western-chauvinist-telegram-channel/</t>
  </si>
  <si>
    <t>/glossary/anti-public-lands-movement/</t>
  </si>
  <si>
    <t>/glossary/conspiracy-theory/</t>
  </si>
  <si>
    <t>/glossary/constitutional-sheriffs-and-peace-officers-association/</t>
  </si>
  <si>
    <t>/glossary/jihad/</t>
  </si>
  <si>
    <t>/glossary/roger-elvick/</t>
  </si>
  <si>
    <t>/resources/backgrounder/accelerationism</t>
  </si>
  <si>
    <t>/glossary/sonnenkrieg-division/</t>
  </si>
  <si>
    <t>/glossary/1-11-symbol/</t>
  </si>
  <si>
    <t>/glossary/abdullah-azzam/</t>
  </si>
  <si>
    <t>/glossary/duncan-lemp/</t>
  </si>
  <si>
    <t>/glossary/dylann-roof/</t>
  </si>
  <si>
    <t>/glossary/fear-forever-enduring-always-ready/</t>
  </si>
  <si>
    <t>/glossary/groominggroomers/</t>
  </si>
  <si>
    <t>/glossary/moletunnel-children/</t>
  </si>
  <si>
    <t>/glossary/sonnenrad/</t>
  </si>
  <si>
    <t>/glossary/corneliu-zelea-codreanu/</t>
  </si>
  <si>
    <t>/glossary/red-ice-tv/</t>
  </si>
  <si>
    <t>/glossary/boogaloo-movement/</t>
  </si>
  <si>
    <t>/glossary/faithful-word-baptist-church/</t>
  </si>
  <si>
    <t>/glossary/fan-signs-fan-signing/</t>
  </si>
  <si>
    <t>/glossary/aafia-siddiqui/</t>
  </si>
  <si>
    <t>/glossary/blue-eyed-devils/</t>
  </si>
  <si>
    <t>/glossary/pink-pill/</t>
  </si>
  <si>
    <t>/glossary/lana-lokteff/</t>
  </si>
  <si>
    <t>/glossary/united-white-circle/</t>
  </si>
  <si>
    <t>/glossary/enrique-tarrio/</t>
  </si>
  <si>
    <t>/glossary/unforgiventhe-unforgiven/</t>
  </si>
  <si>
    <t>/glossary/far-right/</t>
  </si>
  <si>
    <t>/glossary/nationalist-social-club-nsc/</t>
  </si>
  <si>
    <t>/glossary/robert-brannen/</t>
  </si>
  <si>
    <t>/glossary/rock-against-communism-rac/</t>
  </si>
  <si>
    <t>/glossary/volcel/</t>
  </si>
  <si>
    <t>/glossary/earth-liberation-front-elf/</t>
  </si>
  <si>
    <t>/glossary/national-socialism/</t>
  </si>
  <si>
    <t>/glossary/Y-cascadia/</t>
  </si>
  <si>
    <t>/glossary/americans-bulletin/</t>
  </si>
  <si>
    <t>/glossary/cleon-skousen/</t>
  </si>
  <si>
    <t>/glossary/green-birds/</t>
  </si>
  <si>
    <t>/glossary/hypergamy/</t>
  </si>
  <si>
    <t>/glossary/jera-rune-symbol/</t>
  </si>
  <si>
    <t>/glossary/world-economic-forum-wef/</t>
  </si>
  <si>
    <t>/glossary/dave-foreman/</t>
  </si>
  <si>
    <t>/glossary/citizens-grand-jury-common-law-grand-jury-peoples-grand-jury/</t>
  </si>
  <si>
    <t>/glossary/let-god-burn-them-quickly-lgbtq/</t>
  </si>
  <si>
    <t>/glossary/nation-islam-noi/</t>
  </si>
  <si>
    <t>/glossary/alt-right/</t>
  </si>
  <si>
    <t>/glossary/ku-klux-klan-hand-sign/</t>
  </si>
  <si>
    <t>/glossary/pot-plot/</t>
  </si>
  <si>
    <t>/glossary/american-christian-dixie-knights/</t>
  </si>
  <si>
    <t>/glossary/hebrews-negroes/</t>
  </si>
  <si>
    <t>/glossary/rasmea-odeh/</t>
  </si>
  <si>
    <t>/glossary/cotswold-declaration/</t>
  </si>
  <si>
    <t>/glossary/national-socialist-movement/</t>
  </si>
  <si>
    <t>/glossary/siege/</t>
  </si>
  <si>
    <t>/glossary/alain-de-benoist/</t>
  </si>
  <si>
    <t>/glossary/animal-liberation-front-alf/</t>
  </si>
  <si>
    <t>/glossary/green-anarchy/</t>
  </si>
  <si>
    <t>/glossary/saviours-day/</t>
  </si>
  <si>
    <t>/glossary/skinhead/</t>
  </si>
  <si>
    <t>/glossary/abdel-aziz-rantisi/</t>
  </si>
  <si>
    <t>/glossary/american-guard/</t>
  </si>
  <si>
    <t>/glossary/ascend/</t>
  </si>
  <si>
    <t>/glossary/kevin-kjonaas/</t>
  </si>
  <si>
    <t>/glossary/proud-your-boy-poyb/</t>
  </si>
  <si>
    <t>/glossary/siegeculture/</t>
  </si>
  <si>
    <t>/glossary/white-separatism/</t>
  </si>
  <si>
    <t>/glossary/don-black/</t>
  </si>
  <si>
    <t>/glossary/patriot-prayer/</t>
  </si>
  <si>
    <t>/glossary/gtkrwn/</t>
  </si>
  <si>
    <t>/glossary/john-trochmann/</t>
  </si>
  <si>
    <t>/glossary/steven-anderson/</t>
  </si>
  <si>
    <t>/glossary/thomas-rousseau/</t>
  </si>
  <si>
    <t>/glossary/afghan-mujahideen/</t>
  </si>
  <si>
    <t>/glossary/christopher-cantwell/</t>
  </si>
  <si>
    <t>/glossary/enjoy-show/</t>
  </si>
  <si>
    <t>/glossary/patrick-crusius/</t>
  </si>
  <si>
    <t>/glossary/syringe-swastika-1/</t>
  </si>
  <si>
    <t>/glossary/tawhid-emoji/</t>
  </si>
  <si>
    <t>/glossary/runic-writing/</t>
  </si>
  <si>
    <t>/glossary/islamist-extremism/</t>
  </si>
  <si>
    <t>/glossary/we-media/</t>
  </si>
  <si>
    <t>/glossary/abdul-malik-sayyid-muhammad-aka-tony-muhammad/</t>
  </si>
  <si>
    <t>/glossary/siege-pill/</t>
  </si>
  <si>
    <t>/glossary/black-flags/</t>
  </si>
  <si>
    <t>/glossary/elijah-muhammad/</t>
  </si>
  <si>
    <t>/glossary/mike-peinovich/</t>
  </si>
  <si>
    <t>/glossary/thors-hammer/</t>
  </si>
  <si>
    <t>/glossary/211-crew/</t>
  </si>
  <si>
    <t>/glossary/act-america/</t>
  </si>
  <si>
    <t>/glossary/michael-brian-vanderboegh/</t>
  </si>
  <si>
    <t>/glossary/missing-13th-amendment/</t>
  </si>
  <si>
    <t>/glossary/atlantic-city-skinheads/</t>
  </si>
  <si>
    <t>/glossary/blood-drop-cross/</t>
  </si>
  <si>
    <t>/glossary/jogger/</t>
  </si>
  <si>
    <t>/glossary/plandemic/</t>
  </si>
  <si>
    <t>/glossary/robert-spencer/</t>
  </si>
  <si>
    <t>/glossary/good-habits-bad-boys/</t>
  </si>
  <si>
    <t>/glossary/islamic-revolutionary-guard-corps-irgc/</t>
  </si>
  <si>
    <t>/glossary/protocols-elders-zion/</t>
  </si>
  <si>
    <t>/glossary/robert-warren-ray/</t>
  </si>
  <si>
    <t>/glossary/united-nations-turtle-island-unoti/</t>
  </si>
  <si>
    <t>/glossary/sealed-indictments/</t>
  </si>
  <si>
    <t>/glossary/anti-racist-code-anti-white/</t>
  </si>
  <si>
    <t>/glossary/hakenkreuz-skinheads/</t>
  </si>
  <si>
    <t>/glossary/ian-stuart-donaldson/</t>
  </si>
  <si>
    <t>/glossary/jean-francois-gariepy-0/</t>
  </si>
  <si>
    <t>/glossary/no-political-solution/</t>
  </si>
  <si>
    <t>/glossary/anti-lgbtq-extremism/</t>
  </si>
  <si>
    <t>/glossary/baqiya-wa-tatamadad/</t>
  </si>
  <si>
    <t>/glossary/de-facto-vs-de-jure-government/</t>
  </si>
  <si>
    <t>/glossary/fasces-symbol/</t>
  </si>
  <si>
    <t>/glossary/directed-energy-weapons-dews/</t>
  </si>
  <si>
    <t>/glossary/faith-goldy/</t>
  </si>
  <si>
    <t>/glossary/feuerkrieg-division-fkd/</t>
  </si>
  <si>
    <t>/glossary/overton-window/</t>
  </si>
  <si>
    <t>/glossary/american-free-press/</t>
  </si>
  <si>
    <t>/glossary/aryan-terror-brigade/</t>
  </si>
  <si>
    <t>/glossary/diversity-white-genocide-symbol/</t>
  </si>
  <si>
    <t>/glossary/haarp/</t>
  </si>
  <si>
    <t>/glossary/inevitable-et-or-iet/</t>
  </si>
  <si>
    <t>/glossary/jewish-revolutionary-spirit/</t>
  </si>
  <si>
    <t>/glossary/jewish-supremacism-my-awakening-jewish-question/</t>
  </si>
  <si>
    <t>/glossary/jihad-watch/</t>
  </si>
  <si>
    <t>/glossary/rinaldo-nazzaro/</t>
  </si>
  <si>
    <t>/glossary/robert-j-mathews/</t>
  </si>
  <si>
    <t>/glossary/wolfsangel/</t>
  </si>
  <si>
    <t>/resources/blog/qanon-glossary/</t>
  </si>
  <si>
    <t>/resources/news/glossary-key-terms-and-events-israels-history-founding-israel/</t>
  </si>
  <si>
    <t>/glossary/alex-linder/</t>
  </si>
  <si>
    <t>/glossary/aryan-brotherhood-texas/</t>
  </si>
  <si>
    <t>/glossary/david-lane/</t>
  </si>
  <si>
    <t>/glossary/michelle-malkin/</t>
  </si>
  <si>
    <t>/glossary/new-independent-fundamental-baptist-new-ifb-movement/</t>
  </si>
  <si>
    <t>/glossary/domestic-extremism/</t>
  </si>
  <si>
    <t>/glossary/gilad-atzmon/</t>
  </si>
  <si>
    <t>/glossary/louis-farrakhan/</t>
  </si>
  <si>
    <t>/glossary/turner-diaries/</t>
  </si>
  <si>
    <t>/glossary/brandon-russell/</t>
  </si>
  <si>
    <t>/glossary/kyle-chapman/</t>
  </si>
  <si>
    <t>/glossary/triskele/</t>
  </si>
  <si>
    <t>/glossary/wolverine-watchmen/</t>
  </si>
  <si>
    <t>/glossary/boston-marathon-bombing/</t>
  </si>
  <si>
    <t>/glossary/domestic-terrorism/</t>
  </si>
  <si>
    <t>/glossary/jb-pill/</t>
  </si>
  <si>
    <t>/glossary/save-theour-children/</t>
  </si>
  <si>
    <t>/glossary/simon-roche/</t>
  </si>
  <si>
    <t>/glossary/traditionalist-american-knights-tak/</t>
  </si>
  <si>
    <t>/glossary/east-coast-knights/</t>
  </si>
  <si>
    <t>/glossary/race-traitor/</t>
  </si>
  <si>
    <t>/glossary/ahmed-yassin/</t>
  </si>
  <si>
    <t>/glossary/brien-james/</t>
  </si>
  <si>
    <t>/glossary/ragefuel/</t>
  </si>
  <si>
    <t>/glossary/robert-rundo/</t>
  </si>
  <si>
    <t>/glossary/14/</t>
  </si>
  <si>
    <t>/glossary/alfred-adask/</t>
  </si>
  <si>
    <t>/glossary/european-paganism/</t>
  </si>
  <si>
    <t>/glossary/identity-dixie/</t>
  </si>
  <si>
    <t>/glossary/jerry-vlasak/</t>
  </si>
  <si>
    <t>/glossary/league-south-los/</t>
  </si>
  <si>
    <t>/glossary/martial-law/</t>
  </si>
  <si>
    <t>/glossary/vinlanders-social-club/</t>
  </si>
  <si>
    <t>/glossary/17th-special-operations-group/</t>
  </si>
  <si>
    <t>/glossary/national-socialist-liberation-front/</t>
  </si>
  <si>
    <t>/glossary/Y-nation-israelite-congregation/</t>
  </si>
  <si>
    <t>/glossary/turbo-cancer/</t>
  </si>
  <si>
    <t>/glossary/blood-and-soil/</t>
  </si>
  <si>
    <t>/glossary/disinformation/</t>
  </si>
  <si>
    <t>/glossary/hate-symbol/</t>
  </si>
  <si>
    <t>/glossary/hezbollah/</t>
  </si>
  <si>
    <t>/glossary/nihilism-accelerationist/</t>
  </si>
  <si>
    <t>/glossary/colin-jordan/</t>
  </si>
  <si>
    <t>/glossary/colin-robertson/</t>
  </si>
  <si>
    <t>/glossary/infowars/</t>
  </si>
  <si>
    <t>/glossary/secret-relationship-between-blacks-and-jews/</t>
  </si>
  <si>
    <t>/glossary/we-wuz-kangs/</t>
  </si>
  <si>
    <t>/glossary/anti-government-extremism/</t>
  </si>
  <si>
    <t>/glossary/jonathan-shelley/</t>
  </si>
  <si>
    <t>/glossary/kigy-symbol/</t>
  </si>
  <si>
    <t>/glossary/ohio-aryan-brotherhood/</t>
  </si>
  <si>
    <t>/glossary/posse-comitatus/</t>
  </si>
  <si>
    <t>/glossary/propertarian-movement/</t>
  </si>
  <si>
    <t>/resources/backgrounder/glossary-key-terms-and-events-israels-history-israeli-arab-israeli/</t>
  </si>
  <si>
    <t>/glossary/counter-currents/</t>
  </si>
  <si>
    <t>/glossary/pestilence-heaven/</t>
  </si>
  <si>
    <t>/glossary/uhuru/</t>
  </si>
  <si>
    <t>/glossary/pamela-geller/</t>
  </si>
  <si>
    <t>/glossary/roger-jimenez/</t>
  </si>
  <si>
    <t>/glossary/abu-musab-al-zarqawi/</t>
  </si>
  <si>
    <t>/glossary/al-qaeda-arabian-peninsula-aqap/</t>
  </si>
  <si>
    <t>/glossary/bitchute/</t>
  </si>
  <si>
    <t>/glossary/brent-johnson/</t>
  </si>
  <si>
    <t>/glossary/new-jersey-european-heritage-association-njeha/</t>
  </si>
  <si>
    <t>/glossary/richard-spencer/</t>
  </si>
  <si>
    <t>/glossary/ronald-l-murray/</t>
  </si>
  <si>
    <t>/glossary/southern-brotherhood/</t>
  </si>
  <si>
    <t>/glossary/al-qaeda/</t>
  </si>
  <si>
    <t>/glossary/gerd-honsik/</t>
  </si>
  <si>
    <t>/glossary/jason-j-brown/</t>
  </si>
  <si>
    <t>/glossary/common-law-courts/</t>
  </si>
  <si>
    <t>/glossary/hate-edge/</t>
  </si>
  <si>
    <t>/glossary/ku-klux-klan-robes-symbol/</t>
  </si>
  <si>
    <t>/glossary/valknot/</t>
  </si>
  <si>
    <t>/glossary/comet-ping-pong-shooting/</t>
  </si>
  <si>
    <t>/glossary/stand-back-and-stand/</t>
  </si>
  <si>
    <t>/glossary/stop-huntingdon-animal-cruelty-shac/</t>
  </si>
  <si>
    <t>/glossary/wotan-nation/</t>
  </si>
  <si>
    <t>/glossary/alt-lite/</t>
  </si>
  <si>
    <t>/glossary/antifa-manual/</t>
  </si>
  <si>
    <t>/glossary/john-earnest/</t>
  </si>
  <si>
    <t>/glossary/screw-your-optics/</t>
  </si>
  <si>
    <t>/glossary/tax-protest-movement/</t>
  </si>
  <si>
    <t>/glossary/tom-sunic/</t>
  </si>
  <si>
    <t>/glossary/american-front/</t>
  </si>
  <si>
    <t>/glossary/creativity/</t>
  </si>
  <si>
    <t>/glossary/fruit-islam-foi/</t>
  </si>
  <si>
    <t>/glossary/south-african-flag-apartheid-era-symbol/</t>
  </si>
  <si>
    <t>/glossary/traditional-white-supremacists/</t>
  </si>
  <si>
    <t>/glossary/white-power-hand-sign/</t>
  </si>
  <si>
    <t>/resources/tools-and-strategies/disability-glossary/</t>
  </si>
  <si>
    <t>/glossary/daily-stormer/</t>
  </si>
  <si>
    <t>/glossary/jews-will-not-replace-us/</t>
  </si>
  <si>
    <t>/glossary/united-skinhead-nation/</t>
  </si>
  <si>
    <t>/glossary/imperial-german-flag-symbol/</t>
  </si>
  <si>
    <t>/glossary/no-race-mixing-symbol/</t>
  </si>
  <si>
    <t>/glossary/white-aryan-resistance-prison-gang/</t>
  </si>
  <si>
    <t>/glossary/zyklon-b/</t>
  </si>
  <si>
    <t>/glossary/100/</t>
  </si>
  <si>
    <t>/glossary/alabama-aryan-brotherhood/</t>
  </si>
  <si>
    <t>/glossary/cassandra-fairbanks/</t>
  </si>
  <si>
    <t>/glossary/hammerskin-nationhammerskins/</t>
  </si>
  <si>
    <t>/glossary/house-israel-hoi/</t>
  </si>
  <si>
    <t>/glossary/imperial-klans-america/</t>
  </si>
  <si>
    <t>/glossary/zoombombing/</t>
  </si>
  <si>
    <t>/glossary/burning-cross-symbol/</t>
  </si>
  <si>
    <t>/glossary/h8/</t>
  </si>
  <si>
    <t>/glossary/neo-confederate/</t>
  </si>
  <si>
    <t>/glossary/stormfront/</t>
  </si>
  <si>
    <t>/glossary/2000-mules/</t>
  </si>
  <si>
    <t>/glossary/embassy-heaven/</t>
  </si>
  <si>
    <t>/glossary/hammerfest/</t>
  </si>
  <si>
    <t>/glossary/james-edwards/</t>
  </si>
  <si>
    <t>/glossary/national-vanguard/</t>
  </si>
  <si>
    <t>/glossary/new-black-panther-party-self-defense-nbpp/</t>
  </si>
  <si>
    <t>/glossary/parkland-shooting/</t>
  </si>
  <si>
    <t>/glossary/purple-pill/</t>
  </si>
  <si>
    <t>/glossary/rick-wiles/</t>
  </si>
  <si>
    <t>/glossary/131/</t>
  </si>
  <si>
    <t>/glossary/free-manwoman/</t>
  </si>
  <si>
    <t>/glossary/iron-youth/</t>
  </si>
  <si>
    <t>/glossary/nazi-low-riders/</t>
  </si>
  <si>
    <t>/glossary/tyr-rune/</t>
  </si>
  <si>
    <t>/glossary/westboro-baptist-church/</t>
  </si>
  <si>
    <t>/glossary/andrew-anglin/</t>
  </si>
  <si>
    <t>/glossary/ecoterrorism/</t>
  </si>
  <si>
    <t>/glossary/jeff-schoep/</t>
  </si>
  <si>
    <t>/glossary/jew-ish/</t>
  </si>
  <si>
    <t>/glossary/knights-party/</t>
  </si>
  <si>
    <t>/glossary/ss-hand-sign-symbol/</t>
  </si>
  <si>
    <t>/glossary/tahriftahreef/</t>
  </si>
  <si>
    <t>/glossary/william-pierce/</t>
  </si>
  <si>
    <t>/glossary/abdullah-el-faisal/</t>
  </si>
  <si>
    <t>/glossary/boogaloo-bois-boojihadeen/</t>
  </si>
  <si>
    <t>/glossary/bound-glory/</t>
  </si>
  <si>
    <t>/glossary/camp-saints/</t>
  </si>
  <si>
    <t>/glossary/fraternal-order-alt-knights-foak/</t>
  </si>
  <si>
    <t>/glossary/hated/</t>
  </si>
  <si>
    <t>/glossary/meine-ehre-heisst-treue/</t>
  </si>
  <si>
    <t>/glossary/saxon-knights/</t>
  </si>
  <si>
    <t>/glossary/swastika/</t>
  </si>
  <si>
    <t>/glossary/aryan-cowboy-brotherhood/</t>
  </si>
  <si>
    <t>/glossary/aryan-nations/</t>
  </si>
  <si>
    <t>/glossary/aryan-renaissance-society/</t>
  </si>
  <si>
    <t>/glossary/ayak/</t>
  </si>
  <si>
    <t>/glossary/national-justice-party/</t>
  </si>
  <si>
    <t>/glossary/paper-terrorism/</t>
  </si>
  <si>
    <t>/glossary/peter-brimelow/</t>
  </si>
  <si>
    <t>/glossary/texe-marrs/</t>
  </si>
  <si>
    <t>/glossary/abu-bakr-al-baghdadi/</t>
  </si>
  <si>
    <t>/glossary/nordic-resistance-movement-nrm/</t>
  </si>
  <si>
    <t>/glossary/blue-pill/</t>
  </si>
  <si>
    <t>/glossary/conor-climo/</t>
  </si>
  <si>
    <t>/glossary/council-conservative-citizens/</t>
  </si>
  <si>
    <t>/glossary/el-paso-shooting/</t>
  </si>
  <si>
    <t>/glossary/european-kindred-hand-sign/</t>
  </si>
  <si>
    <t>/glossary/green-pill/</t>
  </si>
  <si>
    <t>/glossary/order/</t>
  </si>
  <si>
    <t>/glossary/ava-muhammad/</t>
  </si>
  <si>
    <t>/glossary/fred-phelps-sr/</t>
  </si>
  <si>
    <t>/glossary/mioak/</t>
  </si>
  <si>
    <t>/glossary/wade-michael-page/</t>
  </si>
  <si>
    <t>/glossary/anudda-shoah/</t>
  </si>
  <si>
    <t>/glossary/arrow-cross-symbol/</t>
  </si>
  <si>
    <t>/glossary/autists/</t>
  </si>
  <si>
    <t>/glossary/daniel-friberg/</t>
  </si>
  <si>
    <t>/glossary/golden-state-solidarity-symbol/</t>
  </si>
  <si>
    <t>/glossary/occidental-dissent/</t>
  </si>
  <si>
    <t>/glossary/timothy-mcveigh/</t>
  </si>
  <si>
    <t>/glossary/universal-order/</t>
  </si>
  <si>
    <t>/glossary/vorherrschaft-division/</t>
  </si>
  <si>
    <t>/glossary/abbas-hamideh/</t>
  </si>
  <si>
    <t>/glossary/anton-long/</t>
  </si>
  <si>
    <t>/glossary/base/</t>
  </si>
  <si>
    <t>/glossary/garland-tx-terrorist-plot-also-known-draw-mohammed-art-contest-plot/</t>
  </si>
  <si>
    <t>/glossary/pentti-linkola/</t>
  </si>
  <si>
    <t>/glossary/ruby-ridge/</t>
  </si>
  <si>
    <t>/glossary/takis-magazine/</t>
  </si>
  <si>
    <t>/glossary/al-furqan-media/</t>
  </si>
  <si>
    <t>/glossary/frazier-glenn-miller/</t>
  </si>
  <si>
    <t>/glossary/gordon-duff/</t>
  </si>
  <si>
    <t>/glossary/keysone-state-skinheadskeystone-united/</t>
  </si>
  <si>
    <t>/glossary/northwest-american-republic/</t>
  </si>
  <si>
    <t>/glossary/palestinian-islamic-jihad/</t>
  </si>
  <si>
    <t>/glossary/scamdemic/</t>
  </si>
  <si>
    <t>/glossary/solid-wood-soldiers/</t>
  </si>
  <si>
    <t>/glossary/greg-johnson/</t>
  </si>
  <si>
    <t>/glossary/honorable-sacred-knights-ku-klux-klan-hsk/</t>
  </si>
  <si>
    <t>/glossary/milo-yiannopoulos/</t>
  </si>
  <si>
    <t>/glossary/optics-debate/</t>
  </si>
  <si>
    <t>/glossary/sean-michael-gillespie/</t>
  </si>
  <si>
    <t>/glossary/holohoax/</t>
  </si>
  <si>
    <t>/glossary/identitarian-lambda-symbol/</t>
  </si>
  <si>
    <t>/glossary/jacob-robida/</t>
  </si>
  <si>
    <t>/glossary/khattab-media-foundation/</t>
  </si>
  <si>
    <t>/glossary/paul-gottfried/</t>
  </si>
  <si>
    <t>/glossary/peckerwood-hand-sign/</t>
  </si>
  <si>
    <t>/glossary/sami-al-arian/</t>
  </si>
  <si>
    <t>/glossary/beatles/</t>
  </si>
  <si>
    <t>/glossary/holy-land-foundation/</t>
  </si>
  <si>
    <t>/glossary/malinformation/</t>
  </si>
  <si>
    <t>/glossary/pulse-nightclub-shooting/</t>
  </si>
  <si>
    <t>/glossary/aryan-circle/</t>
  </si>
  <si>
    <t>/glossary/hate-crime/</t>
  </si>
  <si>
    <t>/glossary/lavoy-finicum/</t>
  </si>
  <si>
    <t>/glossary/legion-saint-ambrose-losa/</t>
  </si>
  <si>
    <t>/glossary/might-right-survival-fittest/</t>
  </si>
  <si>
    <t>/glossary/sicarii-black-hebrew-israelites/</t>
  </si>
  <si>
    <t>/glossary/triangular-klan-symbol/</t>
  </si>
  <si>
    <t>/glossary/colleyville-synagogue-attack/</t>
  </si>
  <si>
    <t>/glossary/mein-kampf/</t>
  </si>
  <si>
    <t>/glossary/militia-movement/</t>
  </si>
  <si>
    <t>/glossary/misinformation/</t>
  </si>
  <si>
    <t>/glossary/not-equal-symbol/</t>
  </si>
  <si>
    <t>/glossary/tom-metzger/</t>
  </si>
  <si>
    <t>/glossary/abu-sayyaf-groupisis-philippines/</t>
  </si>
  <si>
    <t>/glossary/al-walaa-wal-baraa/</t>
  </si>
  <si>
    <t>/glossary/identity-evropa/</t>
  </si>
  <si>
    <t>/glossary/kevin-macdonald/</t>
  </si>
  <si>
    <t>/glossary/nazi-eagle/</t>
  </si>
  <si>
    <t>/glossary/tim-gionet/</t>
  </si>
  <si>
    <t>/glossary/time-and-what-must-be-done/</t>
  </si>
  <si>
    <t>/glossary/aryan-nationalist-alliance/</t>
  </si>
  <si>
    <t>/glossary/blut-und-ehre/</t>
  </si>
  <si>
    <t>/glossary/branch-davidian-standoff/</t>
  </si>
  <si>
    <t>/glossary/marc-lepine/</t>
  </si>
  <si>
    <t>/glossary/peni/</t>
  </si>
  <si>
    <t>/glossary/revolt-through-tradition/</t>
  </si>
  <si>
    <t>/glossary/clashing-swords-parts-i-and-ii/</t>
  </si>
  <si>
    <t>/glossary/european-kindred/</t>
  </si>
  <si>
    <t>/glossary/ghostezra/</t>
  </si>
  <si>
    <t>/glossary/hammerskin-hand-sign/</t>
  </si>
  <si>
    <t>/glossary/pedogate/</t>
  </si>
  <si>
    <t>/glossary/thomas-stockheimer/</t>
  </si>
  <si>
    <t>/glossary/2316/</t>
  </si>
  <si>
    <t>/glossary/free-boys/</t>
  </si>
  <si>
    <t>/glossary/global-islamic-media-front/</t>
  </si>
  <si>
    <t>/glossary/keith-luke/</t>
  </si>
  <si>
    <t>/glossary/skrewdriver/</t>
  </si>
  <si>
    <t>/glossary/wolves-manhattan/</t>
  </si>
  <si>
    <t>/glossary/international-keystone-knights/</t>
  </si>
  <si>
    <t>/glossary/jew-coup/</t>
  </si>
  <si>
    <t>/glossary/loyal-white-knights-ku-klux-klan/</t>
  </si>
  <si>
    <t>/glossary/pit-bull-symbol/</t>
  </si>
  <si>
    <t>/glossary/traditionalist-worker-party/</t>
  </si>
  <si>
    <t>/glossary/unite-right/</t>
  </si>
  <si>
    <t>/glossary/ahmad-khan-rahimi/</t>
  </si>
  <si>
    <t>/glossary/american-renaissance/</t>
  </si>
  <si>
    <t>/glossary/buffalo-shooting/</t>
  </si>
  <si>
    <t>/glossary/national-alliance/</t>
  </si>
  <si>
    <t>/glossary/national-socialist-legion/</t>
  </si>
  <si>
    <t>/glossary/occidental-observer/</t>
  </si>
  <si>
    <t>/glossary/oklahoma-city-bombing/</t>
  </si>
  <si>
    <t>/glossary/robert-bowers/</t>
  </si>
  <si>
    <t>/glossary/rodney-coronado/</t>
  </si>
  <si>
    <t>/glossary/russia-imperial-movement-rim/</t>
  </si>
  <si>
    <t>/glossary/white-supremacist-physical-propaganda/</t>
  </si>
  <si>
    <t>/glossary/jean-francois-gariepy/</t>
  </si>
  <si>
    <t>/glossary/matthew-heimbach/</t>
  </si>
  <si>
    <t>/glossary/noose-symbol/</t>
  </si>
  <si>
    <t>/glossary/phineas-priesthood-symbol/</t>
  </si>
  <si>
    <t>/glossary/racial-holy-warrahowa/</t>
  </si>
  <si>
    <t>/glossary/andrew-torba/</t>
  </si>
  <si>
    <t>/glossary/bogus-liens/</t>
  </si>
  <si>
    <t>/glossary/holy-day-atonement/</t>
  </si>
  <si>
    <t>/glossary/indiana-aryan-brotherhood/</t>
  </si>
  <si>
    <t>/glossary/iron-pill/</t>
  </si>
  <si>
    <t>/glossary/montana-freemen/</t>
  </si>
  <si>
    <t>/glossary/osama-bin-laden/</t>
  </si>
  <si>
    <t>/glossary/vaxtheblacks/</t>
  </si>
  <si>
    <t>/glossary/white-aryan-resistance-war/</t>
  </si>
  <si>
    <t>/glossary/fictitious-financial-instruments/</t>
  </si>
  <si>
    <t>/glossary/flesh-and-blood-manwomanperson/</t>
  </si>
  <si>
    <t>/glossary/identitarianism/</t>
  </si>
  <si>
    <t>/glossary/iron-march/</t>
  </si>
  <si>
    <t>/glossary/jason-kessler/</t>
  </si>
  <si>
    <t>/glossary/new-aryan-empire/</t>
  </si>
  <si>
    <t>/glossary/q-clearance/</t>
  </si>
  <si>
    <t>/glossary/rizza-islam/</t>
  </si>
  <si>
    <t>/glossary/stefan-molyneux/</t>
  </si>
  <si>
    <t>/glossary/trunews/</t>
  </si>
  <si>
    <t>/glossary/vanguard-america/</t>
  </si>
  <si>
    <t>/glossary/ahmad-abousamra/</t>
  </si>
  <si>
    <t>/glossary/aryan-fist-symbol/</t>
  </si>
  <si>
    <t>/glossary/fgrn/</t>
  </si>
  <si>
    <t>/glossary/hundred-handers/</t>
  </si>
  <si>
    <t>/glossary/orion-symbol/</t>
  </si>
  <si>
    <t>/glossary/q/</t>
  </si>
  <si>
    <t>/glossary/women-aryan-unity-wau/</t>
  </si>
  <si>
    <t>/glossary/311/</t>
  </si>
  <si>
    <t>/glossary/adam-yahiye-gadahn/</t>
  </si>
  <si>
    <t>/glossary/anjem-choudary/</t>
  </si>
  <si>
    <t>/glossary/burning-neo-nazi-symbols/</t>
  </si>
  <si>
    <t>/glossary/catechism-revolutionary/</t>
  </si>
  <si>
    <t>/glossary/guillaume-faye/</t>
  </si>
  <si>
    <t>/glossary/khalid-sheikh-mohammed/</t>
  </si>
  <si>
    <t>/glossary/non-silba-sed-anthar/</t>
  </si>
  <si>
    <t>/glossary/patrick-little/</t>
  </si>
  <si>
    <t>/glossary/q-sent-meus/</t>
  </si>
  <si>
    <t>/glossary/shoe-bomber-richard-reid/</t>
  </si>
  <si>
    <t>/glossary/stop-steal-rallies/</t>
  </si>
  <si>
    <t>/glossary/anti-abortion-extremism/</t>
  </si>
  <si>
    <t>/glossary/aryan-circle-hand-sign/</t>
  </si>
  <si>
    <t>/glossary/benjamin-matthew-williams/</t>
  </si>
  <si>
    <t>/glossary/georgia-aryan-brotherhood/</t>
  </si>
  <si>
    <t>/glossary/mark-koernke/</t>
  </si>
  <si>
    <t>/glossary/national-rebirth-poland/</t>
  </si>
  <si>
    <t>/glossary/neo-reactionaries/</t>
  </si>
  <si>
    <t>/glossary/white-supremacist-prison-gang/</t>
  </si>
  <si>
    <t>/glossary/3-stars/</t>
  </si>
  <si>
    <t>/glossary/aryan-nations-worldwide/</t>
  </si>
  <si>
    <t>/glossary/blood-honour/</t>
  </si>
  <si>
    <t>/glossary/dabiq/</t>
  </si>
  <si>
    <t>/glossary/disinformation-necessary/</t>
  </si>
  <si>
    <t>/glossary/maurice-diggins/</t>
  </si>
  <si>
    <t>/glossary/sacco-vandal/</t>
  </si>
  <si>
    <t>/glossary/shariashariahshariashariah-0/</t>
  </si>
  <si>
    <t>/glossary/taliban/</t>
  </si>
  <si>
    <t>/glossary/thomas-robb/</t>
  </si>
  <si>
    <t>/glossary/traditionalist-youth-network/</t>
  </si>
  <si>
    <t>/glossary/38/</t>
  </si>
  <si>
    <t>/glossary/9/</t>
  </si>
  <si>
    <t>/glossary/american-identity-movement/</t>
  </si>
  <si>
    <t>/glossary/american-patriots-usa/</t>
  </si>
  <si>
    <t>/glossary/crossed-grenades-symbol/</t>
  </si>
  <si>
    <t>/glossary/fascist-forge/</t>
  </si>
  <si>
    <t>/glossary/joey-gibson/</t>
  </si>
  <si>
    <t>/glossary/john-morgan/</t>
  </si>
  <si>
    <t>/glossary/muh-holocaust/</t>
  </si>
  <si>
    <t>/glossary/mymilitia/</t>
  </si>
  <si>
    <t>/glossary/nazi-party-flag-symbol/</t>
  </si>
  <si>
    <t>/glossary/silent-aryan-warriors/</t>
  </si>
  <si>
    <t>/glossary/Y-vote/</t>
  </si>
  <si>
    <t>/glossary/united-society-aryan-skinheads-usas/</t>
  </si>
  <si>
    <t>/glossary/volksfront/</t>
  </si>
  <si>
    <t>/glossary/winston-shrout/</t>
  </si>
  <si>
    <t>/glossary/amaq-media/</t>
  </si>
  <si>
    <t>/glossary/anwar-al-awlaki/</t>
  </si>
  <si>
    <t>/glossary/aryan-knights/</t>
  </si>
  <si>
    <t>/glossary/aryan-warriors/</t>
  </si>
  <si>
    <t>/glossary/benjamin-daley/</t>
  </si>
  <si>
    <t>/glossary/birtherismbirthers/</t>
  </si>
  <si>
    <t>/glossary/james-alex-fields-jr/</t>
  </si>
  <si>
    <t>/glossary/joe-biggs/</t>
  </si>
  <si>
    <t>/glossary/louis-beam/</t>
  </si>
  <si>
    <t>/glossary/paul-ramsey/</t>
  </si>
  <si>
    <t>/glossary/sieg-heil-symbol/</t>
  </si>
  <si>
    <t>/glossary/supreme-white-alliance/</t>
  </si>
  <si>
    <t>/glossary/white-knights/</t>
  </si>
  <si>
    <t>/glossary/you-will-not-replace-us/</t>
  </si>
  <si>
    <t>/glossary/18/</t>
  </si>
  <si>
    <t>/glossary/al-qaeda-indian-subcontinent-aqis/</t>
  </si>
  <si>
    <t>/glossary/daily-stormer-book-clubs-sbc/</t>
  </si>
  <si>
    <t>/glossary/david-anderson/</t>
  </si>
  <si>
    <t>/glossary/iii-security-force/</t>
  </si>
  <si>
    <t>/glossary/manifesto-futurism/</t>
  </si>
  <si>
    <t>/glossary/soldiers-aryan-culture/</t>
  </si>
  <si>
    <t>/glossary/steven-carrillo/</t>
  </si>
  <si>
    <t>/glossary/terry-nichols/</t>
  </si>
  <si>
    <t>/glossary/737/</t>
  </si>
  <si>
    <t>/glossary/charlie-hebdo-terror-attack/</t>
  </si>
  <si>
    <t>/glossary/mississippi-aryan-brotherhood/</t>
  </si>
  <si>
    <t>/glossary/oklahoma-aryan-brotherhood/</t>
  </si>
  <si>
    <t>/glossary/operation-homeland/</t>
  </si>
  <si>
    <t>/glossary/richard-holzer/</t>
  </si>
  <si>
    <t>/glossary/sacred-separatist-group/</t>
  </si>
  <si>
    <t>/glossary/scott-paul-beierle/</t>
  </si>
  <si>
    <t>/glossary/sinophobia/</t>
  </si>
  <si>
    <t>/glossary/warsaw-independence-day-march/</t>
  </si>
  <si>
    <t>/glossary/abdul-alim-musa/</t>
  </si>
  <si>
    <t>/glossary/abdul-razak-ali-artan/</t>
  </si>
  <si>
    <t>/glossary/ali-kourani/</t>
  </si>
  <si>
    <t>/glossary/elliot-kline/</t>
  </si>
  <si>
    <t>/glossary/inland-empire-skinheads/</t>
  </si>
  <si>
    <t>/glossary/itsub-symbol/</t>
  </si>
  <si>
    <t>/glossary/mujahidmujahideen/</t>
  </si>
  <si>
    <t>/glossary/richard-butler/</t>
  </si>
  <si>
    <t>/glossary/ss-divisional-insignia-symbol/</t>
  </si>
  <si>
    <t>/glossary/akayed-ullah/</t>
  </si>
  <si>
    <t>/glossary/brothers-white-warriors/</t>
  </si>
  <si>
    <t>/glossary/james-von-brunn/</t>
  </si>
  <si>
    <t>/glossary/major-nidal-hasan/</t>
  </si>
  <si>
    <t>/glossary/nathan-damigo/</t>
  </si>
  <si>
    <t>/glossary/peckerwood-midwest/</t>
  </si>
  <si>
    <t>/glossary/sadistic-souls-symbol/</t>
  </si>
  <si>
    <t>/glossary/shield-wall-network-swn/</t>
  </si>
  <si>
    <t>/glossary/12/</t>
  </si>
  <si>
    <t>/glossary/13/</t>
  </si>
  <si>
    <t>/glossary/brotherhood-forever/</t>
  </si>
  <si>
    <t>/glossary/gordon-kahl/</t>
  </si>
  <si>
    <t>/glossary/hsn-symbol/</t>
  </si>
  <si>
    <t>/glossary/matt-hale/</t>
  </si>
  <si>
    <t>/glossary/michigan-militia/</t>
  </si>
  <si>
    <t>/glossary/northwest-imperative/</t>
  </si>
  <si>
    <t>/glossary/renaud-camus/</t>
  </si>
  <si>
    <t>/glossary/sabiqun/</t>
  </si>
  <si>
    <t>/glossary/samuel-francis/</t>
  </si>
  <si>
    <t>/glossary/shariashariahshariashariah/</t>
  </si>
  <si>
    <t>/glossary/sturmabteilung-symbol/</t>
  </si>
  <si>
    <t>/glossary/28/</t>
  </si>
  <si>
    <t>/glossary/al-sahab-media/</t>
  </si>
  <si>
    <t>/glossary/al-shabaab/</t>
  </si>
  <si>
    <t>/glossary/anchor-baby/</t>
  </si>
  <si>
    <t>/glossary/citizens-grand-jury-common-law-grand-jury-peoples-grand-jury-0/</t>
  </si>
  <si>
    <t>/glossary/free-america-rally/</t>
  </si>
  <si>
    <t>/glossary/gary-gerhard-lauck/</t>
  </si>
  <si>
    <t>/glossary/james-harris-jackson/</t>
  </si>
  <si>
    <t>/glossary/kabark-symbol/</t>
  </si>
  <si>
    <t>/glossary/michael-hill/</t>
  </si>
  <si>
    <t>/glossary/national-rebirth-poland-nop/</t>
  </si>
  <si>
    <t>/glossary/pittsburgh-synagogue-shooting/</t>
  </si>
  <si>
    <t>/glossary/rick-tyler/</t>
  </si>
  <si>
    <t>/glossary/sealed-indictments-0/</t>
  </si>
  <si>
    <t>/glossary/syed-rizwan-farook-and-tashfeen-malik/</t>
  </si>
  <si>
    <t>/glossary/islamic-state-hacking-division-ishd-united-cyber-caliphate/</t>
  </si>
  <si>
    <t>/glossary/jersey-city-kosher-market-shooting/</t>
  </si>
  <si>
    <t>/glossary/klasp-symbol/</t>
  </si>
  <si>
    <t>/glossary/national-democratic-party-npd/</t>
  </si>
  <si>
    <t>/glossary/ramzi-yousef/</t>
  </si>
  <si>
    <t>/glossary/san-bernardino-shooting/</t>
  </si>
  <si>
    <t>/glossary/washitaw-empirenation/</t>
  </si>
  <si>
    <t>/resources/glossary-term/zionism/</t>
  </si>
  <si>
    <t>/glossary/bundy-ranch/</t>
  </si>
  <si>
    <t>/glossary/hasher-jallal-taheb/</t>
  </si>
  <si>
    <t>/glossary/leo-felton/</t>
  </si>
  <si>
    <t>/glossary/message-blackman-america/</t>
  </si>
  <si>
    <t>/glossary/nationalist-front/</t>
  </si>
  <si>
    <t>/glossary/parler/</t>
  </si>
  <si>
    <t>/glossary/samuel-woodward/</t>
  </si>
  <si>
    <t>/glossary/suidlanders/</t>
  </si>
  <si>
    <t>/glossary/wp/</t>
  </si>
  <si>
    <t>/glossary/boko-haram/</t>
  </si>
  <si>
    <t>/glossary/breadcrumbsbreads/</t>
  </si>
  <si>
    <t>/glossary/john-william-kirby-kelley/</t>
  </si>
  <si>
    <t>/glossary/london-forum/</t>
  </si>
  <si>
    <t>/glossary/media-jihad/</t>
  </si>
  <si>
    <t>/glossary/nsm-legacy-logos/</t>
  </si>
  <si>
    <t>/glossary/sayfullo-saipov/</t>
  </si>
  <si>
    <t>/glossary/wesley-muhammad/</t>
  </si>
  <si>
    <t>/glossary/border-vigilante-movement/</t>
  </si>
  <si>
    <t>/glossary/culture-critique/</t>
  </si>
  <si>
    <t>/glossary/jean-raspail/</t>
  </si>
  <si>
    <t>/glossary/larry-mitchell-hopkins/</t>
  </si>
  <si>
    <t>/glossary/no-outside-comms/</t>
  </si>
  <si>
    <t>/glossary/occidental-quarterly/</t>
  </si>
  <si>
    <t>/glossary/scott-rhodes/</t>
  </si>
  <si>
    <t>/glossary/united-northern-and-southern-knights/</t>
  </si>
  <si>
    <t>/glossary/511/</t>
  </si>
  <si>
    <t>/glossary/aryan-brotherhood-texas-hand-sign/</t>
  </si>
  <si>
    <t>/glossary/comms/</t>
  </si>
  <si>
    <t>/glossary/dzhokhar-and-tamerlan-tsarnaev/</t>
  </si>
  <si>
    <t>/glossary/final-call/</t>
  </si>
  <si>
    <t>/glossary/operation-kristallnacht/</t>
  </si>
  <si>
    <t>/glossary/universal-aryan-brotherhood-uab/</t>
  </si>
  <si>
    <t>/glossary/william-regnery/</t>
  </si>
  <si>
    <t>/glossary/cole-james-bridges/</t>
  </si>
  <si>
    <t>/glossary/muhammad-youssef-abdulazeez/</t>
  </si>
  <si>
    <t>/glossary/najibullah-zazi/</t>
  </si>
  <si>
    <t>/glossary/nation-islam-research-group-noirg/</t>
  </si>
  <si>
    <t>/glossary/omar-mateen/</t>
  </si>
  <si>
    <t>/glossary/roy-den-hollander/</t>
  </si>
  <si>
    <t>/glossary/sealed-indictments-1/</t>
  </si>
  <si>
    <t>/glossary/benjamin-smith/</t>
  </si>
  <si>
    <t>/glossary/john-tanton/</t>
  </si>
  <si>
    <t>/glossary/matthew-parrott/</t>
  </si>
  <si>
    <t>/glossary/richard-w-preston-jr/</t>
  </si>
  <si>
    <t>/glossary/tim-gionet-0/</t>
  </si>
  <si>
    <t>/glossary/vanzetti-vandal/</t>
  </si>
  <si>
    <t>/glossary/318/</t>
  </si>
  <si>
    <t>/glossary/aryan-nations-prison-gang-hand-sign/</t>
  </si>
  <si>
    <t>/glossary/ayman-al-zawahiri/</t>
  </si>
  <si>
    <t>/glossary/lotie/</t>
  </si>
  <si>
    <t>/glossary/mullah-mohammed-omar/</t>
  </si>
  <si>
    <t>/glossary/national-policy-institute/</t>
  </si>
  <si>
    <t>/glossary/new-century-foundation/</t>
  </si>
  <si>
    <t>/glossary/richard-baumhammers/</t>
  </si>
  <si>
    <t>/glossary/ronald-watkins/</t>
  </si>
  <si>
    <t>/glossary/sharia4-network/</t>
  </si>
  <si>
    <t>/glossary/shariashariahshariashariah-1/</t>
  </si>
  <si>
    <t>/glossary/virgina-jihad-network/</t>
  </si>
  <si>
    <t>/resources/glossary-term/allegation-israel-apartheid-state/</t>
  </si>
  <si>
    <t>/glossary/majid-khan/</t>
  </si>
  <si>
    <t>/glossary/noelle-velentzas-and-asia-siddiqui/</t>
  </si>
  <si>
    <t>/glossary/omar-shafik-hammami-aka-abu-mansoor-al-amriki/</t>
  </si>
  <si>
    <t>/glossary/saviours-day-0/</t>
  </si>
  <si>
    <t>/glossary/swp/</t>
  </si>
  <si>
    <t>/glossary/waheba-issa-dais/</t>
  </si>
  <si>
    <t>/glossary/chabad-poway-shooting/</t>
  </si>
  <si>
    <t>/glossary/minuteman-project/</t>
  </si>
  <si>
    <t>/glossary/non-resident-alien/</t>
  </si>
  <si>
    <t>/glossary/second-lt-mohammed-saeed-alshamrani/</t>
  </si>
  <si>
    <t>/glossary/toq-live/</t>
  </si>
  <si>
    <t>/glossary/ramadan-abdullah-shallah/</t>
  </si>
  <si>
    <t>/glossary/road-power/</t>
  </si>
  <si>
    <t>/glossary/samir-khan/</t>
  </si>
  <si>
    <t>/glossary/sheikh-omar-abdel-rahman/</t>
  </si>
  <si>
    <t>/resources/glossary-term/anti-zionism/</t>
  </si>
  <si>
    <t>/glossary/hate-club-1/</t>
  </si>
  <si>
    <t>/glossary/political-cesspool/</t>
  </si>
  <si>
    <t>/glossary/roa/</t>
  </si>
  <si>
    <t>/glossary/timothy-wilson/</t>
  </si>
  <si>
    <t>/glossary/samuel-dickson/</t>
  </si>
  <si>
    <t>/glossary/umar-farouk-abdulmutallab/</t>
  </si>
  <si>
    <t>/glossary/william-daniel-johnson/</t>
  </si>
  <si>
    <t>/resources/glossary-term/palestinian-authority/</t>
  </si>
  <si>
    <t>/resources/glossary-term/second-intifada-2000/</t>
  </si>
  <si>
    <t>/resources/glossary-term/allegation-israel-guilty-pinkwashing-and-other-washing-cover-actions/</t>
  </si>
  <si>
    <t>/resources/glossary-term/arab-peace-initiative/</t>
  </si>
  <si>
    <t>/resources/glossary-term/allegation-israel-commits-acts-genocide/</t>
  </si>
  <si>
    <t>/resources/glossary-term/allegation-israel-settler-colonialist-enterprise/</t>
  </si>
  <si>
    <t>/resources/glossary-term/arab-economic-boycott/</t>
  </si>
  <si>
    <t>/resources/glossary-term/yom-kippur-war-1973/</t>
  </si>
  <si>
    <t>/resources/glossary-terms/allegation-israel-is-an-apartheid-state/</t>
  </si>
  <si>
    <t>/resources/glossary-terms/three-percenters/</t>
  </si>
  <si>
    <t>/glossary/chemtrails</t>
  </si>
  <si>
    <t>/glossary/dumbs</t>
  </si>
  <si>
    <t>/glossary/fakecel</t>
  </si>
  <si>
    <t>/glossary/foid</t>
  </si>
  <si>
    <t>/glossary/frazzledrip</t>
  </si>
  <si>
    <t>/glossary/henry-herskovitz</t>
  </si>
  <si>
    <t>/glossary/national-bolshevism</t>
  </si>
  <si>
    <t>/glossary/nesaragesara</t>
  </si>
  <si>
    <t>/glossary/new-england-white-network</t>
  </si>
  <si>
    <t>/glossary/patriotswin</t>
  </si>
  <si>
    <t>/glossary/q-drop</t>
  </si>
  <si>
    <t>/glossary/victor-thorn</t>
  </si>
  <si>
    <t>/glossary/western-chauvinism</t>
  </si>
  <si>
    <t>title</t>
  </si>
  <si>
    <t>nid</t>
  </si>
  <si>
    <t>url</t>
  </si>
  <si>
    <t>The "Kosher Tax" Hoax: Anti-Semitic Recipe for Hate</t>
  </si>
  <si>
    <t>https://adl.ddev.site/resources/backgrounder/kosher-tax-hoax-anti-semitic-recipe-hate</t>
  </si>
  <si>
    <t>Jewish "Control" of the Federal Reserve: A Classic Antisemitic Myth</t>
  </si>
  <si>
    <t>https://adl.ddev.site/resources/backgrounder/jewish-control-federal-reserve-classic-antisemitic-myth</t>
  </si>
  <si>
    <t>The International Jew: 1920s Antisemitism Revived Online</t>
  </si>
  <si>
    <t>https://adl.ddev.site/resources/backgrounder/international-jew-1920s-antisemitism-revived-online</t>
  </si>
  <si>
    <t>Brown v. Board of Education</t>
  </si>
  <si>
    <t>https://adl.ddev.site/resources/backgrounder/brown-v-board-education</t>
  </si>
  <si>
    <t>Civil Rights Act of 1964</t>
  </si>
  <si>
    <t>https://adl.ddev.site/resources/backgrounder/civil-rights-act-1964</t>
  </si>
  <si>
    <t>The Council on American Islamic Relations (CAIR)</t>
  </si>
  <si>
    <t>https://www.adl.org/resources/backgrounder/council-american-islamic-relations-cair</t>
  </si>
  <si>
    <t>From "Little Rock Nine" to Today</t>
  </si>
  <si>
    <t>https://adl.ddev.site/resources/backgrounder/little-rock-nine-today</t>
  </si>
  <si>
    <t>Oath Keepers and Three %ers Part of Growing Anti-Government Movement</t>
  </si>
  <si>
    <t>https://adl.ddev.site/resources/backgrounder/oath-keepers-and-three-ers-part-growing-anti-government-movement</t>
  </si>
  <si>
    <t>Glossary of Key Terms and Events in Israel's History: Israeli-Arab / Israeli-Palestinian Conflict</t>
  </si>
  <si>
    <t>https://adl.ddev.site/resources/backgrounder/glossary-key-terms-and-events-israels-history-israeli-arab-israeli</t>
  </si>
  <si>
    <t>Farrakhan: In His Own Words</t>
  </si>
  <si>
    <t>https://adl.ddev.site/resources/backgrounder/farrakhan-his-own-words</t>
  </si>
  <si>
    <t>Blood Libel: A False, Incendiary Claim Against Jews</t>
  </si>
  <si>
    <t>https://adl.ddev.site/resources/backgrounder/blood-libel-false-incendiary-claim-against-jews</t>
  </si>
  <si>
    <t>Primer on the First Amendment &amp; Religious Freedom</t>
  </si>
  <si>
    <t>https://adl.ddev.site/resources/backgrounder/primer-first-amendment-religious-freedom</t>
  </si>
  <si>
    <t>Anti-Immigrant Arguments Against Immigration Reform</t>
  </si>
  <si>
    <t>https://adl.ddev.site/resources/backgrounder/anti-immigrant-arguments-against-immigration-reform</t>
  </si>
  <si>
    <t>Creation of the State of Israel</t>
  </si>
  <si>
    <t>https://adl.ddev.site/resources/backgrounder/creation-state-israel</t>
  </si>
  <si>
    <t>ADL and the LGBT Community: A Commitment to Equal Rights</t>
  </si>
  <si>
    <t>https://adl.ddev.site/resources/backgrounder/adl-and-lgbt-community-commitment-equal-rights</t>
  </si>
  <si>
    <t>The Militia Movement</t>
  </si>
  <si>
    <t>https://adl.ddev.site/resources/backgrounder/militia-movement</t>
  </si>
  <si>
    <t>Christian Identity movement</t>
  </si>
  <si>
    <t>https://adl.ddev.site/resources/backgrounder/christian-identity-movement</t>
  </si>
  <si>
    <t>The Turner Diaries</t>
  </si>
  <si>
    <t>https://adl.ddev.site/resources/backgrounder/turner-diaries</t>
  </si>
  <si>
    <t>Tax Protest Movement</t>
  </si>
  <si>
    <t>https://adl.ddev.site/resources/backgrounder/tax-protest-movement</t>
  </si>
  <si>
    <t>Israel-Arab Conflicts: Before the Creation of the State of Israel</t>
  </si>
  <si>
    <t>https://adl.ddev.site/resources/backgrounder/israel-arab-conflicts-creation-state-israel</t>
  </si>
  <si>
    <t>Jerusalem</t>
  </si>
  <si>
    <t>https://adl.ddev.site/resources/backgrounder/jerusalem</t>
  </si>
  <si>
    <t>Jewish Voice for Peace (JVP)</t>
  </si>
  <si>
    <t>https://www.adl.org/resources/backgrounder/jewish-voice-peace-jvp</t>
  </si>
  <si>
    <t>Zionism</t>
  </si>
  <si>
    <t>https://adl.ddev.site/resources/backgrounder/zionism</t>
  </si>
  <si>
    <t>The Balfour Declaration</t>
  </si>
  <si>
    <t>https://adl.ddev.site/resources/backgrounder/balfour-declaration</t>
  </si>
  <si>
    <t>The British Mandate</t>
  </si>
  <si>
    <t>https://adl.ddev.site/resources/backgrounder/british-mandate</t>
  </si>
  <si>
    <t>Founding of the State of Israel, May 14, 1948</t>
  </si>
  <si>
    <t>https://adl.ddev.site/resources/backgrounder/founding-state-israel-may-14-1948</t>
  </si>
  <si>
    <t>Nakba</t>
  </si>
  <si>
    <t>https://adl.ddev.site/resources/backgrounder/nakba</t>
  </si>
  <si>
    <t>War of Independence 1948-1949</t>
  </si>
  <si>
    <t>https://adl.ddev.site/resources/backgrounder/war-independence-1948-1949</t>
  </si>
  <si>
    <t>The Green Line</t>
  </si>
  <si>
    <t>https://adl.ddev.site/resources/backgrounder/green-line</t>
  </si>
  <si>
    <t>Arab Economic Boycott</t>
  </si>
  <si>
    <t>https://adl.ddev.site/resources/backgrounder/arab-economic-boycott</t>
  </si>
  <si>
    <t>1956 Suez Campaign</t>
  </si>
  <si>
    <t>https://adl.ddev.site/resources/backgrounder/1956-suez-campaign</t>
  </si>
  <si>
    <t>Six Day War</t>
  </si>
  <si>
    <t>https://adl.ddev.site/resources/backgrounder/six-day-war</t>
  </si>
  <si>
    <t>Yom Kippur War 1973</t>
  </si>
  <si>
    <t>https://adl.ddev.site/resources/backgrounder/yom-kippur-war-1973</t>
  </si>
  <si>
    <t>The Lebanon War 1982</t>
  </si>
  <si>
    <t>https://adl.ddev.site/resources/backgrounder/lebanon-war-1982</t>
  </si>
  <si>
    <t>The Intifada: 1987-1990</t>
  </si>
  <si>
    <t>https://adl.ddev.site/resources/backgrounder/intifada-1987-1990</t>
  </si>
  <si>
    <t>The Second Intifada 2000</t>
  </si>
  <si>
    <t>https://adl.ddev.site/resources/backgrounder/second-intifada-2000</t>
  </si>
  <si>
    <t>The Security Barrier</t>
  </si>
  <si>
    <t>https://adl.ddev.site/resources/backgrounder/security-barrier</t>
  </si>
  <si>
    <t>The Second Lebanon War 2006</t>
  </si>
  <si>
    <t>https://adl.ddev.site/resources/backgrounder/second-lebanon-war-2006</t>
  </si>
  <si>
    <t>Operation Cast Lead (Gaza) - December 2008 â€“ January 2009</t>
  </si>
  <si>
    <t>https://adl.ddev.site/resources/backgrounder/operation-cast-lead-gaza-december-2008-january-2009</t>
  </si>
  <si>
    <t>The Flotilla</t>
  </si>
  <si>
    <t>https://adl.ddev.site/resources/backgrounder/flotilla</t>
  </si>
  <si>
    <t>Operation Pillar of Defense (Gaza) - November 2012</t>
  </si>
  <si>
    <t>https://adl.ddev.site/resources/backgrounder/operation-pillar-defense-gaza-november-2012</t>
  </si>
  <si>
    <t>Operation Protective Edge: July-August 2014</t>
  </si>
  <si>
    <t>https://adl.ddev.site/resources/backgrounder/operation-protective-edge-july-august-2014</t>
  </si>
  <si>
    <t>United Nations Security Council Resolution 242/338</t>
  </si>
  <si>
    <t>https://adl.ddev.site/resources/backgrounder/united-nations-security-council-resolution-242338</t>
  </si>
  <si>
    <t>Camp David Accords/Israel-Egypt Peace Agreement 1978-1979</t>
  </si>
  <si>
    <t>https://adl.ddev.site/resources/backgrounder/camp-david-accordsisrael-egypt-peace-agreement-1978-1979</t>
  </si>
  <si>
    <t>Madrid Conference</t>
  </si>
  <si>
    <t>https://adl.ddev.site/resources/backgrounder/madrid-conference</t>
  </si>
  <si>
    <t>The Oslo Accords/Oslo Process</t>
  </si>
  <si>
    <t>https://adl.ddev.site/resources/backgrounder/oslo-accordsoslo-process</t>
  </si>
  <si>
    <t>Camp David Summit 2000</t>
  </si>
  <si>
    <t>https://adl.ddev.site/resources/backgrounder/camp-david-summit-2000</t>
  </si>
  <si>
    <t>Disengagement</t>
  </si>
  <si>
    <t>https://adl.ddev.site/resources/backgrounder/disengagement</t>
  </si>
  <si>
    <t>The Roadmap</t>
  </si>
  <si>
    <t>https://adl.ddev.site/resources/backgrounder/roadmap</t>
  </si>
  <si>
    <t>Arab Peace Initiative</t>
  </si>
  <si>
    <t>https://adl.ddev.site/resources/backgrounder/arab-peace-initiative</t>
  </si>
  <si>
    <t>Palestinian Refugees</t>
  </si>
  <si>
    <t>https://adl.ddev.site/resources/backgrounder/palestinian-refugees</t>
  </si>
  <si>
    <t>Settlements</t>
  </si>
  <si>
    <t>https://adl.ddev.site/resources/backgrounder/settlements</t>
  </si>
  <si>
    <t>West Bank</t>
  </si>
  <si>
    <t>https://adl.ddev.site/resources/backgrounder/west-bank</t>
  </si>
  <si>
    <t>Hamas</t>
  </si>
  <si>
    <t>https://adl.ddev.site/resources/backgrounder/hamas</t>
  </si>
  <si>
    <t>Hezbollah</t>
  </si>
  <si>
    <t>https://adl.ddev.site/resources/backgrounder/hezbollah</t>
  </si>
  <si>
    <t>Palestinian Authority</t>
  </si>
  <si>
    <t>https://adl.ddev.site/resources/backgrounder/palestinian-authority</t>
  </si>
  <si>
    <t>Palestinian Islamic Jihad</t>
  </si>
  <si>
    <t>https://adl.ddev.site/resources/backgrounder/palestinian-islamic-jihad</t>
  </si>
  <si>
    <t>Palestine Liberation Organization (PLO)</t>
  </si>
  <si>
    <t>https://adl.ddev.site/resources/backgrounder/palestine-liberation-organization-plo</t>
  </si>
  <si>
    <t>Questions, Complexities and Context: Insights into Israel and the Israeli-Palestinian Conflict</t>
  </si>
  <si>
    <t>https://adl.ddev.site/resources/backgrounder/questions-complexities-and-context-insights-israel-and-israeli-palestinian</t>
  </si>
  <si>
    <t>Remembering Leo Frank</t>
  </si>
  <si>
    <t>https://adl.ddev.site/resources/backgrounder/remembering-leo-frank</t>
  </si>
  <si>
    <t>Alt Right: A Primer on the New White Supremacy</t>
  </si>
  <si>
    <t>https://adl.ddev.site/resources/backgrounder/alt-right-primer-new-white-supremacy</t>
  </si>
  <si>
    <t>The United Nations, Israel and Anti-Semitism</t>
  </si>
  <si>
    <t>https://adl.ddev.site/resources/backgrounder/united-nations-israel-and-anti-semitism</t>
  </si>
  <si>
    <t>Resolution on Criminal Justice Reform</t>
  </si>
  <si>
    <t>https://adl.ddev.site/resources/backgrounder/resolution-criminal-justice-reform</t>
  </si>
  <si>
    <t>Anti-Muslim Bigotry</t>
  </si>
  <si>
    <t>https://adl.ddev.site/resources/backgrounder/anti-muslim-bigotry</t>
  </si>
  <si>
    <t>A Brief History of the Disability Rights Movement</t>
  </si>
  <si>
    <t>https://adl.ddev.site/resources/backgrounder/brief-history-disability-rights-movement</t>
  </si>
  <si>
    <t>Nostra Aetate</t>
  </si>
  <si>
    <t>https://adl.ddev.site/resources/backgrounder/nostra-aetate</t>
  </si>
  <si>
    <t>Nazi Germany and Anti-Jewish Policy</t>
  </si>
  <si>
    <t>https://adl.ddev.site/resources/backgrounder/nazi-germany-and-anti-jewish-policy</t>
  </si>
  <si>
    <t>Challenges on Campus</t>
  </si>
  <si>
    <t>https://adl.ddev.site/resources/backgrounder/challenges-campus</t>
  </si>
  <si>
    <t>Religion in Political Campaigns -- An Interfaith Statement of Principles</t>
  </si>
  <si>
    <t>https://adl.ddev.site/resources/backgrounder/religion-political-campaigns-interfaith-statement-principles</t>
  </si>
  <si>
    <t>Milo Yiannopoulos: Five Things to Know</t>
  </si>
  <si>
    <t>https://adl.ddev.site/resources/backgrounder/milo-yiannopoulos-five-things-know</t>
  </si>
  <si>
    <t>Remembering Kristallnacht</t>
  </si>
  <si>
    <t>https://adl.ddev.site/resources/backgrounder/remembering-kristallnacht</t>
  </si>
  <si>
    <t>Passion Plays in History and Theology</t>
  </si>
  <si>
    <t>https://adl.ddev.site/resources/backgrounder/passion-plays-history-and-theology</t>
  </si>
  <si>
    <t>The AMIA/DAIA Bombing: Terror in Argentina</t>
  </si>
  <si>
    <t>https://adl.ddev.site/resources/backgrounder/amiadaia-bombing-terror-argentina</t>
  </si>
  <si>
    <t>Traditionalist Youth Network</t>
  </si>
  <si>
    <t>https://adl.ddev.site/resources/backgrounder/traditionalist-youth-network</t>
  </si>
  <si>
    <t>A Hoax of Hate: The Protocols of the Learned Elders of Zion</t>
  </si>
  <si>
    <t>https://adl.ddev.site/resources/backgrounder/hoax-hate-protocols-learned-elders-zion</t>
  </si>
  <si>
    <t>50 Years Later: Remembering Selma</t>
  </si>
  <si>
    <t>https://adl.ddev.site/resources/backgrounder/50-years-later-remembering-selma</t>
  </si>
  <si>
    <t>Sabiqun and Anti-Semitism on Campus</t>
  </si>
  <si>
    <t>https://adl.ddev.site/resources/backgrounder/sabiqun-and-anti-semitism-campus</t>
  </si>
  <si>
    <t>Cynthia McKinney's Anti-Israel Campaign</t>
  </si>
  <si>
    <t>https://adl.ddev.site/resources/backgrounder/cynthia-mckinneys-anti-israel-campaign</t>
  </si>
  <si>
    <t>National Alliance: A Backgrounder</t>
  </si>
  <si>
    <t>https://adl.ddev.site/resources/backgrounder/national-alliance-backgrounder</t>
  </si>
  <si>
    <t>Supreme White Alliance: An ADL Backgrounder</t>
  </si>
  <si>
    <t>https://adl.ddev.site/resources/backgrounder/supreme-white-alliance-adl-backgrounder</t>
  </si>
  <si>
    <t>Backgrounder: Eric Robert Rudolph</t>
  </si>
  <si>
    <t>https://adl.ddev.site/resources/backgrounder/backgrounder-eric-robert-rudolph</t>
  </si>
  <si>
    <t>Alex Jones: Five Things to Know</t>
  </si>
  <si>
    <t>https://adl.ddev.site/resources/backgrounder/alex-jones-five-things-know</t>
  </si>
  <si>
    <t>Gaza Strip</t>
  </si>
  <si>
    <t>https://adl.ddev.site/resources/backgrounder/gaza-strip</t>
  </si>
  <si>
    <t>Price Tag and Extremist Attacks in Israel</t>
  </si>
  <si>
    <t>https://adl.ddev.site/resources/backgrounder/price-tag-and-extremist-attacks-israel</t>
  </si>
  <si>
    <t>From Alt Right to Alt Lite: Naming the Hate</t>
  </si>
  <si>
    <t>https://adl.ddev.site/resources/backgrounder/alt-right-alt-lite-naming-hate</t>
  </si>
  <si>
    <t>Vanguard America</t>
  </si>
  <si>
    <t>https://adl.ddev.site/resources/backgrounder/vanguard-america</t>
  </si>
  <si>
    <t>Jerusalem and the Temple Mount Status Quo</t>
  </si>
  <si>
    <t>https://adl.ddev.site/resources/backgrounder/jerusalem-and-temple-mount-status-quo</t>
  </si>
  <si>
    <t>Tips &amp; Tricks for Writing an Op-Ed While on Campus</t>
  </si>
  <si>
    <t>https://adl.ddev.site/resources/backgrounder/tips-tricks-writing-op-ed-while-campus</t>
  </si>
  <si>
    <t>Who are Antifa?</t>
  </si>
  <si>
    <t>https://adl.ddev.site/resources/backgrounder/who-are-antifa</t>
  </si>
  <si>
    <t>Patriot Front</t>
  </si>
  <si>
    <t>https://www.adl.org/resources/backgrounder/patriot-front</t>
  </si>
  <si>
    <t>Rise Above Movement (R.A.M.)</t>
  </si>
  <si>
    <t>https://www.adl.org/resources/backgrounder/rise-above-movement-ram</t>
  </si>
  <si>
    <t>Atomwaffen Division (AWD)/ National Socialist Order (NSO)</t>
  </si>
  <si>
    <t>https://adl.ddev.site/resources/backgrounder/atomwaffen-division-awd-national-socialist-order-nso</t>
  </si>
  <si>
    <t>Traditionalist Worker Party (TWP)</t>
  </si>
  <si>
    <t>https://adl.ddev.site/resources/backgrounder/traditionalist-worker-party-twp</t>
  </si>
  <si>
    <t>Republic of Florida (ROF)</t>
  </si>
  <si>
    <t>https://adl.ddev.site/resources/backgrounder/republic-florida-rof</t>
  </si>
  <si>
    <t>Israel-Lebanon Wars</t>
  </si>
  <si>
    <t>https://adl.ddev.site/resources/backgrounder/israel-lebanon-wars</t>
  </si>
  <si>
    <t>Israel's Conflicts in Gaza - 2008/2012/2014</t>
  </si>
  <si>
    <t>https://adl.ddev.site/resources/backgrounder/israels-conflicts-gaza-200820122014</t>
  </si>
  <si>
    <t>National Socialist Movement</t>
  </si>
  <si>
    <t>https://adl.ddev.site/resources/backgrounder/national-socialist-movement</t>
  </si>
  <si>
    <t>League of the South (LoS)</t>
  </si>
  <si>
    <t>https://adl.ddev.site/resources/backgrounder/league-south-los</t>
  </si>
  <si>
    <t>Daily Stormer Book Clubs (SBC)</t>
  </si>
  <si>
    <t>https://adl.ddev.site/resources/backgrounder/daily-stormer-book-clubs-sbc</t>
  </si>
  <si>
    <t>How Hate Groups Form</t>
  </si>
  <si>
    <t>https://adl.ddev.site/resources/backgrounder/how-hate-groups-form</t>
  </si>
  <si>
    <t>Shield Wall Network (SWN)</t>
  </si>
  <si>
    <t>https://adl.ddev.site/resources/backgrounder/shield-wall-network-swn</t>
  </si>
  <si>
    <t>Loyal White Knights of the Ku Klux Klan</t>
  </si>
  <si>
    <t>https://www.adl.org/resources/backgrounder/loyal-white-knights-ku-klux-klan</t>
  </si>
  <si>
    <t>Keystone State Skinheads/Keystone United</t>
  </si>
  <si>
    <t>https://adl.ddev.site/resources/backgrounder/keystone-state-skinheadskeystone-united</t>
  </si>
  <si>
    <t>New Jersey European Heritage Association (NJEHA)</t>
  </si>
  <si>
    <t>https://adl.ddev.site/resources/backgrounder/new-jersey-european-heritage-association-njeha</t>
  </si>
  <si>
    <t>Abbas Hamideh</t>
  </si>
  <si>
    <t>https://adl.ddev.site/resources/backgrounder/abbas-hamideh</t>
  </si>
  <si>
    <t>Turning Point USA</t>
  </si>
  <si>
    <t>https://adl.ddev.site/resources/backgrounder/turning-point-usa</t>
  </si>
  <si>
    <t>Neturei Karta</t>
  </si>
  <si>
    <t>https://adl.ddev.site/resources/backgrounder/neturei-karta</t>
  </si>
  <si>
    <t>Legion of Saint Ambrose (LoSA)</t>
  </si>
  <si>
    <t>https://adl.ddev.site/resources/backgrounder/legion-saint-ambrose-losa</t>
  </si>
  <si>
    <t>TruNews and Rick Wiles: "End Times" Anti-Semitism and Anti-Zionism</t>
  </si>
  <si>
    <t>https://adl.ddev.site/resources/backgrounder/trunews-and-rick-wiles-end-times-anti-semitism-and-anti-zionism</t>
  </si>
  <si>
    <t>Feuerkrieg Division (FKD)</t>
  </si>
  <si>
    <t>https://adl.ddev.site/resources/backgrounder/feuerkrieg-division-fkd</t>
  </si>
  <si>
    <t>Students for Justice in Palestine (SJP)</t>
  </si>
  <si>
    <t>The Presidentâ€™s Executive Order on Anti-Semitism: Frequently Asked Questions</t>
  </si>
  <si>
    <t>https://adl.ddev.site/resources/backgrounder/presidents-executive-order-anti-semitism-frequently-asked-questions</t>
  </si>
  <si>
    <t>Black Hebrew Israelites</t>
  </si>
  <si>
    <t>https://adl.ddev.site/resources/backgrounder/black-hebrew-israelites</t>
  </si>
  <si>
    <t>The Base</t>
  </si>
  <si>
    <t>https://adl.ddev.site/resources/backgrounder/base</t>
  </si>
  <si>
    <t>Proud Boys</t>
  </si>
  <si>
    <t>Groyper Army and "America First"</t>
  </si>
  <si>
    <t>https://adl.ddev.site/resources/backgrounder/groyper-army-and-america-first</t>
  </si>
  <si>
    <t>QAnon</t>
  </si>
  <si>
    <t>https://adl.ddev.site/resources/backgrounder/qanon</t>
  </si>
  <si>
    <t>Three Percenters</t>
  </si>
  <si>
    <t>https://adl.ddev.site/resources/backgrounder/three-percenters</t>
  </si>
  <si>
    <t>Incels (Involuntary celibates)</t>
  </si>
  <si>
    <t>https://adl.ddev.site/resources/backgrounder/incels-involuntary-celibates</t>
  </si>
  <si>
    <t>Extremist Sects Within the Black Hebrew Israelite Movement</t>
  </si>
  <si>
    <t>https://adl.ddev.site/resources/backgrounder/extremist-sects-within-black-hebrew-israelite-movement</t>
  </si>
  <si>
    <t>The Boogaloo Movement</t>
  </si>
  <si>
    <t>https://adl.ddev.site/resources/backgrounder/boogaloo-movement</t>
  </si>
  <si>
    <t>QAnon (En EspaÃ±ol)</t>
  </si>
  <si>
    <t>https://adl.ddev.site/resources/backgrounder/qanon-en-espanol</t>
  </si>
  <si>
    <t>Nuevo Orden Mundial</t>
  </si>
  <si>
    <t>https://adl.ddev.site/resources/backgrounder/nuevo-orden-mundial</t>
  </si>
  <si>
    <t>Â¿QuiÃ©nes Son Antifa?</t>
  </si>
  <si>
    <t>https://adl.ddev.site/resources/backgrounder/quienes-son-antifa</t>
  </si>
  <si>
    <t>Proud Boys (Chicos Orgullosos)</t>
  </si>
  <si>
    <t>https://adl.ddev.site/resources/backgrounder/proud-boys-chicos-orgullosos</t>
  </si>
  <si>
    <t>Nationalist Social Club (NSC-131)</t>
  </si>
  <si>
    <t>https://www.adl.org/resources/backgrounder/nationalist-social-club-nsc-131</t>
  </si>
  <si>
    <t>The Militia Movement (2020)</t>
  </si>
  <si>
    <t>https://adl.ddev.site/resources/backgrounder/militia-movement-2020</t>
  </si>
  <si>
    <t>Oath Keepers</t>
  </si>
  <si>
    <t>https://adl.ddev.site/resources/backgrounder/oath-keepers</t>
  </si>
  <si>
    <t>Goyim Defense League</t>
  </si>
  <si>
    <t>Nationalist Front (formerly known as the Aryan Nationalist Alliance)</t>
  </si>
  <si>
    <t>https://adl.ddev.site/resources/backgrounder/nationalist-front-formerly-known-aryan-nationalist-alliance</t>
  </si>
  <si>
    <t>About the IHRA Working Definition of Antisemitism</t>
  </si>
  <si>
    <t>https://adl.ddev.site/resources/backgrounder/about-ihra-working-definition-antisemitism</t>
  </si>
  <si>
    <t>Rizza Islam</t>
  </si>
  <si>
    <t>https://adl.ddev.site/resources/backgrounder/rizza-islam</t>
  </si>
  <si>
    <t>â€œThe Great Replacement:â€ An Explainer</t>
  </si>
  <si>
    <t>https://adl.ddev.site/resources/backgrounder/great-replacement-explainer</t>
  </si>
  <si>
    <t>The New Independent Fundamental Baptist (New IFB) Movement</t>
  </si>
  <si>
    <t>https://adl.ddev.site/resources/backgrounder/new-independent-fundamental-baptist-new-ifb-movement</t>
  </si>
  <si>
    <t>Allegation:   Israel is a Settler Colonialist Enterprise</t>
  </si>
  <si>
    <t>https://adl.ddev.site/resources/backgrounder/allegation-israel-settler-colonialist-enterprise</t>
  </si>
  <si>
    <t>Allegation: Israel is an Apartheid State</t>
  </si>
  <si>
    <t>https://adl.ddev.site/resources/backgrounder/allegation-israel-apartheid-state</t>
  </si>
  <si>
    <t>Allegation: Israel Commits Genocide</t>
  </si>
  <si>
    <t>https://adl.ddev.site/resources/backgrounder/allegation-israel-commits-genocide</t>
  </si>
  <si>
    <t>Allegation:  If You Fight for Racial Justice in the U.S., You Must Join the Campaign Against Israel</t>
  </si>
  <si>
    <t>https://adl.ddev.site/resources/backgrounder/allegation-if-you-fight-racial-justice-us-you-must-join-campaign-against</t>
  </si>
  <si>
    <t>Allegation:  Israel is Committing Ethnic Cleansing</t>
  </si>
  <si>
    <t>https://adl.ddev.site/resources/backgrounder/allegation-israel-committing-ethnic-cleansing</t>
  </si>
  <si>
    <t>Richard Gage and 9/11 Conspiracy Theories</t>
  </si>
  <si>
    <t>https://adl.ddev.site/resources/backgrounder/richard-gage-and-911-conspiracy-theories</t>
  </si>
  <si>
    <t>ISKP (Islamic State Khorasan Province)</t>
  </si>
  <si>
    <t>https://adl.ddev.site/resources/backgrounder/iskp-islamic-state-khorasan-province</t>
  </si>
  <si>
    <t>National Justice Party</t>
  </si>
  <si>
    <t>https://www.adl.org/resources/backgrounder/national-justice-party</t>
  </si>
  <si>
    <t>Anti-Zionism</t>
  </si>
  <si>
    <t>https://adl.ddev.site/resources/backgrounder/anti-zionism</t>
  </si>
  <si>
    <t>Slogan: â€œFrom the River to the Sea Palestine Will be Freeâ€</t>
  </si>
  <si>
    <t>https://adl.ddev.site/resources/backgrounder/slogan-river-sea-palestine-will-be-free</t>
  </si>
  <si>
    <t>Allegation: Israel is Guilty of â€œPinkwashingâ€ (and Other Washing) to Cover Up Actions Against Palestinians</t>
  </si>
  <si>
    <t>https://adl.ddev.site/resources/backgrounder/allegation-israel-guilty-pinkwashing-and-other-washing-cover-actions-against</t>
  </si>
  <si>
    <t>Allegation: The United States Government Supports Israel Because of the Powerful â€œJewish Lobby.â€â€¯</t>
  </si>
  <si>
    <t>https://adl.ddev.site/resources/backgrounder/allegation-united-states-government-supports-israel-because-powerful-jewish</t>
  </si>
  <si>
    <t>Allegation: Israelâ€™s Actions Against the Palestinians Can be Compared to the Nazis</t>
  </si>
  <si>
    <t>https://adl.ddev.site/resources/backgrounder/allegation-israels-actions-against-palestinians-can-be-compared-nazis</t>
  </si>
  <si>
    <t>White Lives Matter</t>
  </si>
  <si>
    <t>https://adl.ddev.site/resources/backgrounder/white-lives-matter</t>
  </si>
  <si>
    <t>2021 Israel-Hamas Conflict</t>
  </si>
  <si>
    <t>https://adl.ddev.site/resources/backgrounder/2021-israel-hamas-conflict</t>
  </si>
  <si>
    <t>The Boycott, Divestment and Sanctions Campaign (BDS)</t>
  </si>
  <si>
    <t>https://adl.ddev.site/resources/backgrounder/boycott-divestment-and-sanctions-campaign-bds</t>
  </si>
  <si>
    <t>Civil Rights Movement</t>
  </si>
  <si>
    <t>https://www.adl.org/resources/backgrounder/civil-rights-movement</t>
  </si>
  <si>
    <t>The Black Hammer Organization</t>
  </si>
  <si>
    <t>https://www.adl.org/resources/backgrounder/black-hammer-organization</t>
  </si>
  <si>
    <t>Iron Dome</t>
  </si>
  <si>
    <t>https://adl.ddev.site/resources/backgrounder/iron-dome</t>
  </si>
  <si>
    <t>Trump Peace Plan</t>
  </si>
  <si>
    <t>https://adl.ddev.site/resources/backgrounder/trump-peace-plan</t>
  </si>
  <si>
    <t>Chant:  Khaybar, Khaybar, oh Jews, the Army of Mohammed will Return</t>
  </si>
  <si>
    <t>https://adl.ddev.site/resources/backgrounder/chant-khaybar-khaybar-oh-jews-army-mohammed-will-return</t>
  </si>
  <si>
    <t>AcusaciÃ³n: Israel es un proyecto colonialista de asentamiento</t>
  </si>
  <si>
    <t>https://adl.ddev.site/es/resources/backgrounder/acusacion-israel-es-un-proyecto-colonialista-de-asentamiento</t>
  </si>
  <si>
    <t>AcusaciÃ³n: Israel comete actos de genocidio</t>
  </si>
  <si>
    <t>https://adl.ddev.site/es/resources/backgrounder/acusacion-israel-comete-actos-de-genocidio</t>
  </si>
  <si>
    <t>AcusaciÃ³n: Si luchas por la justicia racial en Estados Unidos, debes unirte a la campaÃ±a contra Israel</t>
  </si>
  <si>
    <t>https://adl.ddev.site/es/resources/backgrounder/acusacion-si-luchas-por-la-justicia-racial-en-estados-unidos-debes-unirte-la</t>
  </si>
  <si>
    <t>AcusaciÃ³n: Israel es un estado de apartheid</t>
  </si>
  <si>
    <t>https://adl.ddev.site/es/resources/backgrounder/acusacion-israel-es-un-estado-de-apartheid</t>
  </si>
  <si>
    <t>AcusaciÃ³n: Israel estÃ¡ perpetrando una limpieza Ã©tnica</t>
  </si>
  <si>
    <t>https://adl.ddev.site/es/resources/backgrounder/acusacion-israel-esta-perpetrando-una-limpieza-etnica</t>
  </si>
  <si>
    <t>AcusaciÃ³n: "Desde el rÃ­o hasta el mar, Palestina serÃ¡ libre"</t>
  </si>
  <si>
    <t>https://adl.ddev.site/es/resources/backgrounder/acusacion-desde-el-rio-hasta-el-mar-palestina-sera-libre</t>
  </si>
  <si>
    <t>AcusaciÃ³n: Israel es culpable de "pinkwashing"(lavado rosa y otros lavados) para encubrir acciones contra los Palestinos</t>
  </si>
  <si>
    <t>https://adl.ddev.site/es/resources/backgrounder/acusacion-israel-es-culpable-de-pinkwashinglavado-rosa-y-otros-lavados-para</t>
  </si>
  <si>
    <t>AcusaciÃ³n: El gobierno de Estados Unidos apoya a Israel a causa del poderoso "lobby judÃ­o"</t>
  </si>
  <si>
    <t>https://adl.ddev.site/es/resources/backgrounder/acusacion-el-gobierno-de-estados-unidos-apoya-israel-causa-del-poderoso</t>
  </si>
  <si>
    <t>AcusaciÃ³n: Las acciones de Israel contra los Palestinos pueden compararse con las de los nazis</t>
  </si>
  <si>
    <t>https://adl.ddev.site/es/resources/backgrounder/acusacion-las-acciones-de-israel-contra-los-palestinos-pueden-compararse-con</t>
  </si>
  <si>
    <t>Sionismo</t>
  </si>
  <si>
    <t>https://www.adl.org/es/resources/backgrounder/sionismo</t>
  </si>
  <si>
    <t>Antisionismo</t>
  </si>
  <si>
    <t>https://www.adl.org/es/resources/backgrounder/antisionismo</t>
  </si>
  <si>
    <t>National Socialist Front (NSF)</t>
  </si>
  <si>
    <t>https://adl.ddev.site/resources/backgrounder/national-socialist-front-nsf</t>
  </si>
  <si>
    <t>Active Club Network</t>
  </si>
  <si>
    <t>https://www.adl.org/resources/backgrounder/active-club-network</t>
  </si>
  <si>
    <t>International Holocaust Remembrance Day: A Backgrounder</t>
  </si>
  <si>
    <t>https://www.adl.org/resources/backgrounder/international-holocaust-remembrance-day-backgrounder</t>
  </si>
  <si>
    <t>Aryan Freedom Network (AFN)</t>
  </si>
  <si>
    <t>https://www.adl.org/resources/backgrounder/aryan-freedom-network-afn</t>
  </si>
  <si>
    <t>A Short History of Holocaust Denial in the United States</t>
  </si>
  <si>
    <t>https://www.adl.org/resources/backgrounder/short-history-holocaust-denial-united-states</t>
  </si>
  <si>
    <t>Profiting off Holocaust Denial</t>
  </si>
  <si>
    <t>https://www.adl.org/resources/backgrounder/profiting-holocaust-denial</t>
  </si>
  <si>
    <t>Key Holocaust Denial Tropes</t>
  </si>
  <si>
    <t>https://adl.ddev.site/resources/backgrounder/key-holocaust-denial-tropes</t>
  </si>
  <si>
    <t>Resources to Learn More About Holocaust Denial</t>
  </si>
  <si>
    <t>https://adl.ddev.site/resources/backgrounder/resources-learn-more-about-holocaust-denial</t>
  </si>
  <si>
    <t>Debunking Holocaust Denial Claims</t>
  </si>
  <si>
    <t>https://www.adl.org/resources/backgrounder/debunking-holocaust-denial-claims</t>
  </si>
  <si>
    <t>Who's Who of Holocaust Denial</t>
  </si>
  <si>
    <t>https://www.adl.org/resources/backgrounder/whos-who-holocaust-denial</t>
  </si>
  <si>
    <t>Backgrounder: How Can Online Anonymity Affect Hate?</t>
  </si>
  <si>
    <t>https://www.adl.org/resources/backgrounder/backgrounder-how-can-online-anonymity-affect-hate</t>
  </si>
  <si>
    <t>E. Michael Jones</t>
  </si>
  <si>
    <t>Ammon Bundy and â€œPeopleâ€™s Rightsâ€</t>
  </si>
  <si>
    <t>Blood Tribe</t>
  </si>
  <si>
    <t>The Sovereign Citizen Movement in the United States</t>
  </si>
  <si>
    <t>https://adl.ddev.site/resources/backgrounder/sovereign-citizen-movement-united-states</t>
  </si>
  <si>
    <t>Israel-Hamas War 2023</t>
  </si>
  <si>
    <t>https://adl.ddev.site/resources/backgrounder/israel-hamas-war-2023</t>
  </si>
  <si>
    <t>Allegation:Â Claim of the atrocities committed by Hamas on Oct. 7, including sexual assault, are unverified or fake.</t>
  </si>
  <si>
    <t>https://adl.ddev.site/resources/backgrounder/allegation-claim-atrocities-committed-hamas-oct-7-including-sexual-assault</t>
  </si>
  <si>
    <t>Allegation: Israelâ€™s treatment of Palestinians is the â€œroot causeâ€ of and largely to blame for the Hamas attack on Oct. 7.</t>
  </si>
  <si>
    <t>https://adl.ddev.site/resources/backgrounder/allegation-israels-treatment-palestinians-root-cause-and-largely-blame-hamas</t>
  </si>
  <si>
    <t>Allegation:  To gain justice for the Palestinians, we must â€œdismantle Zionism.â€</t>
  </si>
  <si>
    <t>https://adl.ddev.site/resources/backgrounder/allegation-gain-justice-palestinians-we-must-dismantle-zionism</t>
  </si>
  <si>
    <t>Slogan: Globalize the Intifada</t>
  </si>
  <si>
    <t>https://adl.ddev.site/resources/backgrounder/slogan-globalize-intifada</t>
  </si>
  <si>
    <t>Slogan: "Resistance by any means necessaryâ€</t>
  </si>
  <si>
    <t>https://adl.ddev.site/resources/backgrounder/slogan-resistance-any-means-necessary</t>
  </si>
  <si>
    <t>Slogan: Decolonization is not a metaphor</t>
  </si>
  <si>
    <t>https://adl.ddev.site/resources/backgrounder/slogan-decolonization-not-metaphor</t>
  </si>
  <si>
    <t>AcusaciÃ³n: Las afirmaciones sobre las atrocidades cometidas por HamÃ¡s el 7 de octubre, incluidas las agresiones sexuales, no estÃ¡n verificadas o son falsas</t>
  </si>
  <si>
    <t>https://www.adl.org/resources/backgrounder/acusacion-las-afirmaciones-sobre-las-atrocidades-cometidas-por-hamas-el-7-de</t>
  </si>
  <si>
    <t>AcusaciÃ³n: El trato de Israel a los palestinos es el "origen" y en gran parte responsable del atentado de HamÃ¡s del 7 de octubre</t>
  </si>
  <si>
    <t>https://www.adl.org/resources/backgrounder/acusacion-el-trato-de-israel-los-palestinos-es-el-origen-y-en-gran-parte</t>
  </si>
  <si>
    <t>AcusaciÃ³n:  Israel es totalmente responsable de la crisis humanitaria en Gaza</t>
  </si>
  <si>
    <t>https://www.adl.org/resources/backgrounder/acusacion-israel-es-totalmente-responsable-de-la-crisis-humanitaria-en-gaza</t>
  </si>
  <si>
    <t>AcusaciÃ³n: Para conseguir justicia para los palestinos, debemos "desmantelar el sionismo"</t>
  </si>
  <si>
    <t>https://www.adl.org/resources/backgrounder/acusacion-para-conseguir-justicia-para-los-palestinos-debemos-desmantelar-el</t>
  </si>
  <si>
    <t>Eslogan: Globalizar la Intifada</t>
  </si>
  <si>
    <t>https://www.adl.org/resources/backgrounder/eslogan-globalizar-la-intifada</t>
  </si>
  <si>
    <t>Eslogan: "Resistencia por cualquier medio necesario"</t>
  </si>
  <si>
    <t>https://www.adl.org/resources/backgrounder/eslogan-resistencia-por-cualquier-medio-necesario</t>
  </si>
  <si>
    <t>Eslogan: La descolonizaciÃ³n no es una metÃ¡fora</t>
  </si>
  <si>
    <t>https://www.adl.org/resources/backgrounder/eslogan-la-descolonizacion-no-es-una-metafora</t>
  </si>
  <si>
    <t>Guerra Israel-HamÃ¡s 2023</t>
  </si>
  <si>
    <t>https://www.adl.org/resources/backgrounder/guerra-israel-hamas-2023</t>
  </si>
  <si>
    <t>Musa Abu Marzuq</t>
  </si>
  <si>
    <t>https://www.adl.org/resources/backgrounder/musa-abu-marzuq</t>
  </si>
  <si>
    <t>The Holy Land Foundation for Relief and Development</t>
  </si>
  <si>
    <t>https://www.adl.org/resources/backgrounder/holy-land-foundation-relief-and-development</t>
  </si>
  <si>
    <t>Comment to the Meta Oversight Board Regarding Use Of The Slogan "From the river - to the sea"</t>
  </si>
  <si>
    <t>https://adl.ddev.site/resources/backgrounder/comment-meta-oversight-board-regarding-use-slogan-river-sea</t>
  </si>
  <si>
    <t>Respuestas a alegatos sobre Israel</t>
  </si>
  <si>
    <t>https://www.adl.org/es/resources/backgrounder/respuestas-alegatos-sobre-israel</t>
  </si>
  <si>
    <t>Candace Owens</t>
  </si>
  <si>
    <t>https://www.adl.org/resources/backgrounder/candace-owens</t>
  </si>
  <si>
    <t>Democratic Socialists of America (DSA)</t>
  </si>
  <si>
    <t>https://www.adl.org/resources/backgrounder/democratic-socialists-america-dsa</t>
  </si>
  <si>
    <t>HezbolÃ¡</t>
  </si>
  <si>
    <t>https://www.adl.org/es/resources/backgrounder/hezbola</t>
  </si>
  <si>
    <t>International Solidarity Movement (ISM)</t>
  </si>
  <si>
    <t>https://adl.ddev.site/resources/backgrounder/international-solidarity-movement-ism</t>
  </si>
  <si>
    <t>American Muslims for Palestine (AMP)</t>
  </si>
  <si>
    <t>https://www.adl.org/resources/backgrounder/american-muslims-palestine-amp</t>
  </si>
  <si>
    <t>La campaÃ±a de Boicot, DesinversiÃ³n y Sanciones (BDS)</t>
  </si>
  <si>
    <t>https://www.adl.org/es/resources/backgrounder/la-campana-de-boicot-desinversion-y-sanciones-bds</t>
  </si>
  <si>
    <t>Alternative for Germany (AfD) Party: What You Need To Know</t>
  </si>
  <si>
    <t>https://adl.ddev.site/resources/backgrounder/alternative-germany-afd-party-what-you-need-know</t>
  </si>
  <si>
    <t>Hind Rajab Foundation and Dyab Abou Jahjah</t>
  </si>
  <si>
    <t>https://adl.ddev.site/resources/backgrounder/hind-rajab-foundation-and-dyab-abou-jahjah</t>
  </si>
  <si>
    <t>United Nations Relief and Works Agency for Palestinian Refugees (UNRWA)</t>
  </si>
  <si>
    <t>https://adl.ddev.site/resources/backgrounder/united-nations-relief-and-works-agency-palestinian-refugees-unrwa</t>
  </si>
  <si>
    <t>Accelerationism</t>
  </si>
  <si>
    <t>American Blackshirts Movement (ABM)Â </t>
  </si>
  <si>
    <t>Los hutÃ­es: una larga tradiciÃ³n de antisemitismo y odio a Israel</t>
  </si>
  <si>
    <t>https://www.adl.org/es/resources/backgrounder/los-huties-una-larga-tradicion-de-antisemitismo-y-odio-israel</t>
  </si>
  <si>
    <t>Plan Andinia</t>
  </si>
  <si>
    <t>https://adl.ddev.site/es/resources/backgrounder/plan-andinia</t>
  </si>
  <si>
    <t>Iranian Supreme Leader Ayatollah Khamenei In His Own Words</t>
  </si>
  <si>
    <t>https://adl.ddev.site/resources/backgrounder/iranian-supreme-leader-ayatollah-khamenei-his-own-words</t>
  </si>
  <si>
    <t>El lÃ­der supremo iranÃ­, el ayatolÃ¡ Jamenei, en sus propias palabras</t>
  </si>
  <si>
    <t>https://adl.ddev.site/es/resources/backgrounder/el-lider-supremo-irani-el-ayatola-jamenei-en-sus-propias-palabras</t>
  </si>
  <si>
    <t>Slogan: Free Palestine</t>
  </si>
  <si>
    <t>https://adl.ddev.site/resources/backgrounder/slogan-free-palestine</t>
  </si>
  <si>
    <t>Abraham Accords</t>
  </si>
  <si>
    <t>https://adl.ddev.site/resources/backgrounder/abraham-accords</t>
  </si>
  <si>
    <t>The International Union of Muslim Scholars (IUMS) in Its Own Words</t>
  </si>
  <si>
    <t>https://adl.ddev.site/resources/backgrounder/international-union-muslim-scholars-iums-its-own-words</t>
  </si>
  <si>
    <t>Eslogan: Palestina libre</t>
  </si>
  <si>
    <t>https://adl.ddev.site/es/resources/backgrounder/eslogan-palestina-libre</t>
  </si>
  <si>
    <t>Acuerdos de Abraham</t>
  </si>
  <si>
    <t>https://adl.ddev.site/es/resources/backgrounder/acuerdos-de-abraham</t>
  </si>
  <si>
    <t>The Party for Socialism and Liberation (PSL)</t>
  </si>
  <si>
    <t>https://www.adl.org/resources/backgrounder/party-socialism-and-liberation-psl</t>
  </si>
  <si>
    <t>Understanding and Countering Soft and Shadow Boycotts of Israel</t>
  </si>
  <si>
    <t>https://adl.ddev.site/resources/backgrounder/understanding-and-countering-soft-and-shadow-boycotts-israel</t>
  </si>
  <si>
    <t>Sobre la definiciÃ³n de trabajo del antisemitismo de la IHRA</t>
  </si>
  <si>
    <t>https://adl.ddev.site/es/resources/backgrounder/sobre-la-definicion-de-trabajo-del-antisemitismo-de-la-ihra</t>
  </si>
  <si>
    <t>Faculty and Staff for Justice in Palestine (FSJP)</t>
  </si>
  <si>
    <t>https://www.adl.org/resources/backgrounder/faculty-and-staff-justice-palestine-fsjp</t>
  </si>
  <si>
    <t>Title</t>
  </si>
  <si>
    <t>URL</t>
  </si>
  <si>
    <t>Category</t>
  </si>
  <si>
    <t>Ideology</t>
  </si>
  <si>
    <t>Summary</t>
  </si>
  <si>
    <t>URL to be Redirected to (FL/Rebecca/SME First Pass)</t>
  </si>
  <si>
    <t>URL to be Redirected to (finalized)</t>
  </si>
  <si>
    <t>Redirect Put in Place?</t>
  </si>
  <si>
    <t>Notes</t>
  </si>
  <si>
    <t>PRIORITY</t>
  </si>
  <si>
    <t>Note</t>
  </si>
  <si>
    <t>Looksmaxxing</t>
  </si>
  <si>
    <t>https://extremismterms.adl.org/glossary/looksmaxxing</t>
  </si>
  <si>
    <t>Tactics, Key Concepts / Definitions</t>
  </si>
  <si>
    <t>Single-issue</t>
  </si>
  <si>
    <t>Looksmaxxing refers to any attempts made by incels to improve upon their physical appearance. These strategies range from haircuts and new clothes, taking steroids and going to the gym all the way up to cosmetic surgery.</t>
  </si>
  <si>
    <t>low</t>
  </si>
  <si>
    <t xml:space="preserve">Incel/ misogyny terms/phrases
</t>
  </si>
  <si>
    <t>White supremacist (physical) propaganda</t>
  </si>
  <si>
    <t>https://extremismterms.adl.org/glossary/white-supremacist-physical-propaganda</t>
  </si>
  <si>
    <t>Tactics</t>
  </si>
  <si>
    <t>White supremacist, Right-wing, Antisemitism</t>
  </si>
  <si>
    <t>Physical white supremacist propaganda includes distributions of physical media like fliers, posters, stickers, leaflets, banners and graffiti. The goal is to maximize media and online attention, while limiting the risk of individual exposure, negative media coverage, arrests and public backlash that often accompany public white supremacist events.</t>
  </si>
  <si>
    <t>Q clock</t>
  </si>
  <si>
    <t>https://adl.org/glossary/q-clock</t>
  </si>
  <si>
    <t>Right-wing</t>
  </si>
  <si>
    <t>The Q clock is a tool used by QAnon followers to "prove" that Q has predicted future events. The Q clock consists of a standard clock surrounded by a line spiraling outwards, which features a series of dated points. Each point forms a "second" on the clock, and a shaded date indicates that Q posted a drop(s) on that date. To "read" the clock, QAnon followers draw a line from today's date on the spiral to the center of the clock, checking for any Q drops on shaded dates that the line intersects and decoding their meaning. The clock can also be "mirrored" by continuing to draw a line through to the other side of the clock, intersecting additional shaded dates and drops that can be decoded. The Q clock can only be used to confirm that Q predicted a future event in a prior drop; it cannot be used by QAnon followers to predict future events.</t>
  </si>
  <si>
    <t>conspiracy (QAnon)</t>
  </si>
  <si>
    <t>Red ink thumbprints/fingerprints</t>
  </si>
  <si>
    <t>https://extremismterms.adl.org/glossary/red-ink-thumbprintsfingerprints</t>
  </si>
  <si>
    <t>Right Wing (Anti-Government)</t>
  </si>
  <si>
    <t>Some sovereign citizens believe they must place a thumbprint or fingerprint next to their signature on a document for it to be valid. Most, though not all, who hold such beliefs further claim that the signature and fingerprint must be in red ink.The origins of the sovereign citizen thumbprint idea date back to the late 1980s, though it only became popular in the 1990s. In some societies at some points in history, such prints were used as signatures or were required to accompany signatures.</t>
  </si>
  <si>
    <t>Black Bloc Tactics</t>
  </si>
  <si>
    <t>https://extremismterms.adl.org/glossary/black-bloc-tactics</t>
  </si>
  <si>
    <t>Left-wing</t>
  </si>
  <si>
    <t>Black bloc tactics are often employed by militant antifa adherents at protests. Participants dressed in all black will operate as a unified force. Tactics include arming themselves with riot shields and positioning themselves at the front while others behind them move "like water."</t>
  </si>
  <si>
    <t>https://www.adl.org/resources/backgrounder/who-are-antifa</t>
  </si>
  <si>
    <t>medium</t>
  </si>
  <si>
    <t>left wing terms/symbols</t>
  </si>
  <si>
    <t>Media Jihad</t>
  </si>
  <si>
    <t>https://extremismterms.adl.org/glossary/media-jihad</t>
  </si>
  <si>
    <t>Islamist, Antisemitism</t>
  </si>
  <si>
    <t>"Media jihad" refers to an ISIS innovation in the Islamist terrorist sphere heavily emphasizing online media and appealing propaganda as a means of recruiting foreign fighters and spreading its message. To this end, ISIS recruiters often emphasize that "media jihad," creating and spreading ISIS propaganda online, is just as effective a method of supporting the caliphate as traveling to conflict zones.</t>
  </si>
  <si>
    <t>Nutella and Kittens</t>
  </si>
  <si>
    <t>https://extremismterms.adl.org/glossary/nutella-and-kittens</t>
  </si>
  <si>
    <t>Nutella and kittens was among ISIS's more inventive and disturbing media tactics. In 2015, the group paired calls to join the Islamic State with innocuous images that were popular on the internet, including pictures of kittens or jars of Nutella. One New Jersey-based ISIS recruiter even went by the online nickname "Umm Nutella," meaning "Mother of Nutella." Though it is unclear whether this tactic was effective at increasing recruitment, it generated a great deal of attention for ISIS online.</t>
  </si>
  <si>
    <t>Paper Terrorism</t>
  </si>
  <si>
    <t>https://extremismterms.adl.org/glossary/paper-terrorism</t>
  </si>
  <si>
    <t>Anti-government, Right-wing</t>
  </si>
  <si>
    <t>"Paper terrorism" is a term given to a range of tactics developed by the sovereign citizen movement to use against their perceived enemies. These tactics typically involve the filing of bogus legal documents or the misuse of legal documents in a way designed to harass, retaliate against or harm police, government officials and others. Common paper terrorism tactics include bogus liens, false IRS 1099 forms, false involuntary bankruptcies and false criminal complaints, among others.</t>
  </si>
  <si>
    <t>Low</t>
  </si>
  <si>
    <t>sovereign citizen term 
(solution create an article with a list of sovereign citizen groups and terms?)</t>
  </si>
  <si>
    <t>Blood Signs / Blood Signing</t>
  </si>
  <si>
    <t>https://extremismterms.adl.org/glossary/blood-signs-blood-signing</t>
  </si>
  <si>
    <t>Blood signing refers to the practice of coercing a victim to write their abuser‚Äôs name or aliases on their own body or other surfaces using either their own blood or animal blood.¬†¬†764 members use ‚Äúblood signs‚Äù to demonstrate their ‚Äúownership‚Äù over their victim(s) and obtain further influence within the network.</t>
  </si>
  <si>
    <t>nihilistic term/activity</t>
  </si>
  <si>
    <t>Cut Signs / Cut Signing</t>
  </si>
  <si>
    <t>https://extremismterms.adl.org/glossary/cut-signs-cut-signing</t>
  </si>
  <si>
    <t>Cut signing refers to the practice of coercing a victim to carve their abuser‚Äôs name or aliases into their own bodies.764 members use ‚Äúcut signs‚Äù to demonstrate their ‚Äúownership‚Äù over their victim(s) and obtain further influence within the network.</t>
  </si>
  <si>
    <t>nihlistic term/activity</t>
  </si>
  <si>
    <t>Fan Signs / Fan Signing</t>
  </si>
  <si>
    <t>https://extremismterms.adl.org/glossary/fan-signs-fan-signing</t>
  </si>
  <si>
    <t>Fan signing refers to the practice of coercing a victim to write their abuser‚Äôs name or aliases on their own body. In some cases, victims may also be encouraged to vandalize private property with the abuser‚Äôs name.764 members use ‚Äúfan signs‚Äù to demonstrate their ‚Äúownership‚Äù over their victim(s) and obtain further influence within the network.</t>
  </si>
  <si>
    <t>Lorebook</t>
  </si>
  <si>
    <t>https://extremismterms.adl.org/glossary/lorebook</t>
  </si>
  <si>
    <t>Lorebooks are digital archives compiled by 764 members to extort their victims. They often include sexually explicit content, images or videos of self-harm, private messages between the victim and their abuser and other personal information, such as the victim‚Äôs full name, address and relatives.764 members use lorebooks to extort their victims, threatening to share them with a victim‚Äôs family or friends unless their demands are met. Many of these lorebooks, which typically feature minors, are also posted publicly in 764 chats so that other members can harass the victim.</t>
  </si>
  <si>
    <t>14/23</t>
  </si>
  <si>
    <t>https://extremismterms.adl.org/glossary/1423</t>
  </si>
  <si>
    <t>Slogans / Code words, Numbers / Symbols</t>
  </si>
  <si>
    <t>14/23 is a numeric code associated with the Southern Brotherhood, a white supremacist prison gang in Alabama. Fourteen is a reference to the 14 words, and 23 refers to the 23 rules members must follow.</t>
  </si>
  <si>
    <t>https://www.adl.org/resources/hate-symbol/1423</t>
  </si>
  <si>
    <t>Marilyn</t>
  </si>
  <si>
    <t>in HATE SYMBOLS DATABASE (or add)</t>
  </si>
  <si>
    <t>Bowl Gang /Bowlwaffen/Bowlwaffen Division/The Bowl Patrol</t>
  </si>
  <si>
    <t>https://extremismterms.adl.org/glossary/bowl-gang-bowlwaffenbowlwaffen-divisionthe-bowl-patrol</t>
  </si>
  <si>
    <t>"Bowl Gang," "Bowlwaffen," "Bowlwaffen Division," and "the Bowl Patrol" are phrases and symbology used by supporters of white supremacist Dylann Roof who was convicted of murdering nine African-Americans in a racially motivated shooting spree at the Emanuel African Methodist Episcopal Church in Charleston, South Carolina, in 2015. The "Bowl" references Roof"s bowl-shaped haircut. Accelerationist groups consider Dylann Roof a "saint" and idolize his murderous actions, calling for others to emulate his racist murders.</t>
  </si>
  <si>
    <t>13/90</t>
  </si>
  <si>
    <t>https://extremismterms.adl.org/glossary/1390</t>
  </si>
  <si>
    <t>White supremacist, Right-wing</t>
  </si>
  <si>
    <t>13/90 is a numeric code phrase used by white supremacists as a shorthand reference to a common racist claim about alleged Black violence. The number 13 refers to the purported percentage of the U.S. population that is Black. The number 90 is a fabricated "percentage" of violent crimes committed by Black people.</t>
  </si>
  <si>
    <t>https://www.adl.org/resources/hate-symbol/1352-1390</t>
  </si>
  <si>
    <t>The Great Awakening</t>
  </si>
  <si>
    <t>https://extremismterms.adl.org/glossary/great-awakening</t>
  </si>
  <si>
    <t>Slogans / Code words, Key Concepts / Definitions, Conspiracy Theories</t>
  </si>
  <si>
    <t>"The Great Awakening" refers to Q's dissemination of information, which began in October 2017. QAnon adherents believe that they are part of a vast intelligence operation designed to slowly awaken the American people to the truth about the Deep State.</t>
  </si>
  <si>
    <t>conspiracy</t>
  </si>
  <si>
    <t>Day of the Rope</t>
  </si>
  <si>
    <t>https://extremismterms.adl.org/glossary/day-rope</t>
  </si>
  <si>
    <t>Slogans / Code words, Key Concepts / Definitions</t>
  </si>
  <si>
    <t>Day of the Rope is a white supremacist concept that draws on fictional mass murders of "race traitors" in The Turner Diaries. The phrase is sometimes shortened to a hashtag or "dotr," or written out as "The Day of the Rope is coming" to convey a threat of white revolution or targeted violence.</t>
  </si>
  <si>
    <t>https://www.adl.org/resources/hate-symbol/day-rope</t>
  </si>
  <si>
    <t>Race traitor</t>
  </si>
  <si>
    <t>https://extremismterms.adl.org/glossary/race-traitor</t>
  </si>
  <si>
    <t>"Race traitor" is a term used by white supremacists to refer to people involved in multi-racial relationships, as well as other white people perceived by white supremacists to be acting against the best interests of the white race.</t>
  </si>
  <si>
    <t>Racial Holy War/RAHOWA</t>
  </si>
  <si>
    <t>https://extremismterms.adl.org/glossary/racial-holy-warrahowa</t>
  </si>
  <si>
    <t>RAHOWA is an acronym for "Racial Holy War" created by the Creativity Movement, a white supremacist pseudo-religion, as a rallying cry for the white supremacist cause.</t>
  </si>
  <si>
    <t>https://www.adl.org/resources/hate-symbol/rahowa</t>
  </si>
  <si>
    <t>Chad</t>
  </si>
  <si>
    <t>https://extremismterms.adl.org/glossary/chad</t>
  </si>
  <si>
    <t>Chad is a term referring to the archetypal "anti-incel:" a white, straight male with Aryan features and other "desirable" physical traits. Chads are simultaneously despised and revered by incels who believe that all women inherently desire these men.</t>
  </si>
  <si>
    <t>Grooming/Groomers</t>
  </si>
  <si>
    <t>https://extremismterms.adl.org/glossary/groominggroomers</t>
  </si>
  <si>
    <t>Grooming refers to behaviors used by abusers to build relationships and trust with children or young people to aid in manipulating, exploiting and abusing them. The term has been appropriated and weaponized by anti-LGBTQ+ bigots who falsely imply or claim that members of the LGBTQ+ community are pedophiles and are ‚Äúgrooming‚Äù children by discussing issues related to sexual orientation and gender identity.</t>
  </si>
  <si>
    <t>https://www.adl.org/resources/article/what-grooming-truth-behind-dangerous-bigoted-lie-targeting-lgbtq-community</t>
  </si>
  <si>
    <t>Volcel</t>
  </si>
  <si>
    <t>https://extremismterms.adl.org/glossary/volcel</t>
  </si>
  <si>
    <t>Also known as "fakecel," the term "volcel" is used within the incel subculture to describe a person who is voluntarily celibate and therefore does not fit the criteria to be an incel.</t>
  </si>
  <si>
    <t>Cultural Marxism</t>
  </si>
  <si>
    <t>https://extremismterms.adl.org/glossary/cultural-marxism</t>
  </si>
  <si>
    <t>‚ÄúCultural Marxism‚Äù is a term used typically by right-wing ideologues to attack an array of ideas and concepts they oppose, including multiculturalism, globalism, feminism and LGBTQ+ rights, among others. The term often functions as an antisemitic dog whistle or codeword. Promoters of the term typically invoke a conspiracy theory that falsely claims such progressive ideas originated with the so-called Frankfurt School, a leftist intellectual collective active in Germany between the two World Wars. Exploiting the fact that a number of the Frankfurt School intellectuals were Jewish, antisemitic versions of this conspiracy theory link the Frankfurt School, and thus ‚Äúcultural Marxism‚Äù itself, to Jews, claiming that Jews seek to subvert and weaken Western (and Christian) society by imposing their left-wing and politically correct (or ‚Äúwoke‚Äù) views. Antisemites also use the term to reinforce their longstanding antisemitic trope that Communism is ‚ÄúJewish.‚Äù</t>
  </si>
  <si>
    <t>Western Chauvinism</t>
  </si>
  <si>
    <t>https://extremismterms.adl.org/glossary/western-chauvinism</t>
  </si>
  <si>
    <t>Western chauvinism is a term that emphasizes the unabashed embrace and belief in the superiority of the western world, with an ethnocentric focus on maintaining a "western culture." Members of the Proud Boys often refer to themselves as "western chauvinists," and part of the Proud Boys' indoctrination ritual includes the use of the phrase, "I am a proud western chauvinist and I refuse to apologize for creating the modern world."</t>
  </si>
  <si>
    <t>Zionist Entity</t>
  </si>
  <si>
    <t>https://extremismterms.adl.org/glossary/zionist-entity</t>
  </si>
  <si>
    <t>Left Wing, Islamist</t>
  </si>
  <si>
    <t>‚ÄúZionist entity‚Äù is a derogatory term for Israel designed to deny Israel‚Äôs legitimacy. The term emerged by the 1960s, used by Arab leaders in the Middle East who needed to refer to Israel but did not want to acknowledge its existence as a nation. Instead, they referred to Israel using language such as ‚Äúthe Zionist entity existing in Palestine.‚Äù Opponents of Israel continue to use the term today. In May 2025, after a gunman killed two Israeli Embassy staff members in Washington, D.C., Masar Badil‚Äîa transnational anti-Israel organization with ties to the terror-affiliated group Samidoun‚Äîresponded by saying that the attack was ‚Äúa natural consequence of the Zionist entity‚Äôs crimes in the Gaza Strip.‚Äù¬†The term ‚ÄúZionist entity‚Äù has spread to opponents and detractors of Israel more broadly, including within the United States. Usage of the term in the United States began as early as 1970. Today, it is primarily used by far left and anti-Israel groups and individuals, such as Students for Justice in Palestine, Within Our Lifetime, Palestinian Youth Movement, and PAL-Awda. Abroad, the term has also frequently been used by Iran‚Äôs Supreme Leader Ali Khamenei and other regime officials, as well as by the former leader of the terrorist group Hezbollah, Hassan Nasrallah.</t>
  </si>
  <si>
    <t>Mentioned and defined sort of here: https://www.adl.org/resources/article/healthcare-workers-palestine-hcw4p-what-you-need-know</t>
  </si>
  <si>
    <t>Synagogue of Satan</t>
  </si>
  <si>
    <t>https://extremismterms.adl.org/glossary/synagogue-satan</t>
  </si>
  <si>
    <t>Antisemitism</t>
  </si>
  <si>
    <t>"Synagogue of Satan" is a derogatory term used by various antisemites ‚Äî such as the Nation of Islam, extremist sects of the Black Hebrew Israelite movement and many extremists who identify as Christians ‚Äî to refer to Jews and Judaism. The phrase is a reference to Revelation 2:9 and 3:9 in the Bible.</t>
  </si>
  <si>
    <t>No alternative source (MLM)</t>
  </si>
  <si>
    <t>priority</t>
  </si>
  <si>
    <t>antisemitic term/symbol/conspiracy</t>
  </si>
  <si>
    <t>Blue-Eyed Devils</t>
  </si>
  <si>
    <t>https://extremismterms.adl.org/glossary/blue-eyed-devils</t>
  </si>
  <si>
    <t>Slogans / Code words, Groups / Movements</t>
  </si>
  <si>
    <t>The term "blue-eyed devil" is a racial epithet that originated in Asia, directed against people of European ancestry. Some white supremacists have adopted the term in recent decades and may refer to themselves as blue-eyed devils. A mid-1990s white power/Rock Against Communism (RAC) band from Delaware was also named Blue-Eyed Devils. The band is held in high regards by fellow white supremacists; many get tattoos of the band's distinctive logo, which is a man pointing a gun out of a rounded Celtic cross.</t>
  </si>
  <si>
    <t>https://www.adl.org/resources/hate-symbol/blue-eyed-devils</t>
  </si>
  <si>
    <t>Save the/our Children</t>
  </si>
  <si>
    <t>https://extremismterms.adl.org/glossary/save-theour-children</t>
  </si>
  <si>
    <t>Slogans / Code words, Conspiracy Theories, Key Concepts / Definitions</t>
  </si>
  <si>
    <t>"Save the children" is a QAnon rallying cry often used as a hashtag on social media. QAnon borrowed this hashtag from a legitimate human-trafficking campaign to spread the baseless claim that pedophiles are kidnapping children off the streets and that mole/tunnel children are trafficked underground. Concerned people then spread the message using the hashtag, often unaware they are spreading a QAnon conspiracy.</t>
  </si>
  <si>
    <t>Z.O.G. (Zionist Occupied Government)</t>
  </si>
  <si>
    <t>https://extremismterms.adl.org/glossary/zog-zionist-occupied-government</t>
  </si>
  <si>
    <t>Slogans / Code words, Conspiracy Theories</t>
  </si>
  <si>
    <t>Z.O.G. is an antisemitic acronym for "Zionist Occupied Government," which reflects the belief, often held by white supremacists and other antisemitic conspiracy theorists, that the U.S. government is controlled by Jews. This has resulted in white supremacist slogans such as "Smash ZOG," "Kill ZOG" and "Death to ZOG."</t>
  </si>
  <si>
    <t>https://www.adl.org/resources/hate-symbol/zog</t>
  </si>
  <si>
    <t>17Anon</t>
  </si>
  <si>
    <t>https://extremismterms.adl.org/glossary/17anon</t>
  </si>
  <si>
    <t>17Anon is another name for QAnon, as Q is the seventeenth letter of the alphabet. The phrase is used to bypass blocking algorithms on social media.</t>
  </si>
  <si>
    <t>17Anon is not mentioned in the QAnon backgrounder and should be added. Marilyn</t>
  </si>
  <si>
    <t>Q sent me/us</t>
  </si>
  <si>
    <t>https://extremismterms.adl.org/glossary/q-sent-meus</t>
  </si>
  <si>
    <t>"Q sent me" or "Q sent us" is a phrase used by QAnon adherents to express their allegiance to Q and their association with the army of digital soldiers.</t>
  </si>
  <si>
    <t>"Pestilence from Heaven"</t>
  </si>
  <si>
    <t>https://extremismterms.adl.org/glossary/pestilence-heaven</t>
  </si>
  <si>
    <t>"Pestilence from Heaven" is a phrase used by the Nation of Islam to describe the coronavirus pandemic, with some specifically blaming Jews and Israel for causing the "pestilence."</t>
  </si>
  <si>
    <t>"Good Habits Bad Boys"</t>
  </si>
  <si>
    <t>https://extremismterms.adl.org/glossary/good-habits-bad-boys</t>
  </si>
  <si>
    <t>Slogans / Code words</t>
  </si>
  <si>
    <t>"Good habits bad boys" is the unofficial slogan of the Rise Above Movement (R.A.M.). It is often used in R.A.M. and R.A.M.-affilitated propaganda and clothing.</t>
  </si>
  <si>
    <t>Although this term is associated with the Rise Above Movement, it isn't in the current backgrounder and will have to be added. Marilyn</t>
  </si>
  <si>
    <t>"White Boy Summer"</t>
  </si>
  <si>
    <t>https://extremismterms.adl.org/glossary/white-boy-summer</t>
  </si>
  <si>
    <t>"White Boy Summer" was originally a Chet Hanks song released in March 2021, but was co-opted by white supremacists for their own purposes by layering on exclusionary messaging and using it as a call for action.</t>
  </si>
  <si>
    <t>https://www.adl.org/resources/article/white-boy-summer-meme-mobilization</t>
  </si>
  <si>
    <t>"You will not replace us"</t>
  </si>
  <si>
    <t>https://extremismterms.adl.org/glossary/you-will-not-replace-us</t>
  </si>
  <si>
    <t>"You will not replace us" is a slogan used by white supremacists that reflects the belief that without immediate action, the white race is doomed to extinction by an alleged "rising tide of color" purportedly controlled and manipulated by Jews. It is also a substitute for the "14 words" white supremacist motto.</t>
  </si>
  <si>
    <t>https://www.adl.org/resources/hate-symbol/you-will-not-replace-us</t>
  </si>
  <si>
    <t>14 words</t>
  </si>
  <si>
    <t>https://extremismterms.adl.org/glossary/14-words</t>
  </si>
  <si>
    <t>14 words is a popular white supremacist slogan penned by white supremacist and convicted terrorist David Lane: "We must secure the existence of our people and a future for white children.'</t>
  </si>
  <si>
    <t>https://www.adl.org/resources/hate-symbol/14-words</t>
  </si>
  <si>
    <t>23 (Hand Sign)</t>
  </si>
  <si>
    <t>https://extremismterms.adl.org/glossary/23-hand-sign</t>
  </si>
  <si>
    <t>This hand sign, in which one hand shows two fingers, and the other three, represents the number 23. Some white supremacists use this hand sign to represent the 23rd letter of the alphabet: W for white.</t>
  </si>
  <si>
    <t>https://www.adl.org/resources/hate-symbol/23-hand-sign</t>
  </si>
  <si>
    <t>6 Million Wasn't Enough (6MWE)</t>
  </si>
  <si>
    <t>https://extremismterms.adl.org/glossary/6-million-wasnt-enough-6mwe</t>
  </si>
  <si>
    <t>6 Million Wasn't Enough (sometimes abbreviated to 6MWE) is an antisemitic phrase used by white supremacists which laments that only six million Jews murdered during the Holocaust.</t>
  </si>
  <si>
    <t xml:space="preserve">https://www.adl.org/resources/article/proud-boys-bigotry-full-display </t>
  </si>
  <si>
    <t>No resource outside Glossary (MLM)</t>
  </si>
  <si>
    <t>We could link here: https://www.adl.org/resources/article/proud-boys-bigotry-full-display, which references the term, but the term itself is not explicitly Proud Boys (MLM).</t>
  </si>
  <si>
    <t>add to innocuous phrase article</t>
  </si>
  <si>
    <t>ACAB (All Cops Are Bastards)</t>
  </si>
  <si>
    <t>https://extremismterms.adl.org/glossary/acab-all-cops-are-bastards</t>
  </si>
  <si>
    <t>The acronym ACAB stands for 'All Cops Are Bastards' and is a slogan of long standing within skinhead subculture, which borrowed it from the punk subculture. Because non-racist skinheads (including "traditional" skinheads and anti-racist skinheads) may use this acronym as well as racist skinheads, it should be carefully judged in the context in which it appears.</t>
  </si>
  <si>
    <t>https://www.adl.org/resources/hate-symbol/acab</t>
  </si>
  <si>
    <t>AKIA</t>
  </si>
  <si>
    <t>https://extremismterms.adl.org/glossary/akia</t>
  </si>
  <si>
    <t>AKIA is Ku Klux Klan shorthand for "A Klansman I Am." It is related to another Klan acronym, AYAK ("Are You A Klansman?"). These are among the many acronyms developed by the Second Ku Klux Klan that emerged in 1915. Although the Second Ku Klux Klan did not survive, much of its terminology and many of its rituals did, and later Klan groups freely used them.</t>
  </si>
  <si>
    <t>https://www.adl.org/resources/hate-symbol/akia</t>
  </si>
  <si>
    <t>Anti Racist is Code for Anti White</t>
  </si>
  <si>
    <t>https://extremismterms.adl.org/glossary/anti-racist-code-anti-white</t>
  </si>
  <si>
    <t>"Anti-racist is code for anti-white" is a white supremacist slogan used as a response to accusations of racism and to re-focus attention on the putative victimhood of the white race.</t>
  </si>
  <si>
    <t>https://www.adl.org/resources/hate-symbol/anti-racist-code-anti-white</t>
  </si>
  <si>
    <t>Anti-Antifa</t>
  </si>
  <si>
    <t>https://extremismterms.adl.org/glossary/anti-antifa</t>
  </si>
  <si>
    <t>White supremacists coined the term "anti-antifa" and related imagery to express their disdain for anti-fascists. The term is used widely among right-wing extremists.</t>
  </si>
  <si>
    <t>https://www.adl.org/resources/hate-symbol/anti-antifa-images</t>
  </si>
  <si>
    <t>AYAK</t>
  </si>
  <si>
    <t>https://extremismterms.adl.org/glossary/ayak</t>
  </si>
  <si>
    <t>AYAK is an acronym that means "Are You A Klansmen." It is similar to the acronym AKIA, "A Klansman I Am."</t>
  </si>
  <si>
    <t>https://www.adl.org/resources/hate-symbol/ayak</t>
  </si>
  <si>
    <t>Blood and Soil</t>
  </si>
  <si>
    <t>https://extremismterms.adl.org/glossary/blood-and-soil</t>
  </si>
  <si>
    <t>"Blood and Soil" is a phrase that is a derivative of "Blut und Ehre" a slogan popularized by the Nazi Party in World War II. The phrase became the slogan for Vanguard America, romanticizing the notion that people with "white blood" have a special bond with the "American soil."</t>
  </si>
  <si>
    <t>https://www.adl.org/resources/hate-symbol/blut-und-ehre</t>
  </si>
  <si>
    <t>Blut und Ehre</t>
  </si>
  <si>
    <t>https://extremismterms.adl.org/glossary/blut-und-ehre</t>
  </si>
  <si>
    <t>"Blut und Ehre" is a German phrase that translates into "Blood and Honor;" it was popularized by the Nazi Party (as a Hitler Youth slogan and elsewhere). Since World War II, this German phrase (and even more so its English translation) has commonly been used by white supremacists in Europe, the United States and elsewhere.</t>
  </si>
  <si>
    <t>Crazy White Boy</t>
  </si>
  <si>
    <t>https://extremismterms.adl.org/glossary/crazy-white-boy</t>
  </si>
  <si>
    <t>https://www.adl.org/resources/report/white-supremacist-prison-gangs-2022-assessment</t>
  </si>
  <si>
    <t>Cuckservatives</t>
  </si>
  <si>
    <t>https://extremismterms.adl.org/glossary/cuckservatives</t>
  </si>
  <si>
    <t>In 2015, alt right white supremacists began disparaging members of the conservative movement with the derogatory term "cuckservative," a com¬≠bi¬≠na¬≠tion of "con¬≠ser¬≠v¬≠a¬≠tive" and "cuck¬≠old," to describe a white con¬≠ser¬≠v¬≠a¬≠tive who putatively pro¬≠motes the inter¬≠ests of Jews and non-whites over those of whites. The Groypers, a group that attracts white supremacists and other far-right activists, also employ the term.</t>
  </si>
  <si>
    <t>Da Goyim Know</t>
  </si>
  <si>
    <t>https://extremismterms.adl.org/glossary/da-goyim-know</t>
  </si>
  <si>
    <t>"Da Goyim Know" is an antisemitic catchphrase used to say that non-Jews have "figured out" an alleged Jewish conspiracy or plot, which therefore needs to be "shut down." Goyim is a pejorative term for non-Jews, used, in this case, by non-Jews themselves. It is most often associated with the alt right segment of the white supremacist movement, and message boards such as 4chan and 8chan. Antisemites use this phrase when pointing out alleged Jewish misdeeds.</t>
  </si>
  <si>
    <t>https://www.adl.org/resources/hate-symbol/goyim-knowshut-it-down</t>
  </si>
  <si>
    <t>Diversity = White Genocide (symbol)</t>
  </si>
  <si>
    <t>https://extremismterms.adl.org/glossary/diversity-white-genocide-symbol</t>
  </si>
  <si>
    <t>"Diversity = White Genocide" is a white supremacist slogan intended to suggest that multiculturalism will mean the death of the white race.</t>
  </si>
  <si>
    <t>Featherwood</t>
  </si>
  <si>
    <t>https://extremismterms.adl.org/glossary/featherwood</t>
  </si>
  <si>
    <t>Featherwood is a word deriving from the related term "peckerwood." It refers to a woman belonging to or associating with the white supremacist prison gang subculture or, primarily in California, with peckerwood street gangs. Featherwoods are frequently identified by tattoos of the term "featherwood" or a feather by itself.</t>
  </si>
  <si>
    <t>https://www.adl.org/resources/hate-symbol/featherwood</t>
  </si>
  <si>
    <t>FGRN</t>
  </si>
  <si>
    <t>https://extremismterms.adl.org/glossary/fgrn</t>
  </si>
  <si>
    <t>FGRN is a Ku Klux Klan acronym for "For God, Race and Nation," a common Klan slogan.</t>
  </si>
  <si>
    <t>https://www.adl.org/resources/hate-symbol/fgrn</t>
  </si>
  <si>
    <t>Firm 22</t>
  </si>
  <si>
    <t>https://extremismterms.adl.org/glossary/firm-22</t>
  </si>
  <si>
    <t>Firm 22 is the name used by the Vinlanders Social Club, a racist skinhead gang, to refer to supporters and associates of the group who are not actually members, such as the wives and girlfriends of gang members (not allowed to become members) or males interested in becoming prospective members. The number 22 stands for the letter V, as V is the 22nd letter in the alphabet. It is similar in nature to the Crew 38 established by the Hammerskins.</t>
  </si>
  <si>
    <t>https://www.adl.org/resources/hate-symbol/firm-22</t>
  </si>
  <si>
    <t>GTKRWN</t>
  </si>
  <si>
    <t>https://extremismterms.adl.org/glossary/gtkrwn</t>
  </si>
  <si>
    <t>GTKRWN is a white supremacist acronym for the racist and antisemitic slogan "Gas the Kikes; Race War Now." Occasionally, white supremacists may only use the first part of the acronym: "GTK."</t>
  </si>
  <si>
    <t>https://www.adl.org/resources/hate-symbol/gtkrwn</t>
  </si>
  <si>
    <t>HFFH (symbol)</t>
  </si>
  <si>
    <t>https://extremismterms.adl.org/glossary/hffh-symbol</t>
  </si>
  <si>
    <t>HFFH is an acronym used by the Hammerskins, a large racist skinhead gang. It stands for "Hammerskins Forever, Forever Hammerskins," a format probably adopted from biker gangs.</t>
  </si>
  <si>
    <t>https://www.adl.org/resources/hate-symbol/hffh</t>
  </si>
  <si>
    <t>HSN (symbol)</t>
  </si>
  <si>
    <t>https://extremismterms.adl.org/glossary/hsn-symbol</t>
  </si>
  <si>
    <t>HSN is an acronym used by the Hammerskins, a large racist skinhead gang. It stands for "Hammerskin Nation," which is a collective reference to the various regional Hammerskin gangs such as the Confederate Hammerskins and the Northern Hammerskins.</t>
  </si>
  <si>
    <t>https://www.adl.org/resources/hate-symbol/hsn</t>
  </si>
  <si>
    <t>Iron pill</t>
  </si>
  <si>
    <t>https://extremismterms.adl.org/glossary/iron-pill</t>
  </si>
  <si>
    <t>The Iron Pill is an accelerationist white supremacist reference to working out in preparation for the impending race war.</t>
  </si>
  <si>
    <t>It's Okay To Be White</t>
  </si>
  <si>
    <t>https://extremismterms.adl.org/glossary/its-okay-be-white</t>
  </si>
  <si>
    <t>The phrase "It"s Okay To Be White" (may be abbreviated as IOTBW) is a slogan popularized in late 2017 as a trolling campaign by members of the controversial discussion forum 4chan. The original idea behind the campaign was to choose an ostensibly innocuous and inoffensive slogan, put that slogan on fliers bereft of any other words or imagery, then place the fliers in public locations. Some white supremacists have promoted the campaign, often adding Internet links to white supremacist websites to the fliers or combining the phrase with white supremacist language or imagery.</t>
  </si>
  <si>
    <t>https://www.adl.org/resources/hate-symbol/its-okay-be-white</t>
  </si>
  <si>
    <t>ITSUB (symbol)</t>
  </si>
  <si>
    <t>https://extremismterms.adl.org/glossary/itsub-symbol</t>
  </si>
  <si>
    <t>ITSUB is a Ku Klux Klan acronym for "In The Sacred Unfailing Being," a reference to God. It is one of many Klan acronyms created by the Second Ku Klux Klan that emerged in 1915.</t>
  </si>
  <si>
    <t>https://www.adl.org/resources/hate-symbol/itsub</t>
  </si>
  <si>
    <t>Jewish Question/JQ</t>
  </si>
  <si>
    <t>https://extremismterms.adl.org/glossary/jewish-questionjq</t>
  </si>
  <si>
    <t>The "Jewish question" is an idea that began circulating in the 1800s. Some European writers, philosophers and theologians claimed that Jewish presence in society was a problem that needed to be solved. The Holocaust was the result of the Nazi party's effort to achieve what it referred to as the "final solution to the Jewish question." Modern antisemites use the phrase and it's abbreviation "JQ" to state their antisemitic bonafides and to indicate they're aware of the problem as it persists today, according to them.</t>
  </si>
  <si>
    <t>Jews Will Not Replace Us</t>
  </si>
  <si>
    <t>https://extremismterms.adl.org/glossary/jews-will-not-replace-us</t>
  </si>
  <si>
    <t>"Jews Will Not Replace Us" is a variant of the white supremacist slogan "You Will Not Replace Us," referencing the belief that the white race is in danger of extinction by a rising tide of non-whites who are controlled and manipulated by Jews. This phrase was shouted by marching white supremacists in 2017 during the torch-lit rally the night before the deadly Unite The Right rally in Charlottesville, Virginia.</t>
  </si>
  <si>
    <t>KABARK (symbol)</t>
  </si>
  <si>
    <t>https://extremismterms.adl.org/glossary/kabark-symbol</t>
  </si>
  <si>
    <t>KABARK is a Ku Klux Klan acronym for "Konstantly Applied By All Regular Klansmen." Today, it is essentially meaningless and only used as a "sign-off" in online messages by Klan group members.</t>
  </si>
  <si>
    <t>https://www.adl.org/resources/hate-symbol/kabark</t>
  </si>
  <si>
    <t>KIGY (symbol)</t>
  </si>
  <si>
    <t>https://extremismterms.adl.org/glossary/kigy-symbol</t>
  </si>
  <si>
    <t>KIGY is Ku Klux Klan shorthand for "Klansman I Greet You."</t>
  </si>
  <si>
    <t>https://www.adl.org/resources/hate-symbol/kigy</t>
  </si>
  <si>
    <t>KLASP (symbol)</t>
  </si>
  <si>
    <t>https://extremismterms.adl.org/glossary/klasp-symbol</t>
  </si>
  <si>
    <t>KLASP is a Ku Klux Klan acronym for "Klannish Loyalty, A Sacred Principle."</t>
  </si>
  <si>
    <t>https://www.adl.org/resources/hate-symbol/klasp</t>
  </si>
  <si>
    <t>LOTIE</t>
  </si>
  <si>
    <t>https://extremismterms.adl.org/glossary/lotie</t>
  </si>
  <si>
    <t>LOTIE is a Ku Klux Klan abbreviation for "Lady Of The Invisible Empire," i.e., a female Klan member.</t>
  </si>
  <si>
    <t>https://www.adl.org/resources/hate-symbol/lotie</t>
  </si>
  <si>
    <t>Love Your Race</t>
  </si>
  <si>
    <t>https://extremismterms.adl.org/glossary/love-your-race</t>
  </si>
  <si>
    <t>"Love Your Race" is a white supremacist slogan originally popularized by the neo-Nazi National Alliance. In white supremacist literature and flyers, the phrase is often accompanied by an idealized image of a beautiful and/or maternal white woman.</t>
  </si>
  <si>
    <t>https://www.adl.org/resources/hate-symbol/love-your-race</t>
  </si>
  <si>
    <t>Meine Ehre Heisst Treue</t>
  </si>
  <si>
    <t>https://extremismterms.adl.org/glossary/meine-ehre-heisst-treue</t>
  </si>
  <si>
    <t>"Meine Ehre Heisst Treue" is a German phrase that translates roughly to "My Honor Is Loyalty." It was used as a motto of the Waffen SS in Nazi Germany; today, many neo-Nazis and other white supremacists around the world use this German phrase (or its English equivalent) as a hate slogan.</t>
  </si>
  <si>
    <t>https://www.adl.org/resources/hate-symbol/meine-ehre-heisst-treue</t>
  </si>
  <si>
    <t>MIOAK</t>
  </si>
  <si>
    <t>https://extremismterms.adl.org/glossary/mioak</t>
  </si>
  <si>
    <t>MIOAK is an acronym used by members of Ku Klux Klan groups; it stands for "Mystic Insignia of a Klansman." It is more commonly referred to as the "Blood Drop" Cross. See also: Blood Drop Cross</t>
  </si>
  <si>
    <t>https://www.adl.org/resources/hate-symbol/blood-drop-cross</t>
  </si>
  <si>
    <t>Moon Man</t>
  </si>
  <si>
    <t>https://extremismterms.adl.org/glossary/moon-man</t>
  </si>
  <si>
    <t>"Moon Man" is a meme derived from a character in 1980s McDonald"s restaurant commercials. The charachter has been appropriated by white supremacists, especially from the alt right, who attach it to racist songs, language and imagery.</t>
  </si>
  <si>
    <t>https://www.adl.org/resources/hate-symbol/moon-man</t>
  </si>
  <si>
    <t>Nihilism (Accelerationist)</t>
  </si>
  <si>
    <t>https://extremismterms.adl.org/glossary/nihilism-accelerationist</t>
  </si>
  <si>
    <t>The accelerationist interpretation of nihilism is that society is corrupt and otherwise beyond repair. It is central to the book Siege, by neo-Nazi James Mason, which argues that society is being manipulated by Jewish elites at the expense of the white race., and the only way the white race can survive is by destroying the current system and creating a white ethnostate.</t>
  </si>
  <si>
    <t>No Political Solution</t>
  </si>
  <si>
    <t>https://extremismterms.adl.org/glossary/no-political-solution</t>
  </si>
  <si>
    <t>"No political solution" is a phrase often used by adherents of the accelerationist philosophy to emphasize that voting or other political means will not bring about the radical societal change that they seek. Therefore, violent means should be employed to accelerate the destruction of society as it currently stands so that a new world order will arise placing the white race at the top of the societal hierarchy.</t>
  </si>
  <si>
    <t>Non Silba Sed Anthar</t>
  </si>
  <si>
    <t>https://extremismterms.adl.org/glossary/non-silba-sed-anthar</t>
  </si>
  <si>
    <t>"Non Silba Sed Anthar" is a Ku Klux Klan slogan meaning "Not Self, But Others." It is sometimes abbreviated as NSSA.</t>
  </si>
  <si>
    <t>https://www.adl.org/resources/hate-symbol/non-silba-sed-anthar</t>
  </si>
  <si>
    <t>Northwest American Republic</t>
  </si>
  <si>
    <t>https://extremismterms.adl.org/glossary/northwest-american-republic</t>
  </si>
  <si>
    <t>The "Northwest American Republic" is a fictional construct created by Harold Covington (1953-2018), a long-time fringe figure in the neo-Nazi movement. It is based on the so-called "Northwest Imperative," a long-standing call by some white supremacists for white people to move to the Pacific Northwest and establish their own country.</t>
  </si>
  <si>
    <t>https://www.adl.org/resources/hate-symbol/northwest-american-republic</t>
  </si>
  <si>
    <t>Northwest Imperative</t>
  </si>
  <si>
    <t>https://extremismterms.adl.org/glossary/northwest-imperative</t>
  </si>
  <si>
    <t>Northwest Imperative is a long-standing call by some white supremacists for white people to move to the Pacific Northwest and establish their own country there.</t>
  </si>
  <si>
    <t>ORION Symbol</t>
  </si>
  <si>
    <t>https://extremismterms.adl.org/glossary/orion-symbol</t>
  </si>
  <si>
    <t>"Our Race Is Our Nation" or "ORION" is a racist slogan proclaiming that racial ties are paramount to all else, transcending national borders or boundaries. Different white supremacists use the slogan, including Christian Identity adherents, neo-Nazis and the Klan.</t>
  </si>
  <si>
    <t>https://www.adl.org/resources/hate-symbol/orion</t>
  </si>
  <si>
    <t>Peckerwood</t>
  </si>
  <si>
    <t>https://extremismterms.adl.org/glossary/peckerwood</t>
  </si>
  <si>
    <t>Peckerwood, derived from an old racial epithet aimed at whites, has evolved to become a term used to refer to white prisoners, particularly white prisoners belonging to the white supremacist prison gang subculture. Often the term is shortened to "wood" and all such prisoners in a particular prison might be referred to as the "woodpile." Female members or associates are referred to as featherwoods.</t>
  </si>
  <si>
    <t>https://www.adl.org/resources/hate-symbol/peckerwood</t>
  </si>
  <si>
    <t>ROA</t>
  </si>
  <si>
    <t>https://extremismterms.adl.org/glossary/roa</t>
  </si>
  <si>
    <t>ROA is an acronym for the white supremacist slogan "Race Over All," popularized by the neo-Nazi/racist skinhead gang Volksfront.</t>
  </si>
  <si>
    <t>https://www.adl.org/resources/hate-symbol/roa</t>
  </si>
  <si>
    <t>Rock Against Communism (RAC)</t>
  </si>
  <si>
    <t>https://extremismterms.adl.org/glossary/rock-against-communism-rac</t>
  </si>
  <si>
    <t>Rock Against Communism (RAC) is a euphemism for several types of white supremacist hate music (typically Oi! or hatecore punk). The phrase "Rock Against ..." has become so popular among white supremacists that it's been appropriated and used in various other contexts such as "Rock Against Coronavirus" and "Rock Against Islam."</t>
  </si>
  <si>
    <t>https://www.adl.org/resources/hate-symbol/rock-against-communism</t>
  </si>
  <si>
    <t>Sieg Heil symbol</t>
  </si>
  <si>
    <t>https://extremismterms.adl.org/glossary/sieg-heil-symbol</t>
  </si>
  <si>
    <t>"Sieg Heil" is a German phrase that translates to "Hail Victory." The phrase became one of the German Nazi Party's most widely used and notorious slogans. Following World War II, white supremacists worldwide also adopted the phrase.</t>
  </si>
  <si>
    <t>https://www.adl.org/resources/hate-symbol/sieg-heil</t>
  </si>
  <si>
    <t>Siege pill</t>
  </si>
  <si>
    <t>https://extremismterms.adl.org/glossary/siege-pill</t>
  </si>
  <si>
    <t>"Siege pill" is used by followers of the philosophy of accelerationism to describe someone who has read and understands neo-Nazi James Mason's Siege essays, which are foundational to accelerationist philosophy.</t>
  </si>
  <si>
    <t>Siegeculture</t>
  </si>
  <si>
    <t>https://extremismterms.adl.org/glossary/siegeculture</t>
  </si>
  <si>
    <t>Siegeculture, also known as Siegekultur, is a philosophy, political orientation, spiritual outlook and solution to societal problems dominated by hate and an embrace of violence anchored in fascist ideology and accelerationism. It draws on the teachings and actions of James Mason, Adolf Hitler and Charles Manson, among others.</t>
  </si>
  <si>
    <t>We could use a "glossary of terms" addition to this resource</t>
  </si>
  <si>
    <t>SWP</t>
  </si>
  <si>
    <t>https://extremismterms.adl.org/glossary/swp</t>
  </si>
  <si>
    <t>SWP is an acronym for the white supremacist slogan "Supreme White Power." It seems to have originated on the West Coast, probably in California's prison system, though it has spread from there.</t>
  </si>
  <si>
    <t>https://www.adl.org/resources/hate-symbol/swp</t>
  </si>
  <si>
    <t>Universal Order</t>
  </si>
  <si>
    <t>https://extremismterms.adl.org/glossary/universal-order</t>
  </si>
  <si>
    <t>Universal Order is a concept that was created by James Mason, articulated in his neo-Nazi compilation of essays, Siege. Universal Order states that there is one inherent truth that races are unequal and social conflict arises from not understanding this truth. According to Mason, the white race exists at the top of this racial hierarchy, and therefore, the domination of the white race would fulfill this truth.</t>
  </si>
  <si>
    <t>https://extremismterms.adl.org/glossary/white-lives-matter</t>
  </si>
  <si>
    <t>"White Lives Matter" is a white supremacist phrase that originated in early 2015 as a racist response to the Black Lives Matter movement, which arose to protest police brutality against African Americans and garnered considerable publicity in 2014 for protests in Ferguson, Missouri following the shooting death of Michael Brown at the hands of a Ferguson police officer.</t>
  </si>
  <si>
    <t>https://adl.org/resources/backgrounder/white-lives-matter</t>
  </si>
  <si>
    <t>White Power</t>
  </si>
  <si>
    <t>https://extremismterms.adl.org/glossary/white-power</t>
  </si>
  <si>
    <t>"White Power" is a white supremacist slogan designed to mimic the "black power" slogan often used by African Americans in the 1960s/70s. It is commonly shouted at white supremacist events as a racist rallying cry.</t>
  </si>
  <si>
    <t>White Pride Worldwide (WPWW)</t>
  </si>
  <si>
    <t>https://extremismterms.adl.org/glossary/white-pride-worldwide-wpww</t>
  </si>
  <si>
    <t>WPWW is a common white supremacist acronym that stands for "White Pride World Wide." The phrase is used as part of the logo for Stormfront, the largest white supremacist website on the internet, which accounts for its widespread use by white supremacists.</t>
  </si>
  <si>
    <t>White Rex Clothing</t>
  </si>
  <si>
    <t>https://extremismterms.adl.org/glossary/white-rex-clothing</t>
  </si>
  <si>
    <t>White Rex Clothing is a white supremacist clothing company based in Russia founded by Denis Nikitin. The brand is popular among neo-Nazi MMA fight clubs and has hosted amateur MMA tournaments in Europe.</t>
  </si>
  <si>
    <t>WP</t>
  </si>
  <si>
    <t>https://extremismterms.adl.org/glossary/wp</t>
  </si>
  <si>
    <t>WP is an acronym for the common white supremacist chant "White Power." In some contexts, WP may refer to "White Pride" instead.</t>
  </si>
  <si>
    <t>https://www.adl.org/resources/hate-symbol/wp</t>
  </si>
  <si>
    <t>Zyklon B</t>
  </si>
  <si>
    <t>https://extremismterms.adl.org/glossary/zyklon-b</t>
  </si>
  <si>
    <t>Zyklon B was the name of the gas used to murder more than one million people, most of them Jews, in the death camps constructed by Nazi Germany during the Holocaust. Because of its association with killing Jews, Zyklon B has been adopted as a symbol by modern-day white supremacists, who often use it to spread antisemitic content.</t>
  </si>
  <si>
    <t>https://www.adl.org/resources/hate-symbol/zyklon-b</t>
  </si>
  <si>
    <t>5 Words</t>
  </si>
  <si>
    <t>https://extremismterms.adl.org/glossary/5-words</t>
  </si>
  <si>
    <t>The 5 words refer to the phrase "I have nothing to say," which is what some white supremacists believe should be the only words shared with police.</t>
  </si>
  <si>
    <t>https://www.adl.org/resources/hate-symbol/5-words</t>
  </si>
  <si>
    <t>VaxTheBlacks</t>
  </si>
  <si>
    <t>https://extremismterms.adl.org/glossary/vaxtheblacks</t>
  </si>
  <si>
    <t>VaxTheBlacks is a white supremacist idea and online campaign that began during the COVID-19 pandemic. It promoted the idea that because the vaccine is allegedly harmful, black people should receive it first in the hope it could make the community infertile and slow down a perceived white genocide.</t>
  </si>
  <si>
    <t>Jogger</t>
  </si>
  <si>
    <t>https://extremismterms.adl.org/glossary/jogger</t>
  </si>
  <si>
    <t>White supremacist</t>
  </si>
  <si>
    <t>Coined in 2020, a white supremacist term for a Black man references Ahmaud Arbery, who was murdered while jogging in his Georgia neighborhood.</t>
  </si>
  <si>
    <t>"Gender Ideology"</t>
  </si>
  <si>
    <t>https://extremismterms.adl.org/glossary/gender-ideology</t>
  </si>
  <si>
    <t>‚ÄúGender ideology‚Äù (also known as ‚ÄúLGBTQ+ ideology‚Äù) is a conspiratorial phrase coined by anti-LGBTQ+ activists and extremists to characterize attempts to achieve LGBTQ+ rights or representation as an extreme ideology or even part of a nefarious left-wing plot to dominate public institutions. Proponents of the phrase often use it to oppose school curricula that feature and/or celebrate LGBTQ+ history or experiences, falsely claiming that such materials promote the sexualization of minors and/or coerce children into identifying as members of the LGBTQ+ community. Anti-LGBTQ+ activists also use the term in legal and political contexts to defend or rationalize their opposition to LGBTQ+ rights.</t>
  </si>
  <si>
    <t xml:space="preserve">https://www.adl.org/resources/article/online-amplifiers-anti-lgbtq-extremism </t>
  </si>
  <si>
    <t>Anchor Baby</t>
  </si>
  <si>
    <t>https://extremismterms.adl.org/glossary/anchor-baby</t>
  </si>
  <si>
    <t>Anchor baby is a derogatory term for a child born in the United States to an undocumented immigrant. Since these children automatically qualify as American citizens, they can later act as a sponsor for other family members.</t>
  </si>
  <si>
    <t>Dog pill</t>
  </si>
  <si>
    <t>https://extremismterms.adl.org/glossary/dog-pill</t>
  </si>
  <si>
    <t>The "dog pill" refers to the belief among some incels that women would rather sleep with dogs than with them.</t>
  </si>
  <si>
    <t>Foid</t>
  </si>
  <si>
    <t>https://extremismterms.adl.org/glossary/foid</t>
  </si>
  <si>
    <t>Foid is a derogatory incel term for woman. The phrase is an abbreviation of "femoid" which combines the words "female" and "humanoid" or "female" and "android." Incels attribute their virgin status to "heartless" females and their rage leads them dehumanize and even murder women.</t>
  </si>
  <si>
    <t>Going ER</t>
  </si>
  <si>
    <t>https://extremismterms.adl.org/glossary/going-er</t>
  </si>
  <si>
    <t>"Going ER" is a reference to Elliot Rodger, a violent incel who committed mass murder in Santa Barbara, California in 2014. Prior to the shooting, Rodger wrote an angry manifesto blaming women for rejecting him. "Going ER" refers to the act of committing mass murder, as inspired by Rodger.</t>
  </si>
  <si>
    <t>Hypergamy</t>
  </si>
  <si>
    <t>https://extremismterms.adl.org/glossary/hypergamy</t>
  </si>
  <si>
    <t>Hypergamy is a term incels use for the belief that women seek out men who are of higher status " either physically or financially " over other men.</t>
  </si>
  <si>
    <t>JB pill</t>
  </si>
  <si>
    <t>https://extremismterms.adl.org/glossary/jb-pill</t>
  </si>
  <si>
    <t>JB pill stands for "jail bait" and is a reference to pedophilia.</t>
  </si>
  <si>
    <t>Normie</t>
  </si>
  <si>
    <t>https://extremismterms.adl.org/glossary/normie</t>
  </si>
  <si>
    <t>In the incel community, a "normie" is a someone of average attractiveness and/or intelligence. "Normies" are viewed by incels as superior and in the incel hierarchy, "Normies" fall between "Chads" and "incels."</t>
  </si>
  <si>
    <t>Pick Up Artists (PUA)</t>
  </si>
  <si>
    <t>https://extremismterms.adl.org/glossary/pick-artists-pua</t>
  </si>
  <si>
    <t>Pick up artists, or PUAs, are members of the online misogynistic manosphere, along with incels and MRAs. PUAs seek to seduce women through game-like strategies. The community is known for misogyny, harassment and toxic masculinity.</t>
  </si>
  <si>
    <t>https://www.adl.org/resources/report/when-women-are-enemy-intersection-misogyny-and-white-supremacy</t>
  </si>
  <si>
    <t>Pink pill</t>
  </si>
  <si>
    <t>https://extremismterms.adl.org/glossary/pink-pill</t>
  </si>
  <si>
    <t>The "pink pill" is the female version of the incel black pill, and represents a woman's realization that she will never be attractive to men. The "pink pill" can also be a transphobic reference to taking an estrogen supplement in the transition process.</t>
  </si>
  <si>
    <t>Purple pill</t>
  </si>
  <si>
    <t>https://extremismterms.adl.org/glossary/purple-pill</t>
  </si>
  <si>
    <t>The "purple pill" is a term used among incels to explain male-female behaviors in a more moderate way, rejecting both redpill and bluepill philosophies.</t>
  </si>
  <si>
    <t>Ragefuel</t>
  </si>
  <si>
    <t>https://extremismterms.adl.org/glossary/ragefuel</t>
  </si>
  <si>
    <t>Ragefuel is information that contributes to an incel's increasingly angry state of mind.</t>
  </si>
  <si>
    <t>Rape pill</t>
  </si>
  <si>
    <t>https://extremismterms.adl.org/glossary/rape-pill</t>
  </si>
  <si>
    <t>The rape pill is a term used by subset of the incel community who identify as "rapecels." They believe all sexual interaction between men and women is (or should be) coercive. Women, they figure, are mindless beings incapable of making sexual decisions for themselves, so it is incumbent upon men to make those decisions for them.</t>
  </si>
  <si>
    <t>Transgenderism</t>
  </si>
  <si>
    <t>https://extremismterms.adl.org/glossary/transgenderism</t>
  </si>
  <si>
    <t>¬†Originally an academic term for the phenomena of gender dysphoria, the term ‚Äútransgenderism‚Äù has been co-opted by anti-trans activists to characterize being transgender as an ideology rather than an innate identity. By using the term ‚Äútransgenderism‚Äù instead of ‚Äútrans people,‚Äù anti-trans activists call for online and offline marginalization of and/or harm to transgender individuals under the guise of opposing an ideology. This is especially visible on social media platforms, where anti-trans accounts use ‚Äútransgenderism‚Äù to skirt hate speech and harassment policies that prohibit the targeting of protected classes of people.</t>
  </si>
  <si>
    <t>https://www.adl.org/resources/article/cpac-2023-anti-transgender-hate-took-center-stage</t>
  </si>
  <si>
    <t>Truecel</t>
  </si>
  <si>
    <t>https://extremismterms.adl.org/glossary/truecel</t>
  </si>
  <si>
    <t>Trucel is a moniker used for "true incels," or men who have never had any sexual or romantic contact with a woman. These men believe they will always be an incel regardless of any changes they implement to improve themselves. They look down on "fakecels" and "volcels" who have had or could have sexual experiences with women.</t>
  </si>
  <si>
    <t>We Wuz Kangs</t>
  </si>
  <si>
    <t>https://extremismterms.adl.org/glossary/we-wuz-kangs</t>
  </si>
  <si>
    <t>The phrase "We Wuz Kangs" is a racist term meant to attack African Americans by racist mockery of Afrocentric theories about Egyptian connections to sub-Saharan Africa.</t>
  </si>
  <si>
    <t>https://www.adl.org/resources/hate-symbol/we-wuz-kangs</t>
  </si>
  <si>
    <t>Screw your optics</t>
  </si>
  <si>
    <t>https://extremismterms.adl.org/glossary/screw-your-optics</t>
  </si>
  <si>
    <t>Right-wing, White supremacist, Antisemitism</t>
  </si>
  <si>
    <t>"Screw your optics, I'm going in," is believed to be Robert Bower's final social media post prior to allegedly opening fire on Pittsburgh's Tree of Life Synagogue in 2018. The "optics" debate is a major point of contention among various white supremacist factions. "Screw your optics" continues to be used by extremists who are no longer interested in how their actions are viewed, particularly when it comes to violent action.</t>
  </si>
  <si>
    <t>https://www.adl.org/resources/article/deadly-shooting-pittsburgh-synagogue</t>
  </si>
  <si>
    <t>Bread pill</t>
  </si>
  <si>
    <t>https://extremismterms.adl.org/glossary/bread-pill</t>
  </si>
  <si>
    <t>Right-wing, Left-wing</t>
  </si>
  <si>
    <t>On the extreme right, bread pill refers to embracing traditional Christian values (re gender roles and family). On the extreme left, it refers to joining the ranks of anarcho-communists.</t>
  </si>
  <si>
    <t>My Heart Goes Out to You</t>
  </si>
  <si>
    <t>https://extremismterms.adl.org/glossary/my-heart-goes-out-you</t>
  </si>
  <si>
    <t>Right-wing, Antisemitism</t>
  </si>
  <si>
    <t>Since President Trump‚Äôs inauguration on January 20, 2025, when Elon Musk acknowledged the audience by twice extending his arm upward from his chest and stating, ‚ÄúMy heart goes out to you.‚Äù Antisemites and neo-Nazis interpreted the gesture as a Hitler salute, and embraced the phrase as a coded way to signal their shared bigoted beliefs, often using it alongside overt antisemitic content. However, the phrase remains a common and earnest expression, meaning that context must be considered before its use is labeled hateful in nature.</t>
  </si>
  <si>
    <t>American State National</t>
  </si>
  <si>
    <t>https://extremismterms.adl.org/glossary/american-state-national</t>
  </si>
  <si>
    <t>Right-wing, Anti-government</t>
  </si>
  <si>
    <t>American State National is a term used by sovereign citizens and some QAnon adherents to refer to themselves, reflecting their belief that they are not citizens of what they perceive is an illegitimate, tyrannical federal government. The term has been popularized in recent years by sovereign citizen gurus Bobby Lawrence and David Straight, who teach sovereignty with a QAnon bent.¬†</t>
  </si>
  <si>
    <t>"I am a Proud Western Chauvinist and I refuse to apologize for creating the modern world."</t>
  </si>
  <si>
    <t>https://extremismterms.adl.org/glossary/i-am-proud-western-chauvinist-and-i-refuse-apologize-creating-modern-world</t>
  </si>
  <si>
    <t>"I am a Proud Western Chauvinist and I refuse to apologize for creating the modern world" is the phrase initiates publicly declare to become a first degree Proud Boy, which is the first stage of group membership. The Proud Boys have four "degrees" of membership, each one achieved by completing different initiation rituals or actions.</t>
  </si>
  <si>
    <t>"The West is the Best"</t>
  </si>
  <si>
    <t>https://extremismterms.adl.org/glossary/west-best</t>
  </si>
  <si>
    <t>"The West is the Best" is a popular Proud Boys slogan commonly used among right-wing extremists and white supremacists.</t>
  </si>
  <si>
    <t>Adrenaline control</t>
  </si>
  <si>
    <t>https://extremismterms.adl.org/glossary/adrenaline-control</t>
  </si>
  <si>
    <t>"Adrenaline control" is a Proud Boys term used to describe the ability to maintain composure and focus. To reach level two of initiation and become a "2nd degree" Proud Boy, a member must endure a beating from other members of the group while reciting the names of five breakfast cereals, theoretically demonstrating control and focus despite physical distractions.</t>
  </si>
  <si>
    <t>This term is not in the current Proud Boys backgrounder and would need to be added. Marilyn</t>
  </si>
  <si>
    <t>America First</t>
  </si>
  <si>
    <t>https://extremismterms.adl.org/glossary/america-first</t>
  </si>
  <si>
    <t>While ‚ÄúAmerica First‚Äù is now commonly known as President Trump‚Äôs foreign policy strategy emphasizing American nationalism and non-intervention, the phrase has a long history and has been used by groups and movements on the American right and far right since the early 20th century. It is an example of a phrase that has taken on a variety of meanings over time ‚Äì both non-extreme (as is the case with the current use by the Trump Administration to describe U.S. foreign policy) and extreme.The first prominent use of ‚ÄúAmerica First‚Äù was as a slogan for the Second Ku Klux Klan in the 1920s, where it stood as shorthand for the Klan‚Äôs racist, antisemitic, anti-Catholic and anti-immigrant sentiments. In the 1940s, ‚ÄúAmerica First‚Äù was most well-known as a slogan for isolationists who wanted the U.S. to stay out of the Second World War. The America First Committee was founded in 1940. The vehemently racist and antisemitic Gerald L. K. Smith, one of the highest-profile far-right extremists from the 1930s through the 1960s, also formed an America First political party in 1943.More recently, the slogan has been adopted or appropriated by other groups for their own ends. This most notably included white supremacist and antisemite Nick Fuentes, who named his livestream show America First with Nicholas J. Fuentes. Several white supremacist groups, including White Lives Matter, the New Jersey European Heritage Association (NJEHA), and Patriot Front, among others, have also used the slogan in the 2020s in their propaganda.</t>
  </si>
  <si>
    <t>never</t>
  </si>
  <si>
    <t>in Fuentes content</t>
  </si>
  <si>
    <t>Anons</t>
  </si>
  <si>
    <t>https://extremismterms.adl.org/glossary/anons</t>
  </si>
  <si>
    <t>Anons are the individuals who follow Q. The term also has broader extremist uses - some imageboard users use the term to refer to themselves, as these platforms (like 4chan and 8kun) allow users to post anonymously.</t>
  </si>
  <si>
    <t>Autists</t>
  </si>
  <si>
    <t>https://extremismterms.adl.org/glossary/autists</t>
  </si>
  <si>
    <t>Autists are QAnon followers who specialize in decoding Q's posts to find obscure meanings and connections. The term is a reference to autism, complementing the ability of QAnon followers to find and make connections between Q's posts and random topics and events.</t>
  </si>
  <si>
    <t>Baking</t>
  </si>
  <si>
    <t>https://extremismterms.adl.org/glossary/baking</t>
  </si>
  <si>
    <t>Baking refers to the process of decoding and analyzing Q drops and Trump's social media posts to find obscure meanings and connections between various events and topics. Baking is a reference to Q drops being known as "breadcrumbs" and the image board threads where Q's posts are dissected being called "breads." QAnon adherents who do these decodes are known as "bakers."</t>
  </si>
  <si>
    <t>Blue pill</t>
  </si>
  <si>
    <t>https://extremismterms.adl.org/glossary/blue-pill</t>
  </si>
  <si>
    <t>The blue pill is the counterpart to the red pill. Those who are bluepilled are blissfully ignorant about how the world "really" works. To those who have been redpilled, everyone else is bluepilled. See also: red pill</t>
  </si>
  <si>
    <t>Breadcrumbs/Breads</t>
  </si>
  <si>
    <t>https://extremismterms.adl.org/glossary/breadcrumbsbreads</t>
  </si>
  <si>
    <t>Breadcrumbs (or simply crumbs) is a term used to refer to the cryptic posts made by Q. The image board threads where Q's posts are dissected are called "breads."</t>
  </si>
  <si>
    <t>Civnatfags</t>
  </si>
  <si>
    <t>https://extremismterms.adl.org/glossary/civnatfags</t>
  </si>
  <si>
    <t>Civnatfag is 4chan slang for so-called "civic nationalists" or alt-lite extremists.</t>
  </si>
  <si>
    <t>Comms</t>
  </si>
  <si>
    <t>https://extremismterms.adl.org/glossary/comms</t>
  </si>
  <si>
    <t>Comms, short for communications, refers to the cryptic messages shared by Q, former President Donald Trump, their allies and suspected members of the Deep State that are decoded by QAnon followers.</t>
  </si>
  <si>
    <t>Digital Soldier Oath</t>
  </si>
  <si>
    <t>https://extremismterms.adl.org/glossary/digital-soldier-oath</t>
  </si>
  <si>
    <t>The digital soldier oath is an "oath" sworn by some QAnon followers to pledge their allegiance to Q and President Trump. The oath is simply the oath of office sworn by elected officials, government employees and military personnel in the U.S., but with the QAnon slogan "where we go one, we go all" included at the end.</t>
  </si>
  <si>
    <t>"Digital soldier oath" not mentioned anywhere in the qanon backgrounder</t>
  </si>
  <si>
    <t>Disinformation is necessary</t>
  </si>
  <si>
    <t>https://extremismterms.adl.org/glossary/disinformation-necessary</t>
  </si>
  <si>
    <t>Disinformation is necessary is a phrase used by Q to dismiss their incorrect predictions as deliberate, implying they occasionally share false information in order to mislead the Deep State.</t>
  </si>
  <si>
    <t>Dog code</t>
  </si>
  <si>
    <t>https://extremismterms.adl.org/glossary/dog-code</t>
  </si>
  <si>
    <t>Dog code, also known as dog comms, is a QAnon-linked belief that when a political figure references dogs in a tweet, they are posting a secret code signaling that a member of the Deep State is about to be arrested or executed.</t>
  </si>
  <si>
    <t>Enjoy the show</t>
  </si>
  <si>
    <t>https://extremismterms.adl.org/glossary/enjoy-show</t>
  </si>
  <si>
    <t>Enjoy the show is a phrase used by Q and QAnon followers as a reference to the impending mass arrests of the Deep State and its collaborators.</t>
  </si>
  <si>
    <t>Fight like a Flynn</t>
  </si>
  <si>
    <t>https://extremismterms.adl.org/glossary/fight-flynn</t>
  </si>
  <si>
    <t>"Fight like a Flynn" refers to Michael Flynn, a retired U.S. Army lieutenant general and former national security advisor during the Trump administration. Flynn was forced to resign after it was revealed that he had unauthorized communications with Russian diplomats. He was indicted for lying to the FBI but was pardoned by former President Trump in November 2020. Flynn, now a major QAnon influencer, has held speaking engagements across the country, urging Trump supporters to keep fighting for Trump to be reinstated as president and to get involved in local politics. Many QAnon supporters see him as a hero for the cause and use variations of "fight like a Flynn" in their social media posts.</t>
  </si>
  <si>
    <t>The phrase "fight like a flynn" is not found anywhere in the backgrounder.  Michael Flynn is mentioned, but the phrase in question isn't used</t>
  </si>
  <si>
    <t>Follow the white rabbit</t>
  </si>
  <si>
    <t>https://extremismterms.adl.org/glossary/follow-white-rabbit</t>
  </si>
  <si>
    <t>Follow the white rabbit is a phrase used by QAnon followers to refer to the path of information they are following. It is a reference to Lewis Carroll's Alice in Wonderland.</t>
  </si>
  <si>
    <t>https://www.adl.org/resources/report/computational-propaganda-jewish-americans-and-2018-midterms-amplification-anti</t>
  </si>
  <si>
    <t>Short mention of this phrase in the link. Marilyn</t>
  </si>
  <si>
    <t>Free the Boys</t>
  </si>
  <si>
    <t>https://extremismterms.adl.org/glossary/free-boys</t>
  </si>
  <si>
    <t>"Free the Boys" is a slogan used by the Proud Boys urging the release of members who were arrested on charges related to their particpation in the insurrection on January 6, 2021. The Proud Boys believe that their incarcerated members are political prisoners and frequently share fundraisers to solicit funds for their legal defense.</t>
  </si>
  <si>
    <t>Term is not mentioned in Proud Boys backgrounder. Marily</t>
  </si>
  <si>
    <t>phrase not mentioned in backgrounder</t>
  </si>
  <si>
    <t>Never</t>
  </si>
  <si>
    <t>now mainstream</t>
  </si>
  <si>
    <t>Fuck Around and Find Out (FAFO)</t>
  </si>
  <si>
    <t>https://extremismterms.adl.org/glossary/fuck-around-and-find-out-fafo</t>
  </si>
  <si>
    <t>"Fuck Around and Find Out," often abbreviated FAFO, is a slogan used by the Proud Boys to suggest they are always prepared for a fight, and if a person confronts or messes with them, that person will be sorry. This slogan is commonly seen on Proud Boys' clothing or is spray painted as a symbol of the group. This phrase may also be used to a lesser degree by others in a different context.</t>
  </si>
  <si>
    <t>The phrase is not in the Proud Boys backgrounder but is mentioned in this piece: https://www.adl.org/resources/article/latest-violence-showcases-proud-boys-toxic-mix-politics-and-bigotry  Marilyn</t>
  </si>
  <si>
    <t>Future proves past</t>
  </si>
  <si>
    <t>https://extremismterms.adl.org/glossary/future-proves-past</t>
  </si>
  <si>
    <t>Future proves past is a QAnon phrase indicating future events will "prove" Q's past predictions as being truthful and accurate.</t>
  </si>
  <si>
    <t>https://www.adl.org/resources/report/qanons-antisemitism-and-what-comes-next</t>
  </si>
  <si>
    <t>Green pill</t>
  </si>
  <si>
    <t>https://extremismterms.adl.org/glossary/green-pill</t>
  </si>
  <si>
    <t>The green pill is shorthand for environmentalism. Within the extreme right it can refer to eco-fascism, an ideology that combines totalitarian fascism with radical environmentalism.</t>
  </si>
  <si>
    <t>Let God Burn Them Quickly (LGBTQ)</t>
  </si>
  <si>
    <t>https://extremismterms.adl.org/glossary/let-god-burn-them-quickly-lgbtq</t>
  </si>
  <si>
    <t>Let God Burn Them Quickly (LGBTQ) is a derogatory phrase and acronym used by various New Independent Fundamental Baptist pastors which repurposes the traditional LGBTQ (Lesbian, Gay, Bisexual, Transgender, Queer or Questioning) acronym to express anti-LGBTQ+ bigotry.</t>
  </si>
  <si>
    <t>https://www.adl.org/resources/backgrounder/new-independent-fundamental-baptist-new-ifb-movement</t>
  </si>
  <si>
    <t>Military is the only way</t>
  </si>
  <si>
    <t>https://extremismterms.adl.org/glossary/military-only-way</t>
  </si>
  <si>
    <t>Military is the only way is a phrase used by QAnon followers to refer to their belief that the military must intervene to remove President Biden from office and reinstate Trump as president.</t>
  </si>
  <si>
    <t>Phrase not used in backgrounder</t>
  </si>
  <si>
    <t>National Rebirth of Poland (NOP)</t>
  </si>
  <si>
    <t>https://extremismterms.adl.org/glossary/national-rebirth-poland-nop</t>
  </si>
  <si>
    <t>NOP is the Polish acronym for the National Rebirth of Poland, a right-wing Polish extremist group. It includes some followers in the United States.</t>
  </si>
  <si>
    <t>https://www.adl.org/resources/hate-symbol/national-rebirth-poland</t>
  </si>
  <si>
    <t>NCSWIC (Nothing Can Stop What Is Coming)</t>
  </si>
  <si>
    <t>https://extremismterms.adl.org/glossary/ncswic-nothing-can-stop-what-coming</t>
  </si>
  <si>
    <t>NCSWIC, shorthand for Nothing Can Stop What is Coming, is a QAnon phrase signaling belief that the Deep State and its collaborators will soon be arrested, as it is inevitable.</t>
  </si>
  <si>
    <t>No outside comms</t>
  </si>
  <si>
    <t>https://extremismterms.adl.org/glossary/no-outside-comms</t>
  </si>
  <si>
    <t>No outside comms is a phrase used by QAnon followers to claim that anyone posting as Q outside of 8kun is an imposter.</t>
  </si>
  <si>
    <t>Proud of Your Boy (POYB)</t>
  </si>
  <si>
    <t>https://extremismterms.adl.org/glossary/proud-your-boy-poyb</t>
  </si>
  <si>
    <t>"Proud of Your Boy," often abbreviated to "POYB," is a phrase used by the Proud Boys to express support for each other. It is also a common phrase to have tattooed in order to become a "3rd degree" Proud Boy, which requires getting a Proud Boys-related tattoo.</t>
  </si>
  <si>
    <t>we have a backgrounder</t>
  </si>
  <si>
    <t>Q</t>
  </si>
  <si>
    <t>https://extremismterms.adl.org/glossary/q</t>
  </si>
  <si>
    <t>Q is the self-applied codename of an anonymous imageboard user claiming to be leaking cryptic classified information online for their followers to decode and interpret. The poster's username implies that they hold a Q clearance, a U.S. Department of Energy security clearance. QAnon followers believe Q is a team of military and U.S. government insiders revealing classified information to the public in preparation for the "Storm," when thousands of Deep State members and their collaborators will be arrested. The true identity or identities of the Q poster is unknown.</t>
  </si>
  <si>
    <t>Q clearance</t>
  </si>
  <si>
    <t>https://extremismterms.adl.org/glossary/q-clearance</t>
  </si>
  <si>
    <t>Q clearance is a term used to describe a top secret clearance level within the U.S. Department of Energy. Q's first drops were made by an anonymous 4chan user calling themselves "Q Clearance Patriot." See also: QAnon</t>
  </si>
  <si>
    <t>Q drop</t>
  </si>
  <si>
    <t>https://extremismterms.adl.org/glossary/q-drop</t>
  </si>
  <si>
    <t>Q drops are the posts that Q makes on 4chan, 8chan and 8kun. Q has posted 4,958 drops between October 2017 and June 2022.</t>
  </si>
  <si>
    <t>Q proofs</t>
  </si>
  <si>
    <t>https://extremismterms.adl.org/glossary/q-proofs</t>
  </si>
  <si>
    <t>Q proofs are graphics, memes and videos that show how events predicted by "Q" have come true, thus proving that the information shared in Q drops is accurate and truthful.</t>
  </si>
  <si>
    <t>Q+</t>
  </si>
  <si>
    <t>https://extremismterms.adl.org/glossary/q-0</t>
  </si>
  <si>
    <t>Q+ is the codename former President Donald Trump supposedly uses when he personally posts Q drops.</t>
  </si>
  <si>
    <t>RWDS/Right Wing Death Squad</t>
  </si>
  <si>
    <t>https://extremismterms.adl.org/glossary/rwdsright-wing-death-squad</t>
  </si>
  <si>
    <t>The term "right-wing death squad" (or ‚ÄúRWDS‚Äù) is typically a generic expression of far-right sentiment and may be used by white supremacists or other types of right-wing extremists.¬†
The phrase first emerged in the 1970s and 80s to describe Central and South American government and paramilitary units created to support right-wing governments and oppose communists and others on the left. Their actions included "death flights," in which leftists were dropped out of helicopters. The phrase re-emerged among right-wing extremists in the United States in the mid-2010s in the form of RWDS stickers and patches (sometimes featuring a helicopter), as well as "RWDS" in screen names and hashtags and written on shields meant for street fighting -- including shields used at the violent 2017 ‚ÄúUnite the Right‚Äù white supremacist rally in Charlottesville, Virginia. Some members of the Proud Boys have worn RWDS patches, and in 2017 a short-lived "RWDS" group emerged. Some may also use a related phrase, "Pinochet did nothing wrong," a reference to the brutal Chilean dictator.</t>
  </si>
  <si>
    <t>https://www.adl.org/resources/article/proud-boys-bigotry-full-display</t>
  </si>
  <si>
    <t>hate symbol</t>
  </si>
  <si>
    <t>Save the children</t>
  </si>
  <si>
    <t>https://extremismterms.adl.org/glossary/save-children</t>
  </si>
  <si>
    <t>Save the children is a hashtag that began as a legitimate campaign to raise funds for an anti-human trafficking organization until it was hijacked by QAnon followers in 2020. QAnon followers have used the phrase at rallies and online, calling for people to save children from a shadowy cabal of pedophiles that they beileve is kidnapping and murdering kids.</t>
  </si>
  <si>
    <t>https://extremismterms.adl.org/glossary/stand-back-and-stand</t>
  </si>
  <si>
    <t>"Stand back and stand by" was a phrase said by former President Donald Trump during a 2020 debate with then-candidate Joe Biden when asked to condemn the Proud Boys. The phrase was interpreted by the group as an expression of support by President Trump and has since been used as a rallying cry.</t>
  </si>
  <si>
    <t>There's Q and there's anons</t>
  </si>
  <si>
    <t>https://extremismterms.adl.org/glossary/theres-q-and-theres-anons</t>
  </si>
  <si>
    <t>There's Q and there's anons is a phrase used by QAnon followers to distance themselves from what they believe is the media-concocted version of their movement, while still believing in Q themselves. The concept is derived from posts by Q instructing followers to use "camouflage" to avoid media and public scrutiny; the term "QAnon" has been part of the QAnon community since it first emerged in 2017, and Q has used the term in countless drops.</t>
  </si>
  <si>
    <t>This phrase is not in the backgrounder. - EKA</t>
  </si>
  <si>
    <t>Truth Social Q (TSQ)</t>
  </si>
  <si>
    <t>https://extremismterms.adl.org/glossary/truth-social-q-tsq</t>
  </si>
  <si>
    <t>Truth Social Q (TSQ) is an account on Donald Trump's Truth Social platform, believed by some QAnon followers to be the real "Q." The account, which was created a day before Trump's account, appears to be a troll account created by the platform's developers in order to draw QAnon adherents to the site.</t>
  </si>
  <si>
    <t>This backgrounder does not discuss this account by name specifically but does discuss how QAnon operates on Truth Social somewhat. Not sure what to do here. - EKA</t>
  </si>
  <si>
    <t>Uhuru</t>
  </si>
  <si>
    <t>https://extremismterms.adl.org/glossary/uhuru</t>
  </si>
  <si>
    <t>Uhuru is the Swahili word for "freedom." It has been appropriated, in an ironic fashion, by the Proud Boys, who use it as a battle cry.</t>
  </si>
  <si>
    <t>This is not in the Proud Boys backgrounder. - EKA</t>
  </si>
  <si>
    <t>White/black hats</t>
  </si>
  <si>
    <t>https://extremismterms.adl.org/glossary/whiteblack-hats</t>
  </si>
  <si>
    <t>White hats are government and military officials who support former President Donald Trump and Q. They are opposed by the "black hats," who support the Deep State.</t>
  </si>
  <si>
    <t>WWG1WGA</t>
  </si>
  <si>
    <t>https://extremismterms.adl.org/glossary/wwg1wga</t>
  </si>
  <si>
    <t>"WWG1WGA" is a QAnon acronym and hashtag meaning "where we go one, we go all," used as a rallying cry by the online community of "digital soldiers" that support Q in the battle against the Deep State.</t>
  </si>
  <si>
    <t>Zero delta</t>
  </si>
  <si>
    <t>https://adl.org/glossary/zero-delta</t>
  </si>
  <si>
    <t>Zero deltas occur when Q and Trump post within the same minute, interpreted by QAnon followers as a sign that Q and Trump are working together. See also: delta</t>
  </si>
  <si>
    <t>This term is not mentioned in the QAnon backgrounder even though it's related to QAnon. Not sure how to handle. - EKA</t>
  </si>
  <si>
    <t>Weimar Problems Require Weimar Solutions</t>
  </si>
  <si>
    <t>https://extremismterms.adl.org/glossary/weimar-problems-require-weimar-solutions</t>
  </si>
  <si>
    <t>Right Wing (White Supremacy)</t>
  </si>
  <si>
    <t>The expression ‚ÄúWeimar problems require Weimar solutions‚Äù is a reference to the Weimar Republic, the democratic government in Germany from 1919 to 1933, which the Nazi government replaced. A variation of this phrase can be traced back to 1996, when infamous Holocaust denier Ernst Zundel (now deceased) said in an interview, ‚ÄúIn the United States, ‚Ä¶ you will have Weimar conditions and you‚Äôll have solutions to the Weimar conditions.‚Äù Other slight variations to the expression include ‚ÄúWeimar problems require Aryan solutions‚Äù and ‚ÄúWeimar conditions require Weimar solutions.‚ÄùToday, the expression can be found across both mainstream and extremist social media platforms and forums. The Weimar ‚Äúproblems‚Äù or "conditions" in the expression refer to the perceived societal problems in Germany during that time, which users of the phrase typically believe included ‚Äúdegeneracy‚Äù such as prostitution, open homosexuality, drinking, Jewish influence, etc.¬†The Weimar ‚Äúsolutions‚Äù refer to the Nazi dictatorial government that took power in 1933, its upending of democracy, and the ruthless and repressive measures instituted thereafter. Extremists today use this phrase in response to what they contend are today‚Äôs societal ills, including transgenderism, homosexuality, non-white immigration, drag shows, Jewish politicians and alleged child grooming.¬†Their use of the Weimar expression, often accompanied by Nazi imagery, implies that their solution is similarly to install a national socialist dictatorship to rid society of these supposed problems. Online posts of this phrase frequently include images of pride events, antisemitic memes, transgendered individuals along with images of Hitler, Nazis and swastikas.¬†</t>
  </si>
  <si>
    <t>Never Lose Your Smile</t>
  </si>
  <si>
    <t>https://extremismterms.adl.org/glossary/never-lose-your-smile</t>
  </si>
  <si>
    <t>Right Wing (White Supremacist), White supremacist</t>
  </si>
  <si>
    <t>‚ÄúNever Lose Your Smile,‚Äù¬† sometimes abbreviated to NLYS, is a phrase and a meme that originated from a popular image that shows the words ‚ÄúNEVER LOSE YOUR SMILE‚Äù above the bottom half of a skull and crossbones image known as the Totenkopf ‚Äî a symbol adopted by Hitler‚Äôs Schutzstaffel (SS) during the Nazi-era. The phrase and image are often shared alongside neo-Nazi and white supremacist rhetoric, racist tropes, romanticization of Hitler and other antisemitic content. The deceptive nature of this design also allows extremists to sell clothing, patches, and other items featuring the image on major internet platforms without triggering moderation.</t>
  </si>
  <si>
    <t>Noticing</t>
  </si>
  <si>
    <t>https://extremismterms.adl.org/glossary/noticing</t>
  </si>
  <si>
    <t>Right Wing (White Supremacist), Antisemitism, Right-wing</t>
  </si>
  <si>
    <t>Around 2019, antisemitic and extremist users online began using the concept of ‚Äúnoticing‚Äù to describe when people finally ‚Äúnotice‚Äù and assert that Jews are ostensibly all-powerful or nefarious, or when they ‚Äúnotice‚Äù that someone in a position of power is Jewish. A Telegram account called ‚ÄúThe Noticer‚Äù appears to have popularized the term and then targeted social media users believed to be Jewish by sharing their supposedly ‚Äúanti-white‚Äù posts. In 2022, the hashtag #TheNoticing trended on X as a result of a coordinated 4chan campaign spearheaded by antisemites following anti-Jewish rants by Ye, the rapper formerly known as Kanye West.</t>
  </si>
  <si>
    <t>Fatigue / Black Fatigue / Jew Fatigue</t>
  </si>
  <si>
    <t>https://extremismterms.adl.org/glossary/fatigue-black-fatigue-jew-fatigue</t>
  </si>
  <si>
    <t>Right Wing (White Supremacist), Antisemitism</t>
  </si>
  <si>
    <t>In the white supremacist world, the concept of ‚Äúfatigue‚Äù is a way to promote racism against people of color (typically Black people) or hate towards Jews by conveying that white people are tired of them and can no longer tolerate their behavior. This is often promoted alongside the baseless accusation that these groups pose an imminent danger to society. White supremacists sometimes refer to these concepts as ‚Äún***** fatigue‚Äù and ‚ÄúJew fatigue‚Äù which have been present online as early as the mid-2010s, but have grown in popularity since 2020. Some also use the term ‚ÄúBlack fatigue,‚Äù however, it is important to note that not all mentions of this particular phrase are white supremacist in nature: some within the Black community use it to discuss their struggle with systemic racism. Of course, without a clear extremist connection, general mentions of ‚Äúfatigue‚Äù should not be considered hate-related.¬†</t>
  </si>
  <si>
    <t>SHARP</t>
  </si>
  <si>
    <t>https://extremismterms.adl.org/glossary/sharp</t>
  </si>
  <si>
    <t>SHARP is an acronym for Skinheads Against Racial Prejudice, a term used to refer to left-wing, anti-racist skinheads.</t>
  </si>
  <si>
    <t>https://www.adl.org/resources/hate-symbol/anti-sharp-imagery</t>
  </si>
  <si>
    <t>Baqiya wa Tatamadad</t>
  </si>
  <si>
    <t>https://extremismterms.adl.org/glossary/baqiya-wa-tatamadad</t>
  </si>
  <si>
    <t>"Baqiya wa Tatamadad" is an Arabic phrase meaning "remaining and expanding," which became the slogan of the Islamic State after the collapse of the territorial caliphate. ISIS supporters will often add the phrase as a hashtag or just include it in their messages to indicate their belief that the caliphate continues to exist and will rise again.</t>
  </si>
  <si>
    <t>Khaybar Khaybar ya yahud</t>
  </si>
  <si>
    <t>https://extremismterms.adl.org/glossary/khaybar-khaybar-ya-yahud</t>
  </si>
  <si>
    <t>"Khaybar Khaybar ya yahud" is the first verse of an antisemitic chant which references a battle fought in 628 CE in the Khaybar Oasis, in the Hejaz province of modern-day Saudi Arabia. During this battle, the army of the Prophet Muhammad is believed to have accused the Jews living in Khaybar of conspiring with other Jewish tribes and using the accusation as an excuse to massacre the Jewish population there. The full verse is: "Khaybar Khaybar ya yahud, jaish Muhammad soufa ya'oud." It translates to "Khaybar Khaybar oh Jews, the army of Muhammad will return."</t>
  </si>
  <si>
    <t>https://www.adl.org/resources/backgrounder/chant-khaybar-khaybar-oh-jews-army-mohammed-will-return</t>
  </si>
  <si>
    <t>Noting this is an IA resource, not COE</t>
  </si>
  <si>
    <t>Crusaders</t>
  </si>
  <si>
    <t>https://extremismterms.adl.org/glossary/crusaders</t>
  </si>
  <si>
    <t>Islamist, Anti-government, Right-wing</t>
  </si>
  <si>
    <t>Crusaders is a term used by Islamists to refer to any Western presence in the Middle East, though it is most often used to refer to the U.S. In addition, anti-Muslim extremists in the United States often refer to themselves as Crusaders or use imagery from the Crusades. In 2016, for example, members of a small militia group known as "the Crusaders" were arrested for plotting to blow up an apartment complex in Kansas that largely housed Somali immigrants.</t>
  </si>
  <si>
    <t>in Hate Symbols database</t>
  </si>
  <si>
    <t>Green birds</t>
  </si>
  <si>
    <t>https://extremismterms.adl.org/glossary/green-birds</t>
  </si>
  <si>
    <t>Islamist</t>
  </si>
  <si>
    <t>Green birds references a hadith which states that the souls of martyrs ascend to heaven in the form of green birds. Islamist extremists online often use the term as a coded way of indicating that they intend to die in support of their extremist cause.</t>
  </si>
  <si>
    <t>Small HATS BIG problems</t>
  </si>
  <si>
    <t>https://extremismterms.adl.org/glossary/small-hats-big-problems</t>
  </si>
  <si>
    <t>Antisemitism, White supremacist, Right-wing</t>
  </si>
  <si>
    <t>"Small HATS BIG problems" is an antisemitic phrase used by antisemites and white supremacists. "Small hats" is a reference to the kippah, the traditional Jewish head covering, equating Jews to "big problems." The neo-Nazi New Jersey European Heritage Association has used this slogan in their propaganda.</t>
  </si>
  <si>
    <t>Open borders for Israel</t>
  </si>
  <si>
    <t>https://extremismterms.adl.org/glossary/open-borders-israel</t>
  </si>
  <si>
    <t>Antisemitism, White supremacist</t>
  </si>
  <si>
    <t>"Open borders for Israel" is a belief common among white supremacists that American Jews are hypocritically demanding a pure Jewish ethnostate in Israel. They claim that American Jews are manipulating US immigration policy in order to undermine the US white majority population, and therefore Israel's borders should be open to undermine the Jewish majority there.</t>
  </si>
  <si>
    <t>Globalist</t>
  </si>
  <si>
    <t>https://extremismterms.adl.org/glossary/globalist</t>
  </si>
  <si>
    <t>Antisemitism, Right-wing</t>
  </si>
  <si>
    <t>"Globalist" is a term used by many segments of the right and the far right. In some cases, its use is more or less mainstream, referring to people or entities that support multilateralism and cross-border cooperation. In extremist contexts, "globalist" can mean different things depending on the user and the context. White supremacists and other antisemites frequently use the term as an antisemitic dog whistle, wielding it as a codeword for Jews or as a pejorative term for people whose interests in international commerce or finance ostensibly make them disloyal to the country in which they live, or who are willing to undermine the financial security of their neighbors in order to benefit transnational interests. Because of the long history of antisemitic associations of Jews with money and commerce, the pejorative subtexts quickly take on antisemitic connotations when the term is applied to individual Jews, groups of Jews or places where Jews are known to live. Antigovernment extremists also use the term globalist, usually without the antisemitic connotations, in references to conspiracy theories about the "New World Order."</t>
  </si>
  <si>
    <t>https://www.adl.org/resources/article/conspiracy-theories-some-antisemitic-roots-crop-2023-shareholder-proposals</t>
  </si>
  <si>
    <t>Jew coup</t>
  </si>
  <si>
    <t>https://extremismterms.adl.org/glossary/jew-coup</t>
  </si>
  <si>
    <t>"Jew coup" is a term used by antisemites, including Rick Wiles and David Duke, to further the idea that the 2019 impeachment inquiry against President Donald Trump was orchestrated by a "Jewish cabal" attempting to take over the U.S.</t>
  </si>
  <si>
    <t>"Promised to them 3,000 years ago"</t>
  </si>
  <si>
    <t>https://extremismterms.adl.org/glossary/promised-them-3000-years-ago</t>
  </si>
  <si>
    <t>Extremists and antisemites use phrases such as "it was promised to them 3,000 years ago" or "they were promised it 3,000 years ago" in response to posts about Jews, or alongside content showing visibly Jewish people, to suggest that Jews feel entitled to take what does not belong to them. The use of the phrase exploits the biblical concept of "the promised land" to demonize Jews and Israelis and paint them as thieves by nature, and is sometimes rooted in a belief that the state of Israel is illegitimate. Other posts promote overtly antisemitic tropes about Jews being greedy, entitled, or deceitful‚Äîsuch as AI-generated videos showing visibly Jewish men stealing cars or refusing to pay for meals because those things were "promised to them 3,000 years ago."</t>
  </si>
  <si>
    <t>This phrase could possible be added to this piece: https://www.adl.org/resources/article/coded-hate-extremists-weaponize-seemingly-innocuous-content-promote-bigotry   Marilyn</t>
  </si>
  <si>
    <t>"Six Million Cookies"</t>
  </si>
  <si>
    <t>https://extremismterms.adl.org/glossary/six-million-cookies</t>
  </si>
  <si>
    <t>Extremists use this phrase as a subtle way of expressing doubts about the extermination of European Jews during the Holocaust. For example, they may claim "it's not possible to bake six million cookies in five years given the number of ovens available." This antisemitic dog whistle can be traced back to at least 2017, but it gained more popularity in 2019 when white supremacist, Nick Fuentes, raised the question during one of his online shows.</t>
  </si>
  <si>
    <t>"Ye is Right"</t>
  </si>
  <si>
    <t>https://extremismterms.adl.org/glossary/ye-right</t>
  </si>
  <si>
    <t>‚ÄúYe is Right‚Äù is an antisemitic slogan that first gained traction in early 2022, becoming a mainstream shorthand for the hatred of Jewish people. The slogan references Ye, the influential artist formerly known as Kanye West, whose 2022 antisemitic outbursts made headlines. Immediately following Ye's antisemitic comments, the slogan "Ye is Right" began appearing online, signifying peoples‚Äô agreement with his antisemitic tirades. Soon extremists began using this phrase in their vandalism, banner drops, targeted harassment, and campus propaganda distribution.¬†</t>
  </si>
  <si>
    <t>https://www.adl.org/resources/article/ye-right-antisemitic-campaign-continues</t>
  </si>
  <si>
    <t>old</t>
  </si>
  <si>
    <t>271K</t>
  </si>
  <si>
    <t>https://extremismterms.adl.org/glossary/271k</t>
  </si>
  <si>
    <t>In certain contexts, 271 or 271K is used as a code for Holocaust denial or minimization. It references the conspiratorial claim that only an estimated 271,000 Jews were killed in the Holocaust, and that the widely accepted figure of six million deaths was deliberately exaggerated by Jews. The 271,000 figure has been attributed to a document from the International Red Cross housed in the Arolsen Archives ‚Äî a research center with a vast archive of Nazi-era documents ‚Äî that lists the number of death certificates issued in some, but not all, concentration camps. Antisemitic conspiracy theorists and authors often cite these documents, selectively pointing out a section from a 1979 document that reportedly lists a partial death toll of 271,301. Today, 271 is used on its own, sometimes in memes or as hashtags, to covertly signal Holocaust denial.¬†</t>
  </si>
  <si>
    <t>Anudda Shoah</t>
  </si>
  <si>
    <t>https://extremismterms.adl.org/glossary/anudda-shoah</t>
  </si>
  <si>
    <t>"Anudda shoah" is a phrase used by antisemites to mock the importance of the Holocaust ("Shoah" in Hebrew) and continued concerns about antisemitism. The phrase implies that Jews will take any opportunity to bring up the Holocaust.</t>
  </si>
  <si>
    <t>https://www.adl.org/resources/hate-symbol/anudda-shoah</t>
  </si>
  <si>
    <t>Early Life Check</t>
  </si>
  <si>
    <t>https://extremismterms.adl.org/glossary/early-life-check</t>
  </si>
  <si>
    <t>The phrase ‚Äúearly life check,‚Äù sometimes written as ‚Äúcheck their early life,‚Äù references the ‚ÄòEarly Life‚Äô section of Wikipedia pages for individuals, which often lists attributes like family members, place of birth, ethnicity and religion. Since at least the mid-2010s, the information in this section has been weaponized by hateful users on sites like 4chan to target individuals based on these attributes. For example, someone may target an individual by calling for an ‚Äúearly life check‚Äù to ‚Äúprove‚Äù that they are Jewish by pointing out that they were born to a Jewish parent. Today, antisemitic, racist and anti-LGBTQ+ influencers have taken to more mainstream platforms asking for ‚Äúearly life checks‚Äù on anyone they seek to harass in hopes of covertly highlighting and demonizing their race, religious beliefs, gender identity and more.</t>
  </si>
  <si>
    <t>Edom/Edomites/Esau</t>
  </si>
  <si>
    <t>https://extremismterms.adl.org/glossary/edomedomitesesau</t>
  </si>
  <si>
    <t>Edom, Edomites or Esau are terms used by Black Hebrew Israelites to refer to people whom they believe to be enemies of God, and whom they describe as having descended from the biblical figure, Esau. References are used as insults to show clear racial differences; Blacks are believed to be the chosen race while Esau's descendants are cursed by God. The term is also used by white supremacist adherents of the racist and antisemitic religious sect Christian Identity to refer to Jews. Adherents claim Jews are descended from Esau/Edom rather than from ancient Israelites. Christian Identity followers argue ancient Israelites were actually the forebears of white Europeans.</t>
  </si>
  <si>
    <t>https://www.adl.org/resources/backgrounder/extremist-sects-within-black-hebrew-israelite-movement</t>
  </si>
  <si>
    <t>Every Single Time</t>
  </si>
  <si>
    <t>https://extremismterms.adl.org/glossary/every-single-time</t>
  </si>
  <si>
    <t>While not all uses of ‚Äúevery single time‚Äù are antisemitic in nature, the phrase is a common shorthand for antisemites to suggest that people they deem problematic are always revealed to be Jewish, or that events they deem problematic always involve Jewish individuals. The phrase is often accompanied by additional context ‚Äúproving‚Äù the connection to Judaism, and it is sometimes stylized as ‚ÄúEvery. Single. Time.‚Äù</t>
  </si>
  <si>
    <t>Fake Jews</t>
  </si>
  <si>
    <t>https://extremismterms.adl.org/glossary/fake-jews</t>
  </si>
  <si>
    <t>Among the litany of tropes espoused by antisemites is the claim that modern Jews are "imposters" or "fake," and have no relationship with the Israelites described in the Bible. A foundational theory to justify this allegation states that modern Jews descended from an Eastern European people known as the Khazars‚Äîa group who allegedly converted to Judaism in the eighth century‚Äîrather than from ancient Israelites. Many proponents of the "fake Jews" narrative believe that modern Jews are part of a global conspiracy to oppress non-Jews. This "fake Jews" narrative is incorporated into the worldview of a spectrum of extremists and antisemitic religious groups, from the Black Hebrew Israelite Movement to the Nation of Islam to the Christian Identity Movement.</t>
  </si>
  <si>
    <t>https://www.adl.org/resources/article/untangling-false-claims-about-ashkenazi-jews-khazars-and-israel</t>
  </si>
  <si>
    <t>the phrase "fake jews" is not present anywhere in the article -hannah</t>
  </si>
  <si>
    <t>antisemitic term</t>
  </si>
  <si>
    <t>Gorillion / Gorrillion</t>
  </si>
  <si>
    <t>https://extremismterms.adl.org/glossary/gorillion-gorrillion</t>
  </si>
  <si>
    <t>Gorillion is a nonsensical term used to trivialize the number of Jews killed in the Holocaust. White supremacists use this term to replace "million," conveying the impression that Jews wildly exaggerate the number of people who died during the Holocaust, as in "six gorillion."</t>
  </si>
  <si>
    <t>https://www.adl.org/resources/hate-symbol/six-gorillion</t>
  </si>
  <si>
    <t>This term is in the hate symbols as "six gorillion" and should be changed to match the link. Marilyn</t>
  </si>
  <si>
    <t>Holohoax</t>
  </si>
  <si>
    <t>https://extremismterms.adl.org/glossary/holohoax</t>
  </si>
  <si>
    <t>Holohoax is a term frequently used by Holocaust deniers to indicate their belief that the Holocaust was a hoax.</t>
  </si>
  <si>
    <t>https://www.adl.org/resources/report/online-holocaust-denial-report-card-investigation-online-platforms-policies-and</t>
  </si>
  <si>
    <t>The link cited has the most information on the term "Holohoax." Marilyn</t>
  </si>
  <si>
    <t>J woke / jwoke / j-woke</t>
  </si>
  <si>
    <t>https://extremismterms.adl.org/glossary/j-woke-jwoke-j-woke</t>
  </si>
  <si>
    <t>"J woke" (also stylized as "jwoke" or "j-woke") is an antisemitic term used by white supremacists and antisemites to indicate that they have been "woken up" to the Jewish question and now harbor antisemitic views.</t>
  </si>
  <si>
    <t>Jew-ish</t>
  </si>
  <si>
    <t>https://extremismterms.adl.org/glossary/jew-ish</t>
  </si>
  <si>
    <t>"Jew-ish" is a term used by Black Hebrew Israelites and other antisemites to express their belief that modern-day Jews are imposters who have no connection to the Israelites described in the Bible. The term suggests that modern-day Jews are "Jew-ish" ("like Jews"), but are are not true Jews.</t>
  </si>
  <si>
    <t>short explanation, ~1 sentence</t>
  </si>
  <si>
    <t>Juice (üßÉ)</t>
  </si>
  <si>
    <t>https://extremismterms.adl.org/glossary/juice</t>
  </si>
  <si>
    <t>Antisemites sometimes use the word ‚Äújuice‚Äù as a code word for ‚ÄúJews‚Äù or ‚ÄúJewish,‚Äù allowing them to espouse demonizing rhetoric about the Jewish people while evading content moderation. Some use images of a juice box ‚Äî such as the juice box emoji (üßÉ) ‚Äî for the same purpose in antisemitic memes, social media posts and even extremist merchandise.¬†</t>
  </si>
  <si>
    <t>Khazars</t>
  </si>
  <si>
    <t>https://extremismterms.adl.org/glossary/khazars</t>
  </si>
  <si>
    <t>Khazars were a group of Eastern European non-Jews who allegedly converted to Judaism in the eighth century. Some antisemites believe that modern Jews are descended from those Khazars, rather than from the ancient Israelites described in the Bible. This theory aims to dispute the legitimacy of those who practice Judaism today, undermining both the religious tenets of Judaism and Jews' historical connection to the land of Israel. Some antisemties refer to Jews as the "Khazarian Mafia." Some have associated the Khazars with ISIS and others have even claimed that the Khazarian Mafia is responsible for 9/11.</t>
  </si>
  <si>
    <t>Muh Holocaust</t>
  </si>
  <si>
    <t>https://extremismterms.adl.org/glossary/muh-holocaust</t>
  </si>
  <si>
    <t>An antisemitic phrase, especially popular online, that accuses Jews of routinely bring up the Holocaust to gain attention or to deflect negative attention.</t>
  </si>
  <si>
    <t>https://www.adl.org/resources/hate-symbol/muh-holocaust</t>
  </si>
  <si>
    <t>Zionazi</t>
  </si>
  <si>
    <t>https://extremismterms.adl.org/glossary/zionazi</t>
  </si>
  <si>
    <t>Zionazi is a term used to demonize supporters of Israel.</t>
  </si>
  <si>
    <t>mentioned a few times here, but doesn't really delve into its meaning https://www.adl.org/resources/report/hate-keystone-state-extremism-antisemitism-pennsylvania</t>
  </si>
  <si>
    <t>maybe this? https://www.adl.org/resources/article/anti-zionism-antisemitism-how-anti-zionist-language-left-and-right-vilifies-jews</t>
  </si>
  <si>
    <t>Alphabet Boys</t>
  </si>
  <si>
    <t>https://extremismterms.adl.org/glossary/alphabet-boys</t>
  </si>
  <si>
    <t>Alphabet Boys (aka Alphabet Bois, Alphabet Gang or Soup Bois) is a term used by the booglaoo movement and other anti-government extremists to refer to federal law enforcment agencies (FBI, IRS, DHS, ATF, etc.).</t>
  </si>
  <si>
    <t>https://www.adl.org/resources/backgrounder/boogaloo-movement</t>
  </si>
  <si>
    <t>The term "alphabet boys" is mentioned in the boogaloo piece as "alphabet bois," in passing. It needs to be changed in the backgrounder in order to be redirected. Marilyn</t>
  </si>
  <si>
    <t>Anti-government 
(solution create an article with a list of groups, definitions, terms)</t>
  </si>
  <si>
    <t>Big Igloo</t>
  </si>
  <si>
    <t>https://extremismterms.adl.org/glossary/big-igloo</t>
  </si>
  <si>
    <t>Big Igloo is a common nickname for the boogaloo movement. The nickname became popular as a sound-alike alternative to the word "boogaloo." As a result, many boogaloo flags feature an igloo, and the image frequently appears in boogaloo content. See also: Boogaloo Movement</t>
  </si>
  <si>
    <t>Big Luau</t>
  </si>
  <si>
    <t>https://extremismterms.adl.org/glossary/big-luau</t>
  </si>
  <si>
    <t>Big Luau is a common nickname for the boogaloo movement that became popular as a sound-alike alternative to the word "boogaloo." The term is the inspiration for much of the movement's Hawaiian aesthetic, including its Hawaiian shirts. See also: Boogaloo Movement</t>
  </si>
  <si>
    <t>De facto vs. de jure government</t>
  </si>
  <si>
    <t>https://extremismterms.adl.org/glossary/de-facto-vs-de-jure-government</t>
  </si>
  <si>
    <t>Sovereign citizens often use the term "de facto government" to refer to the U.S. government. They believe a conspiracy began in the 1860s to infiltrate the original "de jure" government, subvert its laws and replace them with tyrannical laws, creating a new, illegitimate "de facto" government designed to enslave the people. Sovereign citizens believe that by declaring their "sovereignty," they can return to the pre-conspiracy government, after which the "de facto" government will have no authority or jurisdiction over them. This belief is the basis for many sovereigns' decisions to ignore laws, rules, regulations, and taxes.</t>
  </si>
  <si>
    <t>Flesh and blood man/woman/person</t>
  </si>
  <si>
    <t>https://extremismterms.adl.org/glossary/flesh-and-blood-manwomanperson</t>
  </si>
  <si>
    <t>Sovereign citizens frequently call themselves "flesh and blood" people, or similar terms, to distinguish themselves from artificial duplicates of people that sovereigns claim the illegitimate government has created for nefarious reasons.</t>
  </si>
  <si>
    <t>https://www.adl.org/sites/default/files/documents/assets/pdf/combating-hate/Sovereign-Citizen-Documentary-Identifiers.pdf</t>
  </si>
  <si>
    <t>Fits but resource does not mention this concept / slogan                                               The link I added in column H does mention this term. Marilyn</t>
  </si>
  <si>
    <t>Free man/woman</t>
  </si>
  <si>
    <t>https://extremismterms.adl.org/glossary/free-manwoman</t>
  </si>
  <si>
    <t>Free man/woman or free man/woman upon the land are terms used by sovereign citizens to refer to themselves as ones not bound by the laws, regulations or rulings of the illegitimate government. In Canada, sovereign citizens are more commonly known as the free man upon the land (FOTL) movement.</t>
  </si>
  <si>
    <t>Liberty Tree</t>
  </si>
  <si>
    <t>https://extremismterms.adl.org/glossary/liberty-tree</t>
  </si>
  <si>
    <t>References to the "Liberty Tree" are common among anti-government extremists, especially within the militia and boogaloo movements. They refer to a quote by Thomas Jefferson: "The tree of liberty must be refreshed from time to time with the blood of patriots and tyrants."</t>
  </si>
  <si>
    <t>https://www.adl.org/resources/backgrounder/militia-movement-2020</t>
  </si>
  <si>
    <t xml:space="preserve">Term is not mentioned explicitly in the militia movement or boogaloo backgrounders and needs to be added. </t>
  </si>
  <si>
    <t>Little Shell Pembina Band of North America</t>
  </si>
  <si>
    <t>https://extremismterms.adl.org/glossary/little-shell-pembina-band-north-america</t>
  </si>
  <si>
    <t>The Little Shell Pembina Band of North America was a fictitious Native American tribe active in the 2000s that was created by sovereign citizens (who frequently create bogus Native American tribes or other indigenous groups). During its heyday, members displayed bogus license plates and IDs and engaged in a wide variety of frauds and scams. It should not be confused with the Montana-based Little Shell tribe, a legitimate Native American group.</t>
  </si>
  <si>
    <t>This term is not mentoined in the sovereign citizen backgrounder and would have to be added. Marilyn</t>
  </si>
  <si>
    <t>Missing 13th Amendment</t>
  </si>
  <si>
    <t>https://extremismterms.adl.org/glossary/missing-13th-amendment</t>
  </si>
  <si>
    <t>The "Missing 13th Amendment" is not a reference to the 13th Amendment actually in the Constitution but rather is a false concept within the sovereign citizen movement that claims that there is a missing amendment (the ratification of which was covered up by a conspiracy) that prevents anyone with a title of nobility from being a citizen. Sovereign citizens twist the meaning of this in order to attack lawyers, arguing that a lawyer's "esquire" title prevents them from being citizens and therefore makes them invalid. The amendment they refer to was actually passed by Congress in the early 1800s but never was ratified by the requisite number of states.</t>
  </si>
  <si>
    <t>The 13th Amendment is not mentioned in the sovereign citizen backgrounder and needs to be added.</t>
  </si>
  <si>
    <t>Molon Labe</t>
  </si>
  <si>
    <t>https://extremismterms.adl.org/glossary/molon-labe</t>
  </si>
  <si>
    <t>"Molon Labe" is an expression of defiance originally attributed to King Leonidas of Sparta that translates from Greek to mean "come and take [them]." The phrase is common among gun rights advocates and anti-government extremists who use it as a rallying cry against imagined threats of gun confiscation as well as proposed gun control measures.</t>
  </si>
  <si>
    <t>This term is not mentioned in url given. It would have to be added. Marilyn</t>
  </si>
  <si>
    <t>also used by many non-extremists</t>
  </si>
  <si>
    <t>New World Order</t>
  </si>
  <si>
    <t>https://extremismterms.adl.org/glossary/new-world-order</t>
  </si>
  <si>
    <t>"New World Order" is a term used to refer to longstanding right-wing conspiracy theories about a socialist or communist one world government. These conspiracies have been popular for decades, but this term became particularly popular among anti-government extremists from the 1990s onwards. It has largely replaced older theories about a global communist conspiracy. "New World Order" conspiracists believe that a tyrannical, socialist "one-world" conspiracy has already taken over most of the planet and schemes to eliminate the bastion of freedom, the United States, with the help of collaborators within the government.</t>
  </si>
  <si>
    <t>Conspiracy</t>
  </si>
  <si>
    <t>Non-resident alien</t>
  </si>
  <si>
    <t>https://extremismterms.adl.org/glossary/non-resident-alien</t>
  </si>
  <si>
    <t>"Non-resident alien" is a term used by sovereign citizens to refer to themselves, reflecting their belief that they are not citizens of what is in their view an illegitimate, tyrannical government.</t>
  </si>
  <si>
    <t>Threat, Duress, Coercion (TDC)</t>
  </si>
  <si>
    <t>https://extremismterms.adl.org/glossary/threat-duress-coercion-tdc</t>
  </si>
  <si>
    <t>"TDC" is an acronym used by the anti-government sovereign citizen movement to refer to "threat/duress/coercion." Some soveriegn citizens put this acronym next to a signature (or, in some cases, a zip code on an address) to indicate that they are not signing voluntarily, and that their signature is invalid and does not constitute a contract with the government that would force them to surrender their sovereignty. It dates back to at least 1992.</t>
  </si>
  <si>
    <t>This is not in the backgrounder. - EKA                                                                                          The term is not in the current sovereign citizens backgrounder but our old backgrounder goes into great detail about this term. I put that link in the final redirect. Marilyn</t>
  </si>
  <si>
    <t>sovereign citizen term 
(solution create an article with a list of sovereign citizen groups and terms?)
Included in sovereign backgrounder</t>
  </si>
  <si>
    <t>Traveling not driving</t>
  </si>
  <si>
    <t>https://extremismterms.adl.org/glossary/traveling-not-driving</t>
  </si>
  <si>
    <t>"Traveling, not driving" is a false argument promoted by the anti-government sovereign citizen movement. They argue that only commercial drivers, not people involved in private activity, have to have drivers licenses, license plates, registration or insurance. Sovereigns argue that the constitution enshrines the right "to travel" and that these documents infringe upon that right.</t>
  </si>
  <si>
    <t>The term "traveling not driving" is not in the sovereing citizen backgrounder but "travelers not drivers" is. We would need to correct that. Marilyn</t>
  </si>
  <si>
    <t>White pill</t>
  </si>
  <si>
    <t>https://extremismterms.adl.org/glossary/white-pill</t>
  </si>
  <si>
    <t>The white pill refers to an optimistic worldview in the face of adversity. Like the red pill and the black pill, the white pill is not limited to a single subculture and is used by extremists of all stripes. Being whitepilled is believing strongly in a given movement and feeling good about your role within it.</t>
  </si>
  <si>
    <t>The Time and What Must Be Done</t>
  </si>
  <si>
    <t>https://extremismterms.adl.org/glossary/time-and-what-must-be-done</t>
  </si>
  <si>
    <t>Publications, Platforms / Sites, Conspiracy Theories</t>
  </si>
  <si>
    <t>Antisemitism, Islamist</t>
  </si>
  <si>
    <t>"The Time and What Must Be Done" was a 58-part weekly online lecture series delivered by Nation of Islam leader Louis Farrakhan from 2013-2014, in which he promoted the group's antisemitic and anti-LGBTQ+ teachings and conspiracy theories. The series received an average of 40,000 views per sermon, and recordings of the lectures are regularly promoted and replayed on official NOI social media channels.</t>
  </si>
  <si>
    <t>https://adl.org/resources/backgrounder/farrakhan-his-own-words</t>
  </si>
  <si>
    <t>We can direct to here but there's nothing in the piece actually explaining what this is. - EKA</t>
  </si>
  <si>
    <t>Al Furqan Media</t>
  </si>
  <si>
    <t>https://extremismterms.adl.org/glossary/al-furqan-media</t>
  </si>
  <si>
    <t>Publications, Platforms / Sites</t>
  </si>
  <si>
    <t>Al Furqan Media is ISIS's oldest official media outlet, established in 2006. It releases attack reports and messages from ISIS leadership.</t>
  </si>
  <si>
    <t>https://www.adl.org/resources/article/islamic-state-al-qaeda-call-violence-against-jewish-communities-following-october</t>
  </si>
  <si>
    <t>The term is briefly mentioned in this piece: https://www.adl.org/resources/article/islamic-state-al-qaeda-call-violence-against-jewish-communities-following-october  Marilyn</t>
  </si>
  <si>
    <t>Al Hayat Media</t>
  </si>
  <si>
    <t>https://extremismterms.adl.org/glossary/al-hayat-media</t>
  </si>
  <si>
    <t>Al Hayat Media Center is an ISIS media branch which specifically targets a Western audience. Established in 2014, it releases English-language or English-subtitled propaganda videos. It has also issued releases in French, German and Russian. Most of its content encourages attacks in the West, praises past attackers or instructs radicalized individuals to travel to ISIS-controlled territories.</t>
  </si>
  <si>
    <t>https://www.adl.org/resources/press-release/new-report-examines-how-isis-manipulates-social-media</t>
  </si>
  <si>
    <t>Al Sahab Media</t>
  </si>
  <si>
    <t>https://extremismterms.adl.org/glossary/al-sahab-media</t>
  </si>
  <si>
    <t>Al Sahab Media is the official Arabic-language media wing of Al Qaeda's central leadership. The channel mainly releases publications, sermons and lessons from Al Qaeda leadership, and sometimes includes footage from Al Qaeda operations.</t>
  </si>
  <si>
    <t>Amaq Media</t>
  </si>
  <si>
    <t>https://extremismterms.adl.org/glossary/amaq-media</t>
  </si>
  <si>
    <t>Amaq Media is an ISIS media channel. It is most frequently used by the group to issue formal claims for attacks or to release messages from the group's leadership. It functions similarly to a state-owned media outlet and mainly publishes its releases on the site Telegram.</t>
  </si>
  <si>
    <t>Inspire Magazine</t>
  </si>
  <si>
    <t>https://extremismterms.adl.org/glossary/inspire-magazine</t>
  </si>
  <si>
    <t>Inspire Magazine is the flagship English-language publication of Al Qaeda in the Arabian Peninsula (AQAP). The first edition was released in June 2010, and it has since been cited as a key source of inspiration for many domestic and international Islamist extremists. It was also one of the first Al Qaeda publications to promote the concept of "open source jihad," or lone wolf attacks using everyday items as weapons (i.e. using a pressure cooker to create an IED).</t>
  </si>
  <si>
    <t>mentioned here: https://www.adl.org/resources/article/islamists-launch-three-new-magazines-hoping-one-will-inspire</t>
  </si>
  <si>
    <t>Sharia4 Network</t>
  </si>
  <si>
    <t>https://extremismterms.adl.org/glossary/sharia4-network</t>
  </si>
  <si>
    <t>The Sharia4 network is a radical Islamist recruitment network based out of Europe and was most active in the early 2010s. The network was largely informal, though there were active branches in Belgium, the United Kingdom and the Netherlands. These networks were inspired by Islam4UK, an extremist pipeline set up by British radical cleric Anjem Choudary. The Sharia4 networks proved effective at radicalizing and recruiting young Europeans to join ISIS.</t>
  </si>
  <si>
    <t>Mein Kampf</t>
  </si>
  <si>
    <t>https://extremismterms.adl.org/glossary/mein-kampf</t>
  </si>
  <si>
    <t>Publications, Key Concepts / Definitions</t>
  </si>
  <si>
    <t>Mein Kampf is a 1925 manifesto written by Nazi Party leader Adolf Hitler that continues to exert influence in white supremacist and neo-Nazi circles today.</t>
  </si>
  <si>
    <t>https://www.adl.org/resources/news/adolf-hitlers-mein-kampf-introduction</t>
  </si>
  <si>
    <t>This is fine as a redirect but as a general note, it doesn't actually say what Mein Kampf is anywhere, the assumption is that people already know. - EKA</t>
  </si>
  <si>
    <t>The Final Call</t>
  </si>
  <si>
    <t>https://extremismterms.adl.org/glossary/final-call</t>
  </si>
  <si>
    <t>Publications, Groups / Movements</t>
  </si>
  <si>
    <t>The Final Call is the Nation of Islam"s official newspaper. Published weekly and distributed both online and in print by NOI members nationwide, it features articles about current events, excerpts from Louis Farrakhan's speeches, promotes the group"s ideology, profiles local NOI activities across the country and advertises NOI publications. The Final Call has promoted numerous antisemitic conspiracy theories over the years.</t>
  </si>
  <si>
    <t>Died Suddenly</t>
  </si>
  <si>
    <t>https://extremismterms.adl.org/glossary/died-suddenly</t>
  </si>
  <si>
    <t>Publications, Conspiracy Theories</t>
  </si>
  <si>
    <t>Died Suddenly is a 2022 anti-Covid-19 vaccine film produced by far-right conspiracy theorist Stew Peters. It promotes the baseless theory that Covid-19 vaccines are causing healthy individuals to develop deadly blood clots, suggesting this is proof that ‚Äúglobal elites‚Äù are using Covid-19 vaccines to depopulate the planet as part of a broader conspiracy to establish a global, totalitarian regime.</t>
  </si>
  <si>
    <t>https://www.adl.org/resources/article/how-antisemites-extremists-and-conspiracy-theorists-are-exploiting-anti-vax</t>
  </si>
  <si>
    <t>88 precepts</t>
  </si>
  <si>
    <t>https://extremismterms.adl.org/glossary/88-precepts</t>
  </si>
  <si>
    <t>Publications</t>
  </si>
  <si>
    <t>88 precepts is a document written by white supremacist terrorist and ideologue David Lane that provided guidelines for securing the goals of the so-called 14 Words.</t>
  </si>
  <si>
    <t>https://www.adl.org/resources/news/david-lane-white-supremacist-terrorist-and-ideologue-dies-prison</t>
  </si>
  <si>
    <t>Jewish Supremacism: My Awakening on the Jewish Question</t>
  </si>
  <si>
    <t>https://extremismterms.adl.org/glossary/jewish-supremacism-my-awakening-jewish-question</t>
  </si>
  <si>
    <t>Jewish Supremacism: My Awakening on the Jewish Question is an antisemitic work published in 2003 by David Duke, a white supremacist, antisemite, and former Klansman. In it, Duke details what he calls "Jewish Supremacism," or alleged Jewish power and Jewish hatred for non-Jews. He claims this comes in the form of "Jewish chauvinism, suspicion and anger against Gentiles."</t>
  </si>
  <si>
    <t>https://www.adl.org/resources/profile/david-duke</t>
  </si>
  <si>
    <t>Manifesto of Futurism</t>
  </si>
  <si>
    <t>https://extremismterms.adl.org/glossary/manifesto-futurism</t>
  </si>
  <si>
    <t>Manifesto of Futurism is a poem, written in 1909 by Italian poet Filippo Tommaso Marinetti, that glorifies violence and war as a means to achieve progress. Accelerationist groups consider it to be required reading to join.</t>
  </si>
  <si>
    <t>Might is Right: Survival of the Fittest</t>
  </si>
  <si>
    <t>https://extremismterms.adl.org/glossary/might-right-survival-fittest</t>
  </si>
  <si>
    <t>A racist and antisemitic 19th century book written under the name Ragnar Redbeard. While it was not designed to promote white supremacy, it has proven to be very compatible with modern white supremacist ideology.</t>
  </si>
  <si>
    <t>Siege</t>
  </si>
  <si>
    <t>https://extremismterms.adl.org/glossary/siege</t>
  </si>
  <si>
    <t>Siege is a collection of essays written by neo-Nazi James Mason and was first published in 1992; it was republished in 2015 by members of the Atomwaffen Division. Siege is often cited by those who embrace neo-Nazi ideology and has inspired a new generation of neo-Nazis, particularly adherents of accelerationism, which Mason's essays helped to define. White supremacists use Mason's Siege essays as blueprints for violent action against a system they perceive has been infiltrated by deviant, Jewish values.</t>
  </si>
  <si>
    <t>The Occidental Quarterly</t>
  </si>
  <si>
    <t>https://extremismterms.adl.org/glossary/occidental-quarterly</t>
  </si>
  <si>
    <t>The Occidental Quarterly, first published in 2001, is a sister publication to The Occidental Observer and is edited by retired antisemitic professor Kevin MacDonald. It is a racist and antisemitic print publication that mimics academic journals to promote white supremacy and "defend the racial group that created and sustains our civilization."</t>
  </si>
  <si>
    <t>https://www.adl.org/resources/news/occidental-observer-online-anti-semitisms-new-voice</t>
  </si>
  <si>
    <t>person related</t>
  </si>
  <si>
    <t>https://extremismterms.adl.org/glossary/turner-diaries</t>
  </si>
  <si>
    <t>The Turner Diaries is a racist novel that depicts a world takeover by an all-white army and its systematic extermination of Blacks, Jews and "race traitors." The 1978 novel was written by the late neo-Nazi leader, William Pierce (under the pseudonym "Andrew MacDonald"). It continues to have a major influence on white supremacists around the world.</t>
  </si>
  <si>
    <t>https://www.adl.org/resources/backgrounder/turner-diaries</t>
  </si>
  <si>
    <t>The Camp of the Saints</t>
  </si>
  <si>
    <t>https://extremismterms.adl.org/glossary/camp-saints</t>
  </si>
  <si>
    <t>A racist novel by French author Jean Raspail, which many white supremacists see as reflective of threats to white populations by non-white immigrants.</t>
  </si>
  <si>
    <t>Europa The Last Battle</t>
  </si>
  <si>
    <t>https://extremismterms.adl.org/glossary/europa-last-battle</t>
  </si>
  <si>
    <t>Europa The Last Battle is an antisemitic, World War II revisionist film released in 2017 that claims Jews deliberately caused both World Wars--and that Hitler was only trying to save Germany from the Jews--as part of a plot to found the nation of Israel. The film is popular with white supremacists and antisemites, who often use it to recruit new individuals into their hateful ideology.</t>
  </si>
  <si>
    <t>No additional affiliated resources (MLM)</t>
  </si>
  <si>
    <t>Several of the white supremacist propaganda reports mention Europa, but do not define and  link out to the glossary. Europa is referenced a lot in white supremacist propaganda and events and I believe deserves a resources of some sort... (MLM)</t>
  </si>
  <si>
    <t>Fall of the Cabal</t>
  </si>
  <si>
    <t>https://extremismterms.adl.org/glossary/fall-cabal</t>
  </si>
  <si>
    <t>Fall of the Cabal is an antisemitic 2019 documentary created by Dutch conspiracy theorist Janet Ossebaard about the downfall of the cabal, the global elite who control the world. The video is a popular recruitment tool for QAnon followers.</t>
  </si>
  <si>
    <t>2000 Mules</t>
  </si>
  <si>
    <t>https://extremismterms.adl.org/glossary/2000-mules</t>
  </si>
  <si>
    <t>2000 Mules is a 2022 election fraud documentary produced by right-wing conspiracy theorist Dinesh D'Souza. Using geodata compiled by Texas-based election integrity group True The Vote, the film falsely claims that around 2,000 "mules" (ballot harvesters) were paid to illegally collect and deposit ballots into drop boxes in Arizona, Georgia, Michigan, Pennsylvania and Wisconsin in order to "rig" the 2020 presidential election. The film's claims have been widely debunked by fact-checkers.</t>
  </si>
  <si>
    <t>https://www.adl.org/resources/article/2022-midterms-false-and-misleading-election-narratives</t>
  </si>
  <si>
    <t>Great awakening map</t>
  </si>
  <si>
    <t>https://extremismterms.adl.org/glossary/great-awakening-map</t>
  </si>
  <si>
    <t>The great awakening map, also referred to as the QAnon map or Q Web, is a graphic linking together hundreds of world events, individuals, organizations and conspiracy theories to show the depth to which these things are interconnected and help QAnon adherents better understand the complexity of the world around them.</t>
  </si>
  <si>
    <t>Plan To Save The World</t>
  </si>
  <si>
    <t>https://extremismterms.adl.org/glossary/plan-save-world</t>
  </si>
  <si>
    <t>Plan To Save The World is a video released by QAnon influencer Joe M in 2018, outlining how Q and Donald Trump are working to dismantle the Deep State. The video is a popular recruitment tool for QAnon followers.</t>
  </si>
  <si>
    <t>Dabiq</t>
  </si>
  <si>
    <t>https://extremismterms.adl.org/glossary/dabiq</t>
  </si>
  <si>
    <t>Dabiq is an English-language magazine published by ISIS. The first edition was released in July 2014, and in September 2016 the name was changed to Rumiyah (the Arabic name for Rome). The name Dabiq is a reference to a hadith which predicts that the final battle before Judgement Day will take place in the town of Dabiq, located in northern Syria, in which the Muslim armies will destroy the Romans. The magazine frequently encourages attacks against Christians, Jews, and other minorities.</t>
  </si>
  <si>
    <t>https://www.adl.org/resources/blog/anti-gay-rhetoric-english-language-isis-and-al-qaeda-magazines</t>
  </si>
  <si>
    <t>The Clashing of Swords Parts I and II</t>
  </si>
  <si>
    <t>https://extremismterms.adl.org/glossary/clashing-swords-parts-i-and-ii</t>
  </si>
  <si>
    <t>"The Clashing of Swords" is a pair of propaganda films released by ISIS in 2014. These two videos featured graphic violence and scenes of life under ISIS. They became some of the group's most popular releases, and were linked to several individuals who went on to join ISIS.</t>
  </si>
  <si>
    <t>Wolves of Manhattan</t>
  </si>
  <si>
    <t>https://extremismterms.adl.org/glossary/wolves-manhattan</t>
  </si>
  <si>
    <t>"Wolves of Manhattan" is an online magazine produced by Jaysh Al-Malahim Al-Electroni, a pro-Al Qaeda online extremist group. The magazine focuses on encouraging inspired attacks in the West, especially against America. The magazine has also offered bounties for killing police officers, though it is doubtful the offer is legitimate.</t>
  </si>
  <si>
    <t>https://www.adl.org/resources/blog/al-qaeda-supporters-advocate-lone-actor-attacks-west,,,,, https://www.adl.org/resources/blog/al-qaeda-supporters-advocate-lone-actor-attacks-west</t>
  </si>
  <si>
    <t>"The Plot Against the Church" by Maurice Pinay</t>
  </si>
  <si>
    <t>https://extremismterms.adl.org/glossary/plot-against-church-maurice-pinay</t>
  </si>
  <si>
    <t>The Plot Against the Church is a book originally published in 1962 by Maurice Pinay that claims to demonstrate how ‚Äúthe Jews‚Äù have subverted the traditional Catholic church in part by integrating Jews into Catholic religious vocations and the official church hierarchy. Pinay writes, ‚ÄúThe highest aim of the ‚ÄòJewish Fifth Column‚Äô has always been to gain control of the Papacy and to place a secret Jew on the chair of St. Peter.‚Äù Pinay‚Äôs work endorses antisemitic myths about the Talmud, deicide, Freemasonry and the supposed central role of Jews in the French Revolution. Virulent antisemites including E. Michael Jones and Bishop Richard Williamson have endorsed this book, as have supporters of the Goyim Defense League. These people claim that the reforms of the Second Vatican Council, which absolved Jews of the deicide charge in 1962, prove Pinay‚Äôs thesis. Many Traditionalist Catholics, who reject Vatican II as heretical, hold this book in high esteem.
¬†</t>
  </si>
  <si>
    <t xml:space="preserve">Never </t>
  </si>
  <si>
    <t>person</t>
  </si>
  <si>
    <t>Hebrews to Negroes</t>
  </si>
  <si>
    <t>https://extremismterms.adl.org/glossary/hebrews-negroes</t>
  </si>
  <si>
    <t>The 2018 film Hebrews to Negroes, based on director Ronald Dalton Jr.‚Äôs book series of the same name, attempts to ‚Äúprove‚Äù the Black Hebrew Israelite (BHI) belief that Black people are the true descendants of the biblical Israelites. The film amplifies antisemitic tropes and conspiracy theories, including beliefs commonly found among extremist factions of the BHI movement, such as the claim that modern Jews are imposters who stole the religious heritage of Black people and have engaged in a ‚Äúcover-up‚Äù to prevent Black people from knowing their ‚Äútrue‚Äù identity. To support its claims about the supposedly manipulative and greedy nature of Jewish people, the film cites statements from prominent antisemites and notorious antisemitic texts, including passages from Henry Ford‚Äôs ‚ÄúThe International Jew‚Äù and two purported (though seemingly fabricated) quotes from Adolf Hitler.</t>
  </si>
  <si>
    <t>https://www.adl.org/resources/article/hebrews-negroes-what-you-need-know</t>
  </si>
  <si>
    <t>I'm not sure if the old glossary link specifically referred to this movie (current link) or the general scope of black hebrew israelite thought.</t>
  </si>
  <si>
    <t>we have an article on this</t>
  </si>
  <si>
    <t>Inconvenient History Journal</t>
  </si>
  <si>
    <t>https://extremismterms.adl.org/glossary/inconvenient-history-journal</t>
  </si>
  <si>
    <t>Inconvenient History is a quarterly journal published by the Committee for Open Debate on the Holocaust (CODOH). Launched in 2009, Inconvenient History presents pseudo-academic articles about the Holocaust and World War II more broadly. These articles frequently dispute the history of the Holocaust, defend and justify Hitler and Nazi Germany‚Äôs actions, and shift blame to the Allied forces. Inconvenient History editorial staff members include John Wear, Germar Rudolf, J√ºrgen Graf, Fred A. Leuchter and Carlo Mattogno. Wear and Rudolf are also among the publication‚Äôs most prolific authors.</t>
  </si>
  <si>
    <t>part of Holocaust Denial hub's "Who's Who" page that is now filled with broken links. recommended action: add the text descriptions of the people/organizations listed directly to this "Who's Who" page instead of redirecting elsewhere
https://www.adl.org/resources/backgrounder/whos-who-holocaust-denial     The link provided mentions this journal. Marilyn</t>
  </si>
  <si>
    <t>Message to the Blackman in America</t>
  </si>
  <si>
    <t>https://extremismterms.adl.org/glossary/message-blackman-america</t>
  </si>
  <si>
    <t>Message to the Blackman in America is a book published by Nation of Islam (NOI) leader Elijah Muhammad in 1965. The book continues to be frequently referenced by NOI members today.</t>
  </si>
  <si>
    <t>Protocols of the Elders of Zion</t>
  </si>
  <si>
    <t>https://extremismterms.adl.org/glossary/protocols-elders-zion</t>
  </si>
  <si>
    <t>The text of the Protocols of the Elders of Zion, which was originally published in Russia in 1903, is a forgery purporting to be the confidential minutes from secret meetings of Jewish leaders in the last years of the 19th century. Its twenty-four sections spell out alleged secret Jewish plans to take over industries, infiltrate governments and use a stranglehold on the media to advance their hidden agenda at the expense of non-Jews. Although it was thoroughly discredited as a fake, the book continues to inspire antisemites to this day. It is probably the most influential antisemitic text ever written.</t>
  </si>
  <si>
    <t>https://www.adl.org/resources/backgrounder/hoax-hate-protocols-learned-elders-zion</t>
  </si>
  <si>
    <t>antisemitic term/symbol</t>
  </si>
  <si>
    <t>The Barnes Review (TBR)</t>
  </si>
  <si>
    <t>https://extremismterms.adl.org/glossary/barnes-review-tbr</t>
  </si>
  <si>
    <t>The Barnes Review is a historical ‚Äúrevisionist‚Äù magazine that has promoted Holocaust denial and antisemitism since its founding in the 1990s by antisemitic propagandist Willis Carto. It is still in circulation and continues to regularly advertise Holocaust denial literature and provide a platform for Holocaust deniers to publish articles.
¬†</t>
  </si>
  <si>
    <t>part of Holocaust Denial hub's "Who's Who" page that is now filled with broken links. recommended action: add the text descriptions of the people/organizations listed directly to this "Who's Who" page instead of redirecting elsewhere
https://www.adl.org/resources/backgrounder/whos-who-holocaust-denial          Mentioned briefly in link in Column G. Marilyn</t>
  </si>
  <si>
    <t>The Culture of Critique</t>
  </si>
  <si>
    <t>https://extremismterms.adl.org/glossary/culture-critique</t>
  </si>
  <si>
    <t>The Culture of Critique is a series of antisemitic books authored by white supremacist Kevin MacDonald that attempt to give a scholarly gloss to antisemitic ideas.</t>
  </si>
  <si>
    <t>The Jewish Revolutionary Spirit</t>
  </si>
  <si>
    <t>https://extremismterms.adl.org/glossary/jewish-revolutionary-spirit</t>
  </si>
  <si>
    <t>The Jewish Revolutionary Spirit is an antisemitic work written by E. Michael Jones and published in September 2008. In the book, Jones portrays Jews as a people seeking worldwide social and political instability in the hopes of destroying society's moral core.</t>
  </si>
  <si>
    <t>The Secret Relationship Between Blacks and Jews</t>
  </si>
  <si>
    <t>https://extremismterms.adl.org/glossary/secret-relationship-between-blacks-and-jews</t>
  </si>
  <si>
    <t>"The Secret Relationship Between Blacks and Jews" is a three-volume, antisemitic text published by the Nation of Islam. It presents a multi-layered attack against Jews and promotes false claims about how Jews allegedly control Black people. For example, it makes conspiratorial accusations about disproportionate Jewish involvement in the transatlantic slave trade, blames Jews for promoting a myth of Black racial inferiority and claims that early 20th century "Jewish businessmen" worked to subjugate Black people and enrich themselves by masterminding the rebirth of the Ku Klux Klan. First published in 1991, the text continues to be regularly promoted by the Nation of Islam.</t>
  </si>
  <si>
    <t>Book writtten by Farrakhan</t>
  </si>
  <si>
    <t>The American's Bulletin</t>
  </si>
  <si>
    <t>https://extremismterms.adl.org/glossary/americans-bulletin</t>
  </si>
  <si>
    <t>Anti-government</t>
  </si>
  <si>
    <t>The American's Bulletin is an influential sovereign citizen publication from the 1990s through the 2020s, published in Oregon by Robert Kelly.</t>
  </si>
  <si>
    <t xml:space="preserve">This term is not in this backgrounder. - EKA </t>
  </si>
  <si>
    <t>The American Futurist</t>
  </si>
  <si>
    <t>https://extremismterms.adl.org/glossary/american-futurist</t>
  </si>
  <si>
    <t>Platforms / Sites, Publications</t>
  </si>
  <si>
    <t>The American Futurist is an online accelerationist media platform run primarily by several former members of Atomwaffen Division, a now-defunct neo-Nazi accelerationist group. The platform was originally founded in 2020 by members of the National Socialist Order (NSO) to spread the message of American neo-Nazi James Mason. Around 2022-2023, the publication broke ties with both Mason and NSO but has continued to promote and spread white supremacist and violent accelerationist ideology through the dissemination of books, articles and other forms of media in line with their worldview. The American Futurist has hosted content produced by known former Atomwaffen Division members, including founding member Brandon Russell, who was arrested in early 2023 for allegedly plotting to attack critical energy infrastructure. The platform provides readers with semi-regular articles, a library of extremist reading material and guides for on-the-ground tactics and ‚Äúactivism.‚Äù</t>
  </si>
  <si>
    <t>This term is mentioned in this backgrounder but there's not nearly as much detail. Not sure how much we care about that. - EKA</t>
  </si>
  <si>
    <t>The Last Rhodesian</t>
  </si>
  <si>
    <t>https://extremismterms.adl.org/glossary/last-rhodesian</t>
  </si>
  <si>
    <t>The Last Rhodesian is the name of the online manifesto written by white supremacist mass murderer Dylann Roof. In the manifesto, Roof cites the white supremacist group Council of Conservative Citizens as having a key role in radicalizing him to white supremacy. Roof posted the manifesto shortly before killing nine African American parishioners at the Mother Emanuel AME Church in Charleston, South Carolina in June 2015.</t>
  </si>
  <si>
    <t>https://www.adl.org/resources/article/hardcore-white-supremacists-elevate-dylann-roof-cult-hero-status</t>
  </si>
  <si>
    <t>This term is not in this article. - EKA                                                                                                  The Last Rhodesian is mentioned in this article: https://www.adl.org/resources/news/council-conservative-citizens-declining-bastion-hate  Marilyn</t>
  </si>
  <si>
    <t>Unz Review, The</t>
  </si>
  <si>
    <t>https://extremismterms.adl.org/glossary/unz-review</t>
  </si>
  <si>
    <t>The Unz Review is an online publication founded by Ron Unz in 2013. It serves as a platform for antisemites and white supremacists to attack Jews and Israel, promote Holocaust denial and spread conspiracy theories.</t>
  </si>
  <si>
    <t>https://www.adl.org/resources/news/ron-unz-controversial-writer-and-funder-anti-israel-activists</t>
  </si>
  <si>
    <t>The Occidental Observer</t>
  </si>
  <si>
    <t>https://extremismterms.adl.org/glossary/occidental-observer</t>
  </si>
  <si>
    <t>Antisemitism, Right-wing, White supremacist</t>
  </si>
  <si>
    <t>Founded in October 2007, The Occidental Observer is an online magazine edited by retired antisemitic professor Kevin MacDonald. The publication focuses on antisemitic theories about Jewish power and control.</t>
  </si>
  <si>
    <t>Global Islamic Media Front</t>
  </si>
  <si>
    <t>https://extremismterms.adl.org/glossary/global-islamic-media-front</t>
  </si>
  <si>
    <t>Platforms / Sites, Groups / Movements</t>
  </si>
  <si>
    <t>The Global Islamic Media Front (GIMF) is a propaganda distribution network associated with Al Qaeda, although it has boosted the propaganda of a number of jihadist groups. It was originally created as a distribution list in June 2001, operated by an Al Qaeda supporter in Canada. It also provides translation services and has even claimed to have created an encryption program for safely storing terrorist propaganda. The GIMF declined in the frequency of its posting after 2015, but has continued to post some propaganda.</t>
  </si>
  <si>
    <t>https://www.adl.org/resources/article/foreign-terror-organizations-respond-us-embassy-relocation-jerusalem</t>
  </si>
  <si>
    <t>terrorist group</t>
  </si>
  <si>
    <t>/pol/</t>
  </si>
  <si>
    <t>https://extremismterms.adl.org/glossary/pol</t>
  </si>
  <si>
    <t>Platforms / Sites</t>
  </si>
  <si>
    <t>/pol/ is another name for the Politically Incorrect board, which is a forum on the 4chan platform that is notorious for extremely high levels of hateful rhetoric, including racism, homophobia, Islamophobia, white supremacy and antisemitism.</t>
  </si>
  <si>
    <t>https://www.adl.org/resources/article/antisemitic-language-surges-4chan-during-israel-hamas-conflict</t>
  </si>
  <si>
    <t>4chan</t>
  </si>
  <si>
    <t>https://extremismterms.adl.org/glossary/4chan</t>
  </si>
  <si>
    <t>4chan is an anonymous imageboard website known for introducing popular memes. It is not an explicitly extremist site, but parts of the forum, especially the /pol/ board, are used for hateful posts that promote racist, white supremacist, antisemitic and misogynistic content.</t>
  </si>
  <si>
    <t>One thing I'm noting is that many of the extremist platform glossary entries (like 8Kun, 4chan) do not really have alternative resources outside the glossary. Linking to these has always been nice in LE Alerts and such to briefly describe what an extremist platform is to an uneducated audience...Perhaps we could do a piece like the Extremist Medicine Cabinet, where we list out some of these sites used by extremist (basically pulling from the glossary) so that we can continue linking out to them?                                                                              I am suggesting this url: https://www.adl.org/resources/report/new-hate-and-old-changing-face-american-white-supremacy  which as a section on Chan culture, including 4Chan. Marilyn</t>
  </si>
  <si>
    <t>8kun</t>
  </si>
  <si>
    <t>https://extremismterms.adl.org/glossary/8kun</t>
  </si>
  <si>
    <t>8kun, previously 8chan, is an online forum platform where many extremists and white supremacists interact. More recently QAnon influencers and followers have also migrated to the platform.</t>
  </si>
  <si>
    <t>One thing I'm noting is that many of the extremist platform glossary entries (like 8Kun, 4chan) do not really have alternative resources outside the glossary. Linking to these has always been nice in LE Alerts and such to briefly describe what an extremist platform is to an uneducated audience...Perhaps we could do a piece like the Extremist Medicine Cabinet, where we list out some of these sites used by extremist (basically pulling from the glossary) so that we can continue linking out to them?                                                                        We have an entire article on 8chan, the predecessor to 8kun. This is the url:https://www.adl.org/resources/article/hatechan-hate-and-violence-filled-legacy-8chan    We may be able to add a line that 8chan became 8kun. Marilyn</t>
  </si>
  <si>
    <t>America First Media</t>
  </si>
  <si>
    <t>https://extremismterms.adl.org/glossary/america-first-media</t>
  </si>
  <si>
    <t>In 2017, white supremacist Nicholas Fuentes began hosting his livestream show "America First" on the America First Media platform. Fuentes uses the platform to support closing the U.S. borders to immigrants, while opposing "liberal" values such as feminism and LGBTQ+ rights, as well as conspiracy theories about the looming "genocide" of the white race and bigoted and antisemitic tropes.</t>
  </si>
  <si>
    <t>https://www.adl.org/resources/article/nicholas-j-fuentes-five-things-know</t>
  </si>
  <si>
    <t>American Renaissance</t>
  </si>
  <si>
    <t>https://extremismterms.adl.org/glossary/american-renaissance</t>
  </si>
  <si>
    <t>American Renaissance is an online white supremacist journal published by the New Century Foundation, which was founded by white supremacist Jared Taylor in 1994. American Renaissance publishes racist content intended to demonstrate the intellectual and cultural "superiority" of whites, and holds regular conferences that attract racists from the U.S. and abroad.</t>
  </si>
  <si>
    <t>https://www.adl.org/resources/news/jared-taylor-academic-racist</t>
  </si>
  <si>
    <t>Christogenea</t>
  </si>
  <si>
    <t>https://extremismterms.adl.org/glossary/christogenea</t>
  </si>
  <si>
    <t>Christogenea is a prominent Christian Identity website, blog and YouTube channel operated by William Finck, a Florida-based Christian Identity preacher. The website name was registered in 2009.</t>
  </si>
  <si>
    <t>Counter-Currents</t>
  </si>
  <si>
    <t>https://extremismterms.adl.org/glossary/counter-currents</t>
  </si>
  <si>
    <t>Counter Currents is a white nationalist website and publishing house founded in 2010 by American white supremacist Greg Johnson. Johnson advocates for a white ethnostate and regularly speaks at white nationalist conferences in Europe.</t>
  </si>
  <si>
    <t>https://www.adl.org/resources/report/hate-beyond-borders-internationalization-white-supremacy</t>
  </si>
  <si>
    <t>Daily Stormer</t>
  </si>
  <si>
    <t>https://extremismterms.adl.org/glossary/daily-stormer</t>
  </si>
  <si>
    <t>The Daily Stormer is a popular neo-Nazi website and message board that is used to promote antisemitism, white supremacy and other offensive content. It is run by Andrew Anglin.</t>
  </si>
  <si>
    <t>https://www.adl.org/resources/news/andrew-anglin-five-things-know</t>
  </si>
  <si>
    <t>Druck18</t>
  </si>
  <si>
    <t>https://extremismterms.adl.org/glossary/druck18</t>
  </si>
  <si>
    <t>Druck18 is a German-based white supremacist merchandising company. "Druck" is German for pressure and the "18" is for the numeric reference to the letters "A" and "H" for Adolf Hitler. The site sells a wide variety of white supremacist merchandise including clothing with modified Nazi insignia and symbols emblazoned on them, Nazi-esque flags, white power music and even white supremacist-labeled beer.</t>
  </si>
  <si>
    <t>https://www.adl.org/resources/blog/white-supremacists-commodify-coronavirus-racism</t>
  </si>
  <si>
    <t>Fascist Forge</t>
  </si>
  <si>
    <t>https://extremismterms.adl.org/glossary/fascist-forge</t>
  </si>
  <si>
    <t>Fascist Forge was an online white supremacist forum which attracted some of the movement"s most extreme adherents. Advertised as a "Home for the 21st Century Fascist," the forum modeled itself after the earlier white supremacist forum, Iron March. The platform attracted disenfranchised, angry members of the white supremacist community and had an international reach. Discussion of violent tactics to bring down the system were common on the forum ranging from advocation of the creation of small terrorist cells to a plethora of how-to guides on guerrilla warfare, including military field and operation manuals, and instructions for building homemade bombs.</t>
  </si>
  <si>
    <t>https://www.adl.org/resources/article/fascist-forge-new-forum-hate</t>
  </si>
  <si>
    <t>Iron March</t>
  </si>
  <si>
    <t>https://extremismterms.adl.org/glossary/iron-march</t>
  </si>
  <si>
    <t>Iron March is a fascist social networking platform founded by Russian nationalist Alisher Mukhitdinov, aka Alexander Slavros. It disbanded in 2017, but was crucial in the creation of Atomwaffen.</t>
  </si>
  <si>
    <t>https://www.adl.org/resources/hate-symbol/atomwaffen-division</t>
  </si>
  <si>
    <t>Although this is briefly mentioned, its somewhat confusing for the redirect to go straight to Atomwaffen. May be worth something of its own. - EKA</t>
  </si>
  <si>
    <t>London Forum</t>
  </si>
  <si>
    <t>https://extremismterms.adl.org/glossary/london-forum</t>
  </si>
  <si>
    <t>The London Forum self-describes as "a forum for Identitarian/Traditionalist/Alt-Right and other interesting speakers." It is a discussion group for far-right activists to discuss antisemitic and racist theories as well as Holocaust denial. Greg Johnson used it as a model to create similar forums in the United States (the New York Forum, the Northwest Forum and the Atlanta Forum).</t>
  </si>
  <si>
    <t>Media2Rise</t>
  </si>
  <si>
    <t>https://extremismterms.adl.org/glossary/media2rise</t>
  </si>
  <si>
    <t>Media2Rise, which is the media production arm of the Rise Above Movement (R.A.M), produces short documentaries on various white supremacist groups, including Patriot Front and the National Justice Party, as well as videos providing advice on how to avoid no-fly lists, tips on graffiti and activism, and directions on how to avoid encounters with law enforcement. The platform, run by R.A.M. leader Robert Rundo, states its goals as "to offer a media outlet that will counter the leftist-controlled media and the narrative that is used to degrade the efforts of nationalist movements and personalities. We wish to give our own people a voice to promote our ideals in a positive and truthful presentation."</t>
  </si>
  <si>
    <t>New Century Foundation</t>
  </si>
  <si>
    <t>https://extremismterms.adl.org/glossary/new-century-foundation</t>
  </si>
  <si>
    <t>Founded in 1994, the New Century Foundation is a self-styled think tank run by Jared Taylor that publishes an online white supremacist journal, American Renaissance (AR), and holds regular conferences that bring together academic racists from the U.S. and abroad. The themes of both the conferences and journal include alleged racial differences in intelligence, the promotion of "white identity" and attacks against multiculturalism and diversity.</t>
  </si>
  <si>
    <t>Occidental Dissent</t>
  </si>
  <si>
    <t>https://extremismterms.adl.org/glossary/occidental-dissent</t>
  </si>
  <si>
    <t>Occidental Dissent is a blog by Hunter Wallace, aka Brad Griffin, that promotes Southern nationalism and white nationalism.</t>
  </si>
  <si>
    <t>Political Cesspool</t>
  </si>
  <si>
    <t>https://extremismterms.adl.org/glossary/political-cesspool</t>
  </si>
  <si>
    <t>The Political Cesspool is a Tennessee-based radio show started in 2004 by white supremacist James Edwards. It features a wide range of far-right extremists, including white supremacists and antisemites.</t>
  </si>
  <si>
    <t>https://www.adl.org/resources/news/following-absence-white-supremacist-show-returns-airwaves</t>
  </si>
  <si>
    <t>Red Elephants</t>
  </si>
  <si>
    <t>https://extremismterms.adl.org/glossary/red-elephants</t>
  </si>
  <si>
    <t>The Red Elephants is a California-based extreme-right "media" entity headed by Vincent James Foxx. The site promotes conspiracy theories, antisemitic beliefs and white supremacist mantras. Beyond the virtual world, those associated with the Red Elephants have participated in right-wing and explicitly white supremacist rallies and demonstrations.</t>
  </si>
  <si>
    <t>https://www.adl.org/resources/blog/despite-youtube-policy-update-anti-semitic-white-supremacist-channels-remain</t>
  </si>
  <si>
    <t>See Note under Vincent James. (MLM)</t>
  </si>
  <si>
    <t>Red Ice TV</t>
  </si>
  <si>
    <t>https://extremismterms.adl.org/glossary/red-ice-tv</t>
  </si>
  <si>
    <t>Red Ice is a Swedish and U.S.-based online media company run by Lana Lokteff and Henrik Palmgren. Its shows celebrate "European identity and culture" and feature numerous white supremacists.</t>
  </si>
  <si>
    <t>Road to Power</t>
  </si>
  <si>
    <t>https://extremismterms.adl.org/glossary/road-power</t>
  </si>
  <si>
    <t>Road to Power is a white supremacist and antisemitic broadcasting outlet that robocalls communities with racist and antisemitic language. It also posts offensive content on online.</t>
  </si>
  <si>
    <t>https://www.adl.org/resources/article/road-power-idaho-outfit-behind-rash-racist-anti-semitic-robocalls</t>
  </si>
  <si>
    <t>Steam</t>
  </si>
  <si>
    <t>https://extremismterms.adl.org/glossary/steam</t>
  </si>
  <si>
    <t>Steam, which launched in 2003 and is owned by Valve, is the largest and most important online store for PC gamers. It gained popularity among white supremacists because of lax user agreements allowing individuals to promote extremism and violence while gaming.</t>
  </si>
  <si>
    <t>https://www.adl.org/resources/report/steam-powered-hate-top-gaming-site-rife-extremism-antisemitism</t>
  </si>
  <si>
    <t>Please link to this COE resource instead, it focuses specifically on extremist activity on Steam: https://www.adl.org/resources/report/steam-powered-hate-top-gaming-site-rife-extremism-antisemitism - EKA</t>
  </si>
  <si>
    <t>mainstream</t>
  </si>
  <si>
    <t>Stormfront</t>
  </si>
  <si>
    <t>https://extremismterms.adl.org/glossary/stormfront</t>
  </si>
  <si>
    <t>Stormfront is the oldest and largest white supremacist website on the Internet, created in 1995 by white supremacist Don Black. Its logo is a widely popular symbol, consisting of a squarish Celtic Cross encircled by the phrase "White Pride World Wide."</t>
  </si>
  <si>
    <t>https://www.adl.org/resources/news/don-blackstormfront</t>
  </si>
  <si>
    <t>We can link to this but the PDF with the full article/report about him is archived. Can we unarchive it? - EKA</t>
  </si>
  <si>
    <t>Telegram</t>
  </si>
  <si>
    <t>https://extremismterms.adl.org/glossary/telegram</t>
  </si>
  <si>
    <t>Telegram is an encrypted social networking app that has become popular among white supremacists and other extremists who have been banned from more popular sites or seek out less content moderation.</t>
  </si>
  <si>
    <t>The Western Chauvinist (Telegram channel)</t>
  </si>
  <si>
    <t>https://extremismterms.adl.org/glossary/western-chauvinist-telegram-channel</t>
  </si>
  <si>
    <t>The Western Chauvinist is a white supremacist Proud Boys offshoot Telegram channel operated by self-described third and fourth degree Proud Boys, which has over 50,000 subscribers. The channel is notable for its overt white supremacist and antisemitic content.</t>
  </si>
  <si>
    <t>Tightrope Records</t>
  </si>
  <si>
    <t>https://extremismterms.adl.org/glossary/tightrope-records</t>
  </si>
  <si>
    <t>Tightrope Records, often simply known as Tightrope, is one of the oldest online purveyors of white power music and merchandise. Run by white supremacist Bryant C. Cecchini (aka Bryant Calvert), the site, which has been active since the early 2000s, offers hundreds of white supremacist-related products for sale, ranging from music, knives and cigarette lighters to jewelry, cards and clothing‚Äîall featuring white supremacist symbols, slogans and images.</t>
  </si>
  <si>
    <t>TOQ Live</t>
  </si>
  <si>
    <t>https://extremismterms.adl.org/glossary/toq-live</t>
  </si>
  <si>
    <t>TOQ Live, formerly called The Occidental Quarterly Live, is a recurring talk show hosted by white supremacists James Edwards and Kevin MacDonald.</t>
  </si>
  <si>
    <t>Vanguard News Network (VNN)</t>
  </si>
  <si>
    <t>https://extremismterms.adl.org/glossary/vanguard-news-network-vnn</t>
  </si>
  <si>
    <t>Vanguard News Network (VNN) is a longstanding white supremacist internet forum founded in the early 2000s by Missouri-based white supremacist Alex Linder.</t>
  </si>
  <si>
    <t>VDARE</t>
  </si>
  <si>
    <t>https://extremismterms.adl.org/glossary/vdare</t>
  </si>
  <si>
    <t>VDARE is a racist and anti-immigrant website run by Peter Brimelow that features many white supremacists.</t>
  </si>
  <si>
    <t>https://www.adl.org/resources/report/extremist-and-hate-groups-may-be-abusing-non-profit-status</t>
  </si>
  <si>
    <t>VKontakte (VK)</t>
  </si>
  <si>
    <t>https://extremismterms.adl.org/glossary/vkontakte-vk</t>
  </si>
  <si>
    <t>VKontakte, also known as VK, is a Russian-based social networking site known for its lack of moderation of extremist content. It is used by many American white supremacists.</t>
  </si>
  <si>
    <t>mainstream use</t>
  </si>
  <si>
    <t>Jihad Watch</t>
  </si>
  <si>
    <t>https://extremismterms.adl.org/glossary/jihad-watch</t>
  </si>
  <si>
    <t>Single-issue, Right-wing</t>
  </si>
  <si>
    <t>Jihad Watch is an online publication which frequently promotes bigoted and conspiratorial anti-Muslim content. It is published by Robert Spencer and affiliated with the David Horowitz Freedom Center.</t>
  </si>
  <si>
    <t>American Free Press</t>
  </si>
  <si>
    <t>https://extremismterms.adl.org/glossary/american-free-press</t>
  </si>
  <si>
    <t>American Free Press is an antisemitic, conspiracy-oriented newspaper created in 2001 by Willis Carto as a replacement for his previous (bankrupted) publication, The Spotlight. Carto, one of America's most prominent white supremacists and antisemites, died in 2015, but AFP remains in publication.</t>
  </si>
  <si>
    <t>This URL exists that mentions American Free Press: https://www.adl.org/resources/press-release/adl-troubled-upcoming-gathering-white-supremacists-and-anti-semites-near from 2013 or this one https://www.adl.org/resources/article/extremism-and-intolerance-are-ballot-2018, which is from 2018 and mentions American Free Press: https://www.adl.org/resources/article/extremism-and-intolerance-are-ballot-2018  Marilyn</t>
  </si>
  <si>
    <t>patriots.win</t>
  </si>
  <si>
    <t>https://extremismterms.adl.org/glossary/patriotswin</t>
  </si>
  <si>
    <t>patriots.win, formerly known as thedonald.win, is a far-right online forum created as a successor to the r/The_Donald subreddit, which was banned from Reddit in June 2020. The site is popular with Trumpist extremists and frequently hosts violent, antisemitic and racist content.</t>
  </si>
  <si>
    <t>Infowars</t>
  </si>
  <si>
    <t>https://extremismterms.adl.org/glossary/infowars</t>
  </si>
  <si>
    <t>Infowars is a website run by Alex Jones that spreads conspiracy theories and far-right views.</t>
  </si>
  <si>
    <t>https://www.adl.org/resources/backgrounder/alex-jones-five-things-know</t>
  </si>
  <si>
    <t>Parler</t>
  </si>
  <si>
    <t>https://extremismterms.adl.org/glossary/parler</t>
  </si>
  <si>
    <t>Parler is an alternative social media site popular among conservatives. While the site itself is not extremist, extremists have joined in large numbers alongside millions of mainstream users, creating the potential for extensive and worrying commingling of extremists and non-extremists.</t>
  </si>
  <si>
    <t>https://www.adl.org/resources/article/parler-users-prepare-site-shutdown-conspiracy-theories-threats</t>
  </si>
  <si>
    <t>Taki's Magazine</t>
  </si>
  <si>
    <t>https://extremismterms.adl.org/glossary/takis-magazine</t>
  </si>
  <si>
    <t>Taki's Magazine is a far-right online magazine published by Taki Theodoracopulos. It has published the writings of white supremacists such as Jared Taylor and Richard Spencer.</t>
  </si>
  <si>
    <t>https://www.adl.org/resources/news/richard-spencer-five-things-know</t>
  </si>
  <si>
    <t>Khattab Media Foundation</t>
  </si>
  <si>
    <t>https://extremismterms.adl.org/glossary/khattab-media-foundation</t>
  </si>
  <si>
    <t>The Khattab Media Foundation is a collection of pro-ISIS websites and social media profiles formed to help Islamist extremists spread propaganda.</t>
  </si>
  <si>
    <t>TruNews</t>
  </si>
  <si>
    <t>https://extremismterms.adl.org/glossary/trunews</t>
  </si>
  <si>
    <t>TruNews is a fundamentalist Christian streaming news and opinion platform founded by Rick Wiles, featuring antisemitic, anti-Zionist, radical Islamophobic, and anti-LGBTQ+ content. Previous names for the platform include America's Hope, American Freedom News and Christian News Channel.</t>
  </si>
  <si>
    <t>https://adl.org/resources/backgrounder/trunews-and-rick-wiles-end-times-anti-semitism-and-anti-zionism</t>
  </si>
  <si>
    <t>Castle Hill Publishers (CHP)</t>
  </si>
  <si>
    <t>https://extremismterms.adl.org/glossary/castle-hill-publishers-chp</t>
  </si>
  <si>
    <t>Castle Hill Publishers is a publishing outlet that was founded by Holocaust denier Germar Rudolf in 1998. It promotes Holocaust denial books, videos and merchandise. It has gone through multiple reorganizations over the years, including partnering with the Committee for Open Debate on the Holocaust (CODOH) since the mid-2010s. CODOH acquired Castle Hill Publishers in 2022.</t>
  </si>
  <si>
    <t xml:space="preserve">part of Holocaust Denial hub's "Who's Who" page that is now filled with broken links. recommended action: add the text descriptions of the people/organizations listed directly to this "Who's Who" page instead of redirecting elsewhere
https://www.adl.org/resources/backgrounder/whos-who-holocaust-denial </t>
  </si>
  <si>
    <t>Nation of Islam Research Group (NOIRG)</t>
  </si>
  <si>
    <t>https://extremismterms.adl.org/glossary/nation-islam-research-group-noirg</t>
  </si>
  <si>
    <t>The Nation of Islam Research Group (NOIRG) serves as NOI's "historical research department" and is a leading source in publishing and promoting the NOI"s virulently antisemitic and conspiratorial beliefs. NOIRG publications include the multi-volume antisemitic text "The Secret Relationship Between Blacks and Jews." The group also promotes its materials online and in articles published in the NOI"s official newspaper, The Final Call.</t>
  </si>
  <si>
    <t>Revisionisthistory.org</t>
  </si>
  <si>
    <t>https://extremismterms.adl.org/glossary/revisionisthistoryorg</t>
  </si>
  <si>
    <t>RevisionistHistory.org serves as a clearinghouse for material published by and about Holocaust denier Michael A. Hoffman II.¬†The website houses Hoffman‚Äôs online bookstore, as well as his Revisionist History newsletter (1995‚Äì2022)¬†and podcast (2022‚Äìpresent).
¬†</t>
  </si>
  <si>
    <t>MyMilitia</t>
  </si>
  <si>
    <t>https://extremismterms.adl.org/glossary/mymilitia</t>
  </si>
  <si>
    <t>MYMilitia is a prominent online hub that is frequented by militia movement supporters across the country. The site serves as a way for militia groups to recruit new members and for adherents to discuss conspiracies, tactical guidance and current events.</t>
  </si>
  <si>
    <t>BitChute</t>
  </si>
  <si>
    <t>https://extremismterms.adl.org/glossary/bitchute</t>
  </si>
  <si>
    <t>BitChute is a video hosting service launched in 2017 by Ray Vahey. Under the guise of anti-censorship and free speech, the platform has become a hotbed for violent, conspiratorial and hate-filled video propaganda that would be removed on most other platforms, and a recruiting ground for extremists across the ideological spectrum.</t>
  </si>
  <si>
    <t>https://www.adl.org/resources/article/bitchute-hotbed-hate</t>
  </si>
  <si>
    <t>platform</t>
  </si>
  <si>
    <t>Yakub</t>
  </si>
  <si>
    <t>https://extremismterms.adl.org/glossary/yakub</t>
  </si>
  <si>
    <t>People, Slogans / Code words</t>
  </si>
  <si>
    <t>Yakub is the name of the evil Black scientist who, according to the Nation of Islam, allegedly created the white race thousands of years ago through a "grafting" process. In his influential 1965 book, "The Message to the Blackman in America," NOI leader Elijah Muhammad explained that Yakub was "born to make trouble, break peace, kill and destroy his own people with a made enemy to the black nation." Reiterating the NOI"s belief in the existence of Yakub during a 2020 speech, NOI leader Louis Farrakhan commented that "when the white man was made, his father was a liar, his father was a murderer, so they are born with lie and murder in their nature."</t>
  </si>
  <si>
    <t>This term is not mentioned in the NOI backgrounder. Not sure how to handle. - EKA</t>
  </si>
  <si>
    <t>Brenton Tarrant</t>
  </si>
  <si>
    <t>https://extremismterms.adl.org/glossary/brenton-tarrant</t>
  </si>
  <si>
    <t>People, Incidents / Events</t>
  </si>
  <si>
    <t>Brenton Tarrant is an Australian white supremacist who killed 51 people in attacks on two mosques in Christchurch, New Zealand in 2019. Tarrant, who was largely motivated by the "Great Replacement Theory," believing that whites are experiencing "genocide" due to changing demographics and increased migration of non-whites to majority-European countries, has inspired extremists in the United States and elsewhere to commit violent attacks.</t>
  </si>
  <si>
    <t>https://www.adl.org/resources/article/white-supremacist-terrorist-attack-mosques-new-zealand</t>
  </si>
  <si>
    <t>Dylann Roof</t>
  </si>
  <si>
    <t>https://extremismterms.adl.org/glossary/dylann-roof</t>
  </si>
  <si>
    <t>Dylann Roof is a white supremacist who killed nine people in a shooting rampage at Emmanuel African Methodist Church in Charleston, South Carolina in 2015. Since the attack, Roof and his bowlcut haircut, have become symbols of hate for white supremacists and bigots who view Roof as a hero for the cause. In August 2021 a federal appeals court upheld Roof's conviction and death sentence for the targeted shooting.</t>
  </si>
  <si>
    <t>https://www.adl.org/resources/hate-symbol/bowlcutdylann-roof</t>
  </si>
  <si>
    <t>on HEAT MAP</t>
  </si>
  <si>
    <t>Nikolas Cruz</t>
  </si>
  <si>
    <t>https://extremismterms.adl.org/glossary/nikolas-cruz</t>
  </si>
  <si>
    <t>Nikolas Cruz is the perpetrator of the Parkland, Florida shooting at Marjory Stoneman Douglas High School, where he was a former student. He killed 17 people and wounded 17 others. Following the shooting it was revealed that Cruz was sympathetic to white supremacist ideology and allegedly made bigoted remarks against African-Americans, the LGBTQ community and Jews, had an interest in Hitler, Nazis and the Ku Klux Klan, was known to use phrases such as "white power" and drew swastikas on his personal belongings. However, his shooting attack does not seem to have been motivated by white supremacy.</t>
  </si>
  <si>
    <t>No affiliated resources (MLM)</t>
  </si>
  <si>
    <t>on heat map</t>
  </si>
  <si>
    <t>Patrick Crusius</t>
  </si>
  <si>
    <t>https://extremismterms.adl.org/glossary/patrick-crusius</t>
  </si>
  <si>
    <t>Patrick Crusius is a white supremacist who allegedly killed 23 people and injured 23 others in the El Paso, Texas Walmart shooting in 2019, saying it was "a response to the Hispanic invasion of Texas." The shooting is the deadliest attack against the Hispanic community in U.S. modern memory. In a manifesto, Crusius made reference to the "great replacement" and expressed support for Brenton Tarrant, the white supremacist who murdered 51 people in Christchurch, New Zealand.</t>
  </si>
  <si>
    <t>https://www.adl.org/resources/article/mass-shooting-el-paso-what-we-know</t>
  </si>
  <si>
    <t xml:space="preserve">never </t>
  </si>
  <si>
    <t>Alek Minassian</t>
  </si>
  <si>
    <t>https://extremismterms.adl.org/glossary/alek-minassian</t>
  </si>
  <si>
    <t>Alek Minassian is a violent incel (Involuntary celibate) who killed ten people and injured sixteen in a vehicular attack in Canada in 2018. Minassian was motivated by embarrassment over sexual rejection and self-identified as an incel. He referenced notorious incel perpetrator Elliot Rodger in a Facebook post just prior to the attack. In 2021 the Ontario Superior Court found Minassian guilty of multiple counts of murder and attempted murder.</t>
  </si>
  <si>
    <t>Payton Gendron</t>
  </si>
  <si>
    <t>https://extremismterms.adl.org/glossary/payton-gendron</t>
  </si>
  <si>
    <t>Payton Gendron is the accused gunman in the Buffalo, NY shooting on May 14, 2022. According to police, Gendron went to a Tops supermarket armed with an AR-15, tactical gear and a body camera to livestream the shooting. Ten people were killed, three were injured. Before the shooting, Gendron allegedly posted a hate-filled screed giving his reasons for the attack. In it, he says he chose that particular supermarket and zip code because he believed a high percentage of Black people live there. He also believed in the antisemitic Great Replacement conspiracy theory, and said he was radicalized by the Christchurch mosque shooter Brenton Tarrant. Gendron has pleaded not guilty to first-degree murder.</t>
  </si>
  <si>
    <t>https://www.adl.org/resources/blog/buffalo-shooters-manifesto-promotes-great-replacement-theory-antisemitism-and-previous-mass-shooters</t>
  </si>
  <si>
    <t>Dzhokhar and Tamerlan Tsarnaev</t>
  </si>
  <si>
    <t>https://extremismterms.adl.org/glossary/dzhokhar-and-tamerlan-tsarnaev</t>
  </si>
  <si>
    <t>Dzhokhar and Tamerlan Tsarnaev were domestic terrorists who committed the Boston Marathon bombing on April 15, 2013. The Kyrgyz-American brothers were radicalized in part by the lectures of Al Qaeda in the Arabian Peninsula's (AQAP) extremist cleric Anwar al-Awlaki. They also used instructions published by AQAP to create the pressure cooker bombs used in the attack. In the subsequent manhunt, Tamerlan was killed while Dzhokhar was able to escape. He was later captured on April 19 and was convicted of 30 counts, including four counts of murder and one count of using and conspiring to use a weapon of mass destruction, on April 8, 2015. He was sentenced to death on June 24, 2015.</t>
  </si>
  <si>
    <t>https://www.adl.org/resources/news/four-lessons-boston-marathon-bombing</t>
  </si>
  <si>
    <t>major extremist incident (on Heat Map)</t>
  </si>
  <si>
    <t>Shoe Bomber, Richard Reid</t>
  </si>
  <si>
    <t>https://extremismterms.adl.org/glossary/shoe-bomber-richard-reid</t>
  </si>
  <si>
    <t>Richard Reid (b. 1973), aka the "Shoe Bomber," is a British terrorist affiliated with Al Qaeda who attempted to bomb American Airlines Flight 63 from Paris, France to Miami, Florida on December 22, 2001. He reportedly trained at an Al Qaeda camp in Afghanistan before attempting the attack. Reid was given modified shoes packed with explosives and planned to detonate them during the flight. However, he drew suspicion quickly due to his disheveled appearance, refusal to answer any questions from airline staff and because he had not packed any luggage for the international flight. He was subdued by other passengers before he could activate the explosives and was arrested at Logan International Airport in Boston, Massachusetts. In January 2003, he was sentenced to three consecutive life sentences without parole.</t>
  </si>
  <si>
    <t>Syed Rizwan Farook and Tashfeen Malik</t>
  </si>
  <si>
    <t>https://extremismterms.adl.org/glossary/syed-rizwan-farook-and-tashfeen-malik</t>
  </si>
  <si>
    <t>Syed Rizwan Farook and Tashfeen Malik are domestic terrorists who committed a mass shooting at the San Bernardino Inland Regional Center on December 2, 2015. The attack killed 14 and injured 22. The husband and wife reportedly spent a year preparing for the attack, including target practice, getting an accomplice to purchase rifles, and leaving their daughter with a relative. Both Farook and Malik were killed in a shootout with police following the attack. Afterwards, ISIS claimed Farook and Malik as "supporters" but did not suggest that the attack had been directed by ISIS leadership.</t>
  </si>
  <si>
    <t>Mentioned here: https://www.adl.org/resources/news/murder-and-extremism-united-states-2015</t>
  </si>
  <si>
    <t>major extremist incident (on HEAT MAP)</t>
  </si>
  <si>
    <t>Steven Carrillo</t>
  </si>
  <si>
    <t>https://extremismterms.adl.org/glossary/steven-carrillo</t>
  </si>
  <si>
    <t>Steven Carrillo allegedly carried out two attacks against security personnel and law enforcement officers in California in May and June 2020, killing two people and injuring three others. According to the FBI, investigators found a ballistic vest with a boogaloo patch in his vehicle, signifying that Carrillo was associated with the boogaloo movement. Prior to his arrest, Carrillo allegedly wrote the word "boog" in blood on the hood of a vehicle he had hijacked. Carrillo has been charged with 19 felonies, including murder and attempted murder.</t>
  </si>
  <si>
    <t>Carillo mentioned quite a bit, but if an SME could take a look at this and make a judgement here pls</t>
  </si>
  <si>
    <t>Person</t>
  </si>
  <si>
    <t>Terry Nichols</t>
  </si>
  <si>
    <t>https://extremismterms.adl.org/glossary/terry-nichols</t>
  </si>
  <si>
    <t>Terry Nichols is an an anti-government extremist who played a key role in helping Timothy McVeigh conduct his terrorist bombing of the Murrah Federal Building in Oklahoma City in April 1995. Nichols was convicted on multiple charges related to the bombing in federal and Oklahoma courts and given life sentences in both (multiple life sentences in the case of Oklahoma).</t>
  </si>
  <si>
    <t>https://www.adl.org/resources/article/twenty-five-years-later-oklahoma-city-bombing-inspires-new-generation-extremists</t>
  </si>
  <si>
    <t xml:space="preserve">Marilyn </t>
  </si>
  <si>
    <t>Steven Anderson</t>
  </si>
  <si>
    <t>https://extremismterms.adl.org/glossary/steven-anderson</t>
  </si>
  <si>
    <t>People, Groups / Movements</t>
  </si>
  <si>
    <t>Steven Anderson is an Arizona-based pastor and founder of the New Independent Fundamental Baptist (New IFB) movement, whose virulently antisemitic, anti-LGBTQ+ sermons have reached millions of people online. Anderson's history of bigotry includes openly calling for the government to kill members of the LGBTQ+ community and promoting Holocaust denial.</t>
  </si>
  <si>
    <t>Charles Weisman</t>
  </si>
  <si>
    <t>https://extremismterms.adl.org/glossary/charles-weisman</t>
  </si>
  <si>
    <t>People</t>
  </si>
  <si>
    <t>White supremacist, Right-wing, Antisemitism, Anti-government</t>
  </si>
  <si>
    <t>From the late 1980s, Charles Weisman ran Weisman Publications, a Minnesota-based publisher whose publications focused on Christian Identity theology and sovereign citizen doctrine. He died in 2016.</t>
  </si>
  <si>
    <t>This person is not mentioned in the resource</t>
  </si>
  <si>
    <t>Alex Linder</t>
  </si>
  <si>
    <t>https://extremismterms.adl.org/glossary/alex-linder</t>
  </si>
  <si>
    <t>Alex Linder is a Missouri-based neo-Nazi who runs Vanguard News Network (VNN), an antisemitic and white supremacist website and forum.</t>
  </si>
  <si>
    <t>https://www.adl.org/resources/article/new-trolling-efforts-target-jews-appearance-attempt-sow-political-division</t>
  </si>
  <si>
    <t>Anders Behring Breivik</t>
  </si>
  <si>
    <t>https://extremismterms.adl.org/glossary/anders-behring-breivik</t>
  </si>
  <si>
    <t>White supremacist Anders Behring Breivik, who later changed his name to Fjotolf Hansen, killed 77 people in bombing and shooting attacks in Norway in 2011, after leaving a hateful manifesto about immigrants and Muslims. Breivik has been lionized by white supremacists, with some depicting him as a saint or a hero. Others use terms such as "going Breivik" or "going full Brevik." Breivik was also an influence on Australian white supremacist terrorist Brenton Tarrant.</t>
  </si>
  <si>
    <t>Andrew Anglin</t>
  </si>
  <si>
    <t>https://extremismterms.adl.org/glossary/andrew-anglin</t>
  </si>
  <si>
    <t>Andrew Anglin is a white supremacist and antisemite who runs the neo-Nazi website, The Daily Stormer. Anglin got his start in the white supremacist world as a 9/11 'truther' and launched The Daily Stormer in 2013. The site features content that is explicitly and virulently racist, antisemitic, misogynistic, anti-LGBTQ+ and conspiratorial..</t>
  </si>
  <si>
    <t>/resources/backgrounder/764</t>
  </si>
  <si>
    <t>Anton Long</t>
  </si>
  <si>
    <t>https://extremismterms.adl.org/glossary/anton-long</t>
  </si>
  <si>
    <t>Anton Long is a notorious British neo-Nazi spiritual leader of the Order of Nine Angles, a satanic group based in England with adherents worldwide. Long authored Hostia: Secret Teachings of the Order of Nine Angles, which instructs new followers to infiltrate government organizations and commit violence. His real name is believed to be David Myatt.</t>
  </si>
  <si>
    <t>Arseniy Bilodub</t>
  </si>
  <si>
    <t>https://extremismterms.adl.org/glossary/arseniy-bilodub</t>
  </si>
  <si>
    <t>Arseniy Bilodub is a Ukrainian neo-Nazi who owns Svastone, a far-right fashion label. He also leads the band Sokyra Peruna ("Perun's Ax"), which has performed at concerts in Ukraine featuring white power bands and attracting hundreds of neo-Nazis from throughout Europe.</t>
  </si>
  <si>
    <t>Arthur Jones</t>
  </si>
  <si>
    <t>https://extremismterms.adl.org/glossary/arthur-jones</t>
  </si>
  <si>
    <t>Arthur Jones is an Illinois-based neo-Nazi and Holocaust denier who has repeatedly and unsuccessfully run for elected office since the 1970s, including for an Illinois House seat in 2018. His campaign website for his House run included a ‚ÄúHolocaust Racket‚Äù diatribe in which he blamed ‚ÄúOrganized World Jewry‚Äù for perpetrating ‚Äúthe biggest, blackest lie in history.‚Äù Jones frequently attends events organized by the National Socialist Movement (NSM), a neo-Nazi organization. In 2009, alongside NSM and the Illinois National Socialist Front, Jones protested the opening of the Illinois Holocaust Museum. ¬†¬†In his words:¬†¬†‚Äú[The Holocaust is] nothing more than an international extortion racket by the Jews.‚Äù ¬†</t>
  </si>
  <si>
    <t>https://www.adl.org/resources/news/arthur-jones</t>
  </si>
  <si>
    <t>Just noting that this person's head is cut off in the main pic. May want to replace.</t>
  </si>
  <si>
    <t>Benjamin Daley</t>
  </si>
  <si>
    <t>https://extremismterms.adl.org/glossary/benjamin-daley</t>
  </si>
  <si>
    <t>Benjamin Daley is the co-founder of white supremacist group Rise Above Movement (R.A.M.). He features prominently in the group"s recruitment videos. In July 2019, Daley was sentenced to 37 months in prison for violence he committed as part of a conspiracy to riot, for his role at the August 2017 "Unite the Right" rally in Charlottesville, Virginia.</t>
  </si>
  <si>
    <t>Benjamin Matthew Williams</t>
  </si>
  <si>
    <t>https://extremismterms.adl.org/glossary/benjamin-matthew-williams</t>
  </si>
  <si>
    <t>Benjamin Matthew Williams is a white supremacist who set fire to three California synagogues in 2001 with his brother, James Tyler Williams. They also killed a gay couple from Redding, California, in 1999.</t>
  </si>
  <si>
    <t>Benjamin Smith</t>
  </si>
  <si>
    <t>https://extremismterms.adl.org/glossary/benjamin-smith</t>
  </si>
  <si>
    <t>Benjamin Smith was a white supremacist who committed a racially motivated shooting spree in Indiana and Illinois in 1999. He killed two people and seriously injured eight others, including six Jews leaving synagogue services. He was a member of the Creativity Movement. Smith took his own life after a high-speed chase with law enforcement.</t>
  </si>
  <si>
    <t>Billy Roper</t>
  </si>
  <si>
    <t>https://extremismterms.adl.org/glossary/billy-roper</t>
  </si>
  <si>
    <t>Billy Roper is a long-time leader in the white supremacist movement. He currently leads the Shield Wall Network, a tiny Arkansas-based neo-Nazi group. Roper got his start with William Pierce and the National Alliance. After Pierce's death in 2002, Roper left the National Alliance and formed White Revolution, which he shut down in 2011.</t>
  </si>
  <si>
    <t>https://www.adl.org/resources/backgrounder/shield-wall-network-swn</t>
  </si>
  <si>
    <t>he is in the backgrounder</t>
  </si>
  <si>
    <t>Brandon Russell</t>
  </si>
  <si>
    <t>https://extremismterms.adl.org/glossary/brandon-russell</t>
  </si>
  <si>
    <t>Brandon Russell is a founding member of the neo-Nazi group Atomwaffen. Russell was arrested after officers found explosives in his apartment while investigating the death of two of his roommates at the hands of a fourth roommate. Prosecutors claimed that Russell planned to use the explosives to attack civilians, nuclear facilities and synagogues. He pleaded guilty in January 2018 to possessing an unregistered destructive device and unlawful storage of explosive materials. In August 2021, he was released from prison.</t>
  </si>
  <si>
    <t>Brien James</t>
  </si>
  <si>
    <t>https://extremismterms.adl.org/glossary/brien-james</t>
  </si>
  <si>
    <t>Brien James is one of the founding members of violent, racist skinhead crew Vinlanders Social Club. He co-founded the extreme right-wing group, American Guard and led the Indiana chapter of the Proud Boys. The Proud Boys have since denounced James, and claim that he is banned from ever re-joining the group.</t>
  </si>
  <si>
    <t>https://www.adl.org/resources/article/behind-american-guard-hardcore-white-supremacists</t>
  </si>
  <si>
    <t>Brittany Pettibone</t>
  </si>
  <si>
    <t>https://extremismterms.adl.org/glossary/brittany-pettibone</t>
  </si>
  <si>
    <t>Brittany Pettibone is an American alt right figure and podcaster with ties to others in the movement. She is married to Martin Sellner, who is a leader of the Identitarian movement, a right-wing extremist group in Austria and Germany.</t>
  </si>
  <si>
    <t>Burt Colucci</t>
  </si>
  <si>
    <t>https://extremismterms.adl.org/glossary/burt-colucci</t>
  </si>
  <si>
    <t>Burt Colucci is a Florida-based neo-Nazi who took over the leadership of the National Socialist Movement when the group's longtime leader Jeff Schoep left the movement in 2019.</t>
  </si>
  <si>
    <t>https://www.adl.org/resources/backgrounder/national-socialist-movement</t>
  </si>
  <si>
    <t>in NSM backgrounder</t>
  </si>
  <si>
    <t>Catboy Kami</t>
  </si>
  <si>
    <t>https://extremismterms.adl.org/glossary/catboy-kami</t>
  </si>
  <si>
    <t>Catboy Kami is the online pseudonym of Tor Gustafsson Brookes, is an Australian white supremacist internet troll. He is also known as Philip Hedley.</t>
  </si>
  <si>
    <t>Christoffer Dulny</t>
  </si>
  <si>
    <t>https://extremismterms.adl.org/glossary/christoffer-dulny</t>
  </si>
  <si>
    <t>Christoffer Dulny is head of Nordic Alt Right, a website and hub for the Swedish alt right. He was banned from returning to the United States after attending Unite the Right.</t>
  </si>
  <si>
    <t>Christopher Cantwell</t>
  </si>
  <si>
    <t>https://extremismterms.adl.org/glossary/christopher-cantwell</t>
  </si>
  <si>
    <t>Christopher Cantwell runs "Radical Agenda," a racist, "pro-European," white supremacist internet radio show, but is most well known for being an organizer and participant in the 2017 Unite the Right white supremacist rally in Charlottesville, Virginia. Cantwell is also known for crying on video after learning there was a warrant for his arrest, an act that earned him the sobriquet "the crying Nazi." Cantwell has stated his desire to establish an ethno state free of Jews and non-white immigrants.</t>
  </si>
  <si>
    <t>Cliff Herrington</t>
  </si>
  <si>
    <t>https://extremismterms.adl.org/glossary/cliff-herrington</t>
  </si>
  <si>
    <t>Neo-Nazi Cliff Herrington, a former associate of George Lincoln Rockwell, was a founding member of the National Socialist American Workers Freedom Movement, which became the National Socialist Movement.</t>
  </si>
  <si>
    <t>Colin Jordan</t>
  </si>
  <si>
    <t>https://extremismterms.adl.org/glossary/colin-jordan</t>
  </si>
  <si>
    <t>Colin Jordan (1923-2009) was a British neo-Nazi and founder of the British Movement (originally called the National Socialist Movement - should not to be confused with the American group of the same name). He entered the Cotswold Declaration with George Lincoln Rockwell in 1962.</t>
  </si>
  <si>
    <t>Colton Williams</t>
  </si>
  <si>
    <t>https://extremismterms.adl.org/glossary/colton-williams</t>
  </si>
  <si>
    <t>Colton Williams was a neo-Nazi and the leader of the Legion of St. Ambrose and former member of the Traditionalist Worker Party. Williams participated in white supremacist rallies between 2017 and 2019 including the "Unite the Right" rally in Charlottesville, Virginia.</t>
  </si>
  <si>
    <t>Conor Climo</t>
  </si>
  <si>
    <t>https://extremismterms.adl.org/glossary/conor-climo</t>
  </si>
  <si>
    <t>Conor Climo is a Nevada-based white supremacist who was arrested in 2019 for plotting an attack against Jews and the LGBTQ+ community in Las Vegas. Climo had ties to a number of white supremacist groups and online communities, including the neo-Nazi Feuerkrieg Division. Climo pleaded guilty in 2020 to weapons charges in connection with his plot.</t>
  </si>
  <si>
    <t>https://www.adl.org/resources/article/fbi-arrests-white-supremacist-conor-climo-who-reportedly-targeted-jews-lgbtq</t>
  </si>
  <si>
    <t>Corneliu Zelea Codreanu</t>
  </si>
  <si>
    <t>https://extremismterms.adl.org/glossary/corneliu-zelea-codreanu</t>
  </si>
  <si>
    <t>Corneliu Zelea Codreanu was a Romanian fascist leader in the 1930s who founded the Iron Guard and advocated for the elimination of Jews from Romania. He was killed in 1938. Some American white supremacist groups, such as the Legion of Saint Ambrose, have been influenced by Codreanu and his Iron Guard.</t>
  </si>
  <si>
    <t>https://www.adl.org/resources/backgrounder/legion-saint-ambrose-losa</t>
  </si>
  <si>
    <t>Daniel Friberg</t>
  </si>
  <si>
    <t>https://extremismterms.adl.org/glossary/daniel-friberg</t>
  </si>
  <si>
    <t>Friberg is a Swedish white supremacist who is co-founder of Arktos Media, a publisher of white nationalists and far-right figures. He has ties to American white supremacists, including Richard Spencer, Jason Reza Jorjani and Tom Sunic.</t>
  </si>
  <si>
    <t>David Duke</t>
  </si>
  <si>
    <t>https://extremismterms.adl.org/glossary/david-duke</t>
  </si>
  <si>
    <t>David Duke is a white supremacist and antisemite who has been actively spreading hate for over 40 years, including Holocaust denial. Duke is a founder of the Knights of the Ku Klux Klan and was instrumental in the Klan resurgence of the 1970s. He is most well known for having been elected to a single term as state representative in Louisiana in 1989, and for unsuccessful election campaigns for U.S. Senate in 1990 and governor of Louisiana in 1991. ¬†Duke has spread antisemitic, racist and bigoted commentary and conspiracy theories for decades. In December 2006, Duke attended a conference dedicated to Holocaust denial in Tehran, Iran. During his remarks, titled ‚ÄúA Holocaust Enquiry,‚Äù he asserted that ‚ÄúZionists‚Äù control and manipulate governments, politics and media in the Western world and claimed that the repeated media references to the event as a "Holocaust denial conference" demonstrated this "Zionist control" of the media. He has also consistently accused Jews of controlling the media, U.S. politics, banking and other entities, in addition to repeating baseless claims that Jews are responsible for such events as the 9/11 terrorist attacks, the coronavirus pandemic and global wars. ¬†In his words:¬†¬†‚ÄúThe Holocaust is the device used as the pillar of Zionist imperialism, Zionist aggression, Zionist terror and Zionist murder.‚Äù - Remarks at the 2006 Holocaust denial conference in Iran.¬†"Obviously, Jews gain certain advantages by promoting the Holocaust idea. It inspires tremendous financial aid for Israel. It makes organized Jewry almost immune from criticism. Whether the Holocaust is real or not, the Jews clearly have a motive for fostering the idea that it occurred. Not only do they have a motive, but they have the means with the media domination they now hold.‚Äù - Hustler Magazine, September 1982¬†"Let's put it this way. I question whether 6 million Jews actually died in Nazi death camps. There are two major sources for Holocaust stories. One is the Nuremburg war-crimes trial, which has been shown by all honest historians to be a farce of justice. Another source is the great body of literature and media work, and at least 90% of that material is from biased Jewish sources." ¬†- Hustler Magazine, September 1982 ¬†</t>
  </si>
  <si>
    <t>David J. Miner</t>
  </si>
  <si>
    <t>https://extremismterms.adl.org/glossary/david-j-miner</t>
  </si>
  <si>
    <t>In 2018, David J. Miner founded the Phoenix-based Church of Jesus Christ Christian-Aryan Nations, a faction of Aryans Nations, a longstanding neo-Nazi group in the U.S. that dates back to the 1970's.</t>
  </si>
  <si>
    <t>David Lane</t>
  </si>
  <si>
    <t>https://extremismterms.adl.org/glossary/david-lane</t>
  </si>
  <si>
    <t>David Lane was a white supremacist who was part of the terrorist group, The Order, and coined the 14 words. He popularized the concept of white genocide and argued that "the term 'racial integration' is a euphemism for genocide." Lane died in federal prison in 2007 while serving a more than 150-year-sentence for his role in a 1980s terror spree which included the murder of Jewish talkshow host, Alan Berg, and other conspiracy and racketering charges.</t>
  </si>
  <si>
    <t>Denis Kapustin</t>
  </si>
  <si>
    <t>https://extremismterms.adl.org/glossary/denis-kapustin</t>
  </si>
  <si>
    <t>Denis Kapustin (also known as Denis Nikitin) is a Russian neo-Nazi who lived in Germany for many years. He has been involved in the Mixed Martial Arts (MMA ) scene in Europe and has trained young members of the far-right National Democratic Party of Germany and others to fight. He also has ties to Azov, the Ukrainian extremist group. Since January 2021, Kapustin has co-hosted a podcast with Rise Above Movement leader Robert Rundo called Active Club Podcast.</t>
  </si>
  <si>
    <t>Don Black</t>
  </si>
  <si>
    <t>https://extremismterms.adl.org/glossary/don-black</t>
  </si>
  <si>
    <t>Don Black is a former Ku Klux Klan leader who in 1995 created Stormfront, the oldest and longest-running white supremacist website. In 1981, Black was arrested by the FBI in connection with a plot to overthrow the government of the tiny Caribbean Island of Dominica. Black received a three-year prison sentence for Neutrality Act violations.</t>
  </si>
  <si>
    <t>Eli James</t>
  </si>
  <si>
    <t>https://extremismterms.adl.org/glossary/eli-james</t>
  </si>
  <si>
    <t>Eli James is an Illinois-based Christian Identity preacher who shares his antisemitic teachings online and as a speaker at white supremacist events.</t>
  </si>
  <si>
    <t>Eli James in not mentioned in the listed Christian Identity Movement resource.</t>
  </si>
  <si>
    <t>Elliot Kline</t>
  </si>
  <si>
    <t>https://extremismterms.adl.org/glossary/elliot-kline</t>
  </si>
  <si>
    <t>Elliot Kline, also known as Eli Mosley, was one of the organizers of the August 2017 "Unite the Right" (UTR) rally in Charlottesville, Virginia. After UTR, he briefly led the white supremacist group Identity Evropa before creating a new white supremacist organization called Operation Homeland with Richard Spencer. Kline vanished from the white supremacist scene in February 2018 after a New York Times documentary revealed he had lied to his followers about being an Iraq war veteran.</t>
  </si>
  <si>
    <t>https://www.adl.org/resources/article/two-years-ago-they-marched-charlottesville-where-are-they-now</t>
  </si>
  <si>
    <t>Faith Goldy</t>
  </si>
  <si>
    <t>https://extremismterms.adl.org/glossary/faith-goldy</t>
  </si>
  <si>
    <t>Faith Goldy, also known as Faith Goldy-Bazos, is a Canadian white supremacist who has worked for right-wing Canadian media outlets including Sun News
 Network and Rebel Media. She has also worked as a reporter for the American anti-immigrant website VDare. Goldy has promoted the "white genocide" narrative, recited the white supremacist "14 words" on an alt-right podcast and appeared on a podcast from The Daily Stormer, a site run by neo-Nazi Andrew Anglin. In August 2017, Goldy attended the Unite the Right rally in Charlottesville, Virginia, and publicly sympathized with the white supremacist marchers, claiming that the events in Charlottesville pointed to a "rising white racial consciousness" that she asserted would transform the American political landscape.</t>
  </si>
  <si>
    <t>Frazier Glenn Miller</t>
  </si>
  <si>
    <t>https://extremismterms.adl.org/glossary/frazier-glenn-miller</t>
  </si>
  <si>
    <t>Frazier Glenn Miller (1940-2021) was a long-time, virulent white supremacist and former Ku Klux Klan leader. Miller killed three people at a Jewish community center and Jewish senior home in Overland Park, Kansas on April 13, 2014. Miller's bigotry is well recorded and includes neo-Nazi and Ku Klux Klan ideologies, antisemitism, racism and admiration for violent perpetrators who target Jews or other communities.</t>
  </si>
  <si>
    <t>https://www.adl.org/resources/news/frazier-glenn-millers-violent-comeback</t>
  </si>
  <si>
    <t>Gary "Gerhard" Lauck</t>
  </si>
  <si>
    <t>https://extremismterms.adl.org/glossary/gary-gerhard-lauck</t>
  </si>
  <si>
    <t>Gary "Gerhard" Lauck is a neo-Nazi from Nebraska, referred to by the media as the "Farm Belt Fuhrer," who ran an organization known by its German name, National Sozialistische Deutsche Arbeiter Partei (NSDAP-AO) or the National Socialist German Workers Party, which at one time was the largest distributor of neo-Nazi propaganda in Germany. Lauck spent time in prison in Germany for distributing neo-Nazi literature, which is a crime there.</t>
  </si>
  <si>
    <t>Gerd Honsik</t>
  </si>
  <si>
    <t>https://extremismterms.adl.org/glossary/gerd-honsik</t>
  </si>
  <si>
    <t>Gerd Honsik (1894-1972) was an Austrian neo-Nazi and Holocaust denier who originated an antisemitic conspiracy theory known as the "Kalergi plan," which claims that Jews are responsible for white genocide and mass immigration into Europe. "Kalergi" refers to Richard Nikolaus Graf von Coudenhove-Kalergi, an Austrian philosopher and politician of mixed European and Japanese background who believed that racial integration was a critical part of Europe's future. American white supremacists often reference the Kalergi plan as evidence of white genocide.</t>
  </si>
  <si>
    <t>Greg Johnson</t>
  </si>
  <si>
    <t>https://extremismterms.adl.org/glossary/greg-johnson</t>
  </si>
  <si>
    <t>Greg Johnson is the head of Counter-Currents, a white supremacist online journal and publishing house. Johnson also hosts a number of speaking forums and is well connected to white supremacists in Europe, where he often attends white nationalist conferences.</t>
  </si>
  <si>
    <t>Guillaume Faye</t>
  </si>
  <si>
    <t>https://extremismterms.adl.org/glossary/guillaume-faye</t>
  </si>
  <si>
    <t>Guillaume Faye was a French philosopher who promoted a racially homogenous union of European countries and Russia to protect white Europeans. He also believed a racial civil war in Europe was imminent. He influenced a number of American white supremacists, including Jared Taylor.</t>
  </si>
  <si>
    <t>Harold "Hardy" Carroll Lloyd</t>
  </si>
  <si>
    <t>https://extremismterms.adl.org/glossary/harold-hardy-carroll-lloyd</t>
  </si>
  <si>
    <t>Harold "Hardy" Carroll Lloyd is a Pittsburgh, Pennsylvania-based white supremacist who leads "Church of Ben Klassen," a faction of The Creativity Movement. Lloyd has a long criminal history and has been incarcerated for a variety of crimes including illegal weapons possession, probation violations and harassment.</t>
  </si>
  <si>
    <t>Henrik Palmgren</t>
  </si>
  <si>
    <t>https://extremismterms.adl.org/glossary/henrik-palmgren</t>
  </si>
  <si>
    <t>Henrik Palgren is a Swedish white supremacist who runs Red Ice TV, a media site, with his wife, Lana Lokteff, an American white supremacist. It broadcasts white nationalist, racist, antisemitic, and far-right content, including Holocaust denial, the "white genocide" conspiracy theory, and sympathetic coverage of neo-Nazi movements and organizations.</t>
  </si>
  <si>
    <t>Hunter Wallace</t>
  </si>
  <si>
    <t>https://extremismterms.adl.org/glossary/hunter-wallace</t>
  </si>
  <si>
    <t>Hunter Wallace, also known as Brad Griffin, is a white supremacist and creator of the online journal Occidental Dissent. He has been active in League of the South and Council of Conservative Citizens.</t>
  </si>
  <si>
    <t>Ian Stuart Donaldson</t>
  </si>
  <si>
    <t>https://extremismterms.adl.org/glossary/ian-stuart-donaldson</t>
  </si>
  <si>
    <t>Ian Stuart Donaldson (sometime abbreviated to ISD) was a British white supremacist and lead singer of Screwdriver, a prominent white power music band. Donaldson died in an automobile accident in 1993 but became an international white supremacist icon. Donald was also the founder of Blood &amp; Honour, an international racist skinhead organization.</t>
  </si>
  <si>
    <t>https://www.adl.org/resources/hate-symbol/skrewdriver</t>
  </si>
  <si>
    <t>Ian Stuart Donaldson is mentioned very briefly here; I approved the link anyway but just fyi</t>
  </si>
  <si>
    <t>Jacob Robida</t>
  </si>
  <si>
    <t>https://extremismterms.adl.org/glossary/jacob-robida</t>
  </si>
  <si>
    <t>Jacob Robida was a white supremaicst from New Bedford, Massachusetts. In 2006, Robida attacked patrons at a local gay bar with a hatchet and pistol then fled to West Virginia to pick up a female acquaintance. While driving through Arkansas, the two were pulled over by local police where Robida shot and killed an officer. Leading police on a high-speed chase, Robida engaged in a firefight with law enforcement before murdering the West Viginia woman and subsequently being shot and killed by police.</t>
  </si>
  <si>
    <t>https://www.adl.org/resources/news/white-supremacist-shooting-spree-leaves-bloody-trail-massachusetts</t>
  </si>
  <si>
    <t>Do we have an actual article about this person/incident? The incident in the suggested redirect is entirely different, but at the bottom we mention this person because it was similar and happened three years prior. - EKA</t>
  </si>
  <si>
    <t xml:space="preserve">major extremist event (HEAT MAP?) </t>
  </si>
  <si>
    <t>James Alex Fields Jr.</t>
  </si>
  <si>
    <t>https://extremismterms.adl.org/glossary/james-alex-fields-jr</t>
  </si>
  <si>
    <t>James Alex Fields Jr. is a convicted murderer and white supremacist from Ohio who drove his vehicle into protesters of the "Unite the Right" rally in Charlottesville, Virginia, on August 12, 2017. Fields was charged with first-degree murder and other crimes for deliberately ramming his car into the crowd, injuring 19 people and killing one, Heather Heyer.</t>
  </si>
  <si>
    <t>https://www.adl.org/resources/report/new-hate-and-old-changing-face-american-white-supremacy</t>
  </si>
  <si>
    <t>https://www.adl.org/resources/article/violence-and-hate-unite-right</t>
  </si>
  <si>
    <t>James Edwards</t>
  </si>
  <si>
    <t>https://extremismterms.adl.org/glossary/james-edwards</t>
  </si>
  <si>
    <t>James Edwards founded "The Political Cesspool," a Tennessee-based radio show that features a wide range of far-right extremists, including white supremacists and antisemites, in 2004. Edwards also co-hosts "The Occidental Quarterly (TOQ) Live," and is associated with the American Freedom Party and the Council of Conservative Citizens.</t>
  </si>
  <si>
    <t>This resource only talks about one of his shows, and not the other. - EKA</t>
  </si>
  <si>
    <t>James Harris Jackson</t>
  </si>
  <si>
    <t>https://extremismterms.adl.org/glossary/james-harris-jackson</t>
  </si>
  <si>
    <t>James Harris Jackson is a Maryland white supremacist who traveled to New York City in 2017 to attack and kill African-American men; he killed one man before surrendering to police. After his arrest, Jackson told police that the murder was a "declaration of global war on the Negro race" and that he hoped his act would provoke a race war. He pled guilty and was sentenced to life in prison without parole in 2019.</t>
  </si>
  <si>
    <t>James Mason</t>
  </si>
  <si>
    <t>https://extremismterms.adl.org/glossary/james-mason</t>
  </si>
  <si>
    <t>James Mason is a Denver-based neo-Nazi and former American Nazi Party member who published Siege in 1992, a compilation of essays he wrote in the 1990's for the eponymous newsletter of the Nationalist Socialist Liberation Front. In 2015, member of the neo-Nazi Atomwaffen republished Siege and adopted the philosophy of accelerationism whichthe book helped to define.</t>
  </si>
  <si>
    <t>James von Brunn</t>
  </si>
  <si>
    <t>https://extremismterms.adl.org/glossary/james-von-brunn</t>
  </si>
  <si>
    <t>James von Brunn (1920-2010) was a longtime neo-Nazi and white supremacist who went on a shooting spree in 2009 at the U.S. Holocaust Memorial Museum in Washington, D.C. Von Brunn shot and killed one security guard at the museum before he was shot and wounded by another officer. Von Brunn died in 2010 while awaiting trial.</t>
  </si>
  <si>
    <t>https://www.adl.org/resources/news/selected-incidents-lone-wolf-violence-and-terrorism-us</t>
  </si>
  <si>
    <t>Jared Taylor</t>
  </si>
  <si>
    <t>https://extremismterms.adl.org/glossary/jared-taylor</t>
  </si>
  <si>
    <t>Jared Taylor is the founder of The New Century Foundation, a self-styled think tank that publishes the online white supremacist journal American Renaissance (AR). The group holds regular conferences that bring together academic racists from the U.S and abroad. The themes of both his conferences and journal include alleged racial differences in intelligence, the promotion of "white identity," and attacks against multiculturalism and diversity.</t>
  </si>
  <si>
    <t>Jason J. Brown</t>
  </si>
  <si>
    <t>https://extremismterms.adl.org/glossary/jason-j-brown</t>
  </si>
  <si>
    <t>Jason J. Brown is a Florida-based neo-Nazi who is currently active with¬†Order of the Black Sun¬†(OBS). Prior to joining OBS, Brown had been active with a number of extremist groups and networks including the¬†Goyim Defense League,¬†National Socialist Movement,¬†White Lives Matter Movement¬†and the¬†New Jersey European Heritage Association.</t>
  </si>
  <si>
    <t>Jason Kessler</t>
  </si>
  <si>
    <t>https://extremismterms.adl.org/glossary/jason-kessler</t>
  </si>
  <si>
    <t>Jason Kessler is a white supremacist and former Proud Boy who was the primary organizer of the 2017 Unite the Right Rally in Charlottesville, VA.</t>
  </si>
  <si>
    <t>Jean-Fran√ßois Gari√©py</t>
  </si>
  <si>
    <t>https://extremismterms.adl.org/glossary/jean-francois-gariepy-0</t>
  </si>
  <si>
    <t>Jean-Fran√ßois Gari√©py is a French-Canadian white supremacist writer and commentator. He has hosted several shows on YouTube including "JFG Tonight","The Public Space" and "Warski Live" where he discussed scientific racism, ideas of white superiority and the need for white ethnostates.</t>
  </si>
  <si>
    <t>https://extremismterms.adl.org/glossary/jean-francois-gariepy</t>
  </si>
  <si>
    <t>Jeff Schoep</t>
  </si>
  <si>
    <t>https://extremismterms.adl.org/glossary/jeff-schoep</t>
  </si>
  <si>
    <t>Jeff Schoep was a prominent white supremacist who led the neo-Nazi National Socialist Movement (NSM) from 1994 until 2019, when he faced embarrassment after being convinced to turn over formal control of the group to a Black man. Schoep resigned from the NSM and was replaced by Burt Colucci.</t>
  </si>
  <si>
    <t>John Earnest</t>
  </si>
  <si>
    <t>https://extremismterms.adl.org/glossary/john-earnest</t>
  </si>
  <si>
    <t>John Earnest is a white supremacist who killed one person and injured three others after shooting inside a Chabad in Poway, California in 2019. Prior to the attack he posted an online manifesto in which he repeated a laundry list of anti-Semitic conspiracy theories, including the longstanding white supremacist assertion that Jews are responsible for non-white immigration, which "threatens" the white race. Earnest claimed in the manifesto that he had set fire to a mosque in Escondido several weeks before the attack on the synagogue. In September 2021, Earnest was sentenced to life in prison without the possibility of parole.</t>
  </si>
  <si>
    <t>https://www.adl.org/resources/article/deadly-shooting-california-chabad-highlights-threat-jewish-houses-worship</t>
  </si>
  <si>
    <t>John Kopko</t>
  </si>
  <si>
    <t>https://extremismterms.adl.org/glossary/john-kopko</t>
  </si>
  <si>
    <t>John Kopko is a longtime racist skinhead who formed the Florida-based United Skinhead Nation. He formed the small racist skinhead crew in mid-2018 after leaving the Hammerskins. See also: Hammerskins and United Skinhead Nation</t>
  </si>
  <si>
    <t>https://www.adl.org/resources/report/hate-sunshine-state-extremism-antisemitism-florida-2020-2022</t>
  </si>
  <si>
    <t>John Morgan</t>
  </si>
  <si>
    <t>https://extremismterms.adl.org/glossary/john-morgan</t>
  </si>
  <si>
    <t>John Morgan is a white supremacist writer and editor who has worked for Arktos and Counter Currents.</t>
  </si>
  <si>
    <t>https://www.adl.org/resources/article/virginia-man-links-neo-nazis-arrested-international-swatting-case</t>
  </si>
  <si>
    <t>John Tanton</t>
  </si>
  <si>
    <t>https://extremismterms.adl.org/glossary/john-tanton</t>
  </si>
  <si>
    <t>John Tanton (1934-2019) was an ophthalmologist in Michigan, but also the architect behind the modern anti-immigrant movement. Tanton founded, or was the head of, a variety of anti-immigrant groups and organizations, some of which have had considerable influence. He was also involved with racist and white supremacist activities, including starting the white supremacist Social Contract Press and founding the Society for Genetics Education, a eugenics group.</t>
  </si>
  <si>
    <t>https://www.adl.org/resources/news/ties-between-anti-immigrant-movement-and-eugenics#.Ug01XT-p3x4</t>
  </si>
  <si>
    <t>https://www.adl.org/resources/news/ties-between-anti-immigrant-movement-and-eugenics</t>
  </si>
  <si>
    <t>John William Kirby Kelley</t>
  </si>
  <si>
    <t>https://extremismterms.adl.org/glossary/john-william-kirby-kelley</t>
  </si>
  <si>
    <t>John William Kirby Kelley, a white supremacist based in Virginia, was sentenced to 33 months in prison for his role in numerous swatting attacks. The attacks targeted journalists, a Virginia university, a historic predominantly Black church, an Islamic center in Arlington, Texas and a former U.S. Cabinet member. Kelley was an alleged Atomwaffen associate.</t>
  </si>
  <si>
    <t>Keith Luke</t>
  </si>
  <si>
    <t>https://extremismterms.adl.org/glossary/keith-luke</t>
  </si>
  <si>
    <t>Keith Luke was a white supremacist who attacked and killed several Cape Verdean immigrants in Brockton, Massachusetts in 2009. He later admitted he was planning to go to a local synagogue to kill as many Jews as possible. He was found guilty and sentenced to life without parole. Luke committed suicide in 2014.</t>
  </si>
  <si>
    <t>Kevin MacDonald</t>
  </si>
  <si>
    <t>https://extremismterms.adl.org/glossary/kevin-macdonald</t>
  </si>
  <si>
    <t>Kevin MacDonald is a retired antisemitic professor of evolutionary psychology. He has argued that throughout history, Jews have practiced a "group evolutionary strategy" to undermine and harm non-Jews, and that antisemitism, including the anti-Jewish hatred exhibited by the Nazis, was a rational response to a legitimate threat posed by Jews and Judaism. MacDonald is a leader of the American Freedom Party, a white supremacist political party. He also is the editor of the The Occidental Quarterly, a racist print publication, and The Occidental Observer, an online magazine that is a significant voice for antisemitism. He has also authored numerous antisemitic books, the most well-known of which is Culture of Critique: An Evolutionary Analysis of Jewish Involvement in Twentieth-Century Intellectual and Political Movements.</t>
  </si>
  <si>
    <t>https://www.adl.org/resources/news/kevin-macdonald</t>
  </si>
  <si>
    <t>Kyle Chapman</t>
  </si>
  <si>
    <t>https://extremismterms.adl.org/glossary/kyle-chapman</t>
  </si>
  <si>
    <t>Kyle Chapman, aka "Based Stickman," is a former member of the Proud Boys who was denounced by the group after he launched a failed coup in the fall of 2020 seeking to make the Proud Boys a more overtly white supremacist organization. While a member of the Proud Boys, he created the now-defunct subgroup "Fraternal Order of the Alt-Knights," or "FOAK," formed in 2017 to serve as the "tactical defense arm" of the Proud Boys. Chapman has a criminal history that includes felony assault with a deadly weapon. Chapman earned his nickname after a rally in Berkeley, California in March 2017, where he was pictured attacking a counter-protester with a large stick. Chapman left the Proud Boys in 2017 and with his departure, FOAK also ceased. He tried to re-join the group in 2020, but was denied membership. Despite this denial, he attempted a coup, which failed.</t>
  </si>
  <si>
    <t>Lana Lokteff</t>
  </si>
  <si>
    <t>https://extremismterms.adl.org/glossary/lana-lokteff</t>
  </si>
  <si>
    <t>Lana Lokteff is an American-born white supremacist. She is married to Henrik Palmgren, a Swedish white supremacist, with whom she runs the far-right Red Ice TV.</t>
  </si>
  <si>
    <t>Leo Felton</t>
  </si>
  <si>
    <t>https://extremismterms.adl.org/glossary/leo-felton</t>
  </si>
  <si>
    <t>Leo Felton is a white supremacist who, in 2001, was indicted on federal charges of plotting to blow up various targets in Boston that were associated with African-Americans or Jews as part of a plot to incite a "racial holy war." Felton, who was associated with the white supremacist prison gang East Coast Aryan Brotherhood, eventually received a 27-year sentence following his conviction on a variety of charges.</t>
  </si>
  <si>
    <t>https://www.adl.org/resources/news/two-ties-white-supremacy-suspected-plot-bomb-boston-sites</t>
  </si>
  <si>
    <t>Louis Beam</t>
  </si>
  <si>
    <t>https://extremismterms.adl.org/glossary/louis-beam</t>
  </si>
  <si>
    <t>Louis Beam (b. 1946) is an American white supremacist primarily active in the 1980s as a Klansman, Christian Identity adherent, and with Aryan Nations. In the early 1980s, he organized paramilitary activities in Texas to intimidate Vietnamese immigrant shrimp fishermen. Beam is known for popularizing the concept of cell-based "leaderless resistance" activities among white supremacists, though it is unclear how many may have actually followed his model.</t>
  </si>
  <si>
    <t>https://www.adl.org/resources/news/extremism-america-louis-beam</t>
  </si>
  <si>
    <t>The paragraph here technically explains who he is but it links to a PDF that is archived. Can we make it live again? - EKA</t>
  </si>
  <si>
    <t>Marcus Follin</t>
  </si>
  <si>
    <t>https://extremismterms.adl.org/glossary/marcus-follin</t>
  </si>
  <si>
    <t>Marcus Follin is a Swedish white supremacist YouTuber and influencer aiming to radicalize young white men. He is also known as "The Golden One."</t>
  </si>
  <si>
    <t>Mark Collett</t>
  </si>
  <si>
    <t>https://extremismterms.adl.org/glossary/mark-collett</t>
  </si>
  <si>
    <t>Mark Collett is the head of the British white supremacist group, Patriotic Alternative. He is also the former head of publicity for far-right British National Party. He produces a podcast that features many American white supremacists and is a frequent guest on the "David Duke Show."</t>
  </si>
  <si>
    <t>No alternative sources (MLM).</t>
  </si>
  <si>
    <t>Matt Forney</t>
  </si>
  <si>
    <t>https://extremismterms.adl.org/glossary/matt-forney</t>
  </si>
  <si>
    <t>Matt Forney is a white supremacist, antisemite and misogynist writer.</t>
  </si>
  <si>
    <t>Matt Hale</t>
  </si>
  <si>
    <t>https://extremismterms.adl.org/glossary/matt-hale</t>
  </si>
  <si>
    <t>Matt Hale is a white supremacist of long-standing, best known for reviving the racist and antisemitic Church of the Creator, which had fallen apart after the suicide of its founder, as the new World Church of the Creator (WCOTC) in 1996. Under Hale's leadership, WCOTC became known for its attention-getting activities as well as violent incidents associated with its members. In 2002, WCOTC lost a trademark infringement lawsuit and the federal judge in the case ordered the group to stop using the WCOTC name. In 2003, Hale was arrested for soliciting the judge's murder and in 2004 convicted of one count of solicitation of murder and three counts of obstruction of justice. He was sentenced to 40 years in prison. See also: World Church of the Creator and Creativity Movement.</t>
  </si>
  <si>
    <t>https://www.adl.org/resources/news/extremism-america-matt-hale</t>
  </si>
  <si>
    <t>Matthew Heimbach</t>
  </si>
  <si>
    <t>https://extremismterms.adl.org/glossary/matthew-heimbach</t>
  </si>
  <si>
    <t>Matthew Heimbach has ties to many white supremacist groups including the League of the South and the neo-Nazi National Socialist Movement. In 2015, he co-founded the neo-Nazi Traditionalist Worker Party until early 2018 after his arrest for domestic battery for allegedly assaulting his wife and father-in-law. In February 2021, Heimbach supposedly renounced his white supremacist beliefs, but reversed course in July 2021, returning as a "white socialist" and host of "National Bolshevik Public Radio."</t>
  </si>
  <si>
    <t>Matthew Parrott</t>
  </si>
  <si>
    <t>https://extremismterms.adl.org/glossary/matthew-parrott</t>
  </si>
  <si>
    <t>Matthew Parrott co-founded the neo-Nazi Traditionalist Youth Network and Traditionalist Worker Party with Matthew Heimbach, promoting white supremacy and a racist interpretation of Christianity. He also founded Hoosier Nation, a white supremacist group in Indiana.</t>
  </si>
  <si>
    <t>https://www.adl.org/resources/backgrounder/traditionalist-worker-party-twp</t>
  </si>
  <si>
    <t>Maurice Diggins</t>
  </si>
  <si>
    <t>https://extremismterms.adl.org/glossary/maurice-diggins</t>
  </si>
  <si>
    <t>Maurice Diggins is a Maine-based white supremacist who was convicted in 2020 in the state's first ever federal hate crimes trial. He was sentenced to 10 years in prison for assaulting two black men in separate incidents in April 2018. His nephew, Dusty Leo, pleaded guilty for his role in the crimes and was sentenced to three years in prison.</t>
  </si>
  <si>
    <t>Michael Hill</t>
  </si>
  <si>
    <t>https://extremismterms.adl.org/glossary/michael-hill</t>
  </si>
  <si>
    <t>J. Michael Hill (b. 1951) founded the League of the South (LoS) in 1994. Hill established the LoS to advocate for modern-day southern secession and an independent southern nation dominated by "Anglo-Celtic culture," ‚Äî a thinly-veiled code for "whites." However, since 2008, Hill has outed himself as a hardcore white supremacist and taken the LoS in an increasingly radical direction. Hill is a former history professor at Stillman College, a historically black college in Tuscaloosa, Alabama.</t>
  </si>
  <si>
    <t>https://www.adl.org/resources/backgrounder/league-south-los</t>
  </si>
  <si>
    <t>Mike Peinovich</t>
  </si>
  <si>
    <t>https://extremismterms.adl.org/glossary/mike-peinovich</t>
  </si>
  <si>
    <t>Mike Peinovich, who uses Mike Enoch as a pseudonym, is the leader of the virulently antisemitic, white supremacist National Justice Party and founder of The Right Stuff (TRS), a racist and antisemitic website. He participated in the 2017 Unite the Right rally.</t>
  </si>
  <si>
    <t>Nathan Damigo</t>
  </si>
  <si>
    <t>https://extremismterms.adl.org/glossary/nathan-damigo</t>
  </si>
  <si>
    <t>Nathan Damigo (b. 1986) was a white supremacist who briefly led the National Youth Front before founding Identity Evropa in March 2016. After attending the August 2017 "Unite the Right" rally in Charlottesville, Virginia, Damigo abruptly resigned from Identity Evropa and left the movement.</t>
  </si>
  <si>
    <t>Nick Fuentes</t>
  </si>
  <si>
    <t>https://extremismterms.adl.org/glossary/nick-fuentes</t>
  </si>
  <si>
    <t>Nick (Nicholas) Fuentes is a white supremacist leader, organizer and podcaster who seeks to forge a white nationalist alternative to the mainstream GOP. He is the leader of the "Groyper Army," a group made up of his supporters. He also founded the America First Foundation in 2020.</t>
  </si>
  <si>
    <t>Patrick Casey</t>
  </si>
  <si>
    <t>https://extremismterms.adl.org/glossary/patrick-casey</t>
  </si>
  <si>
    <t>Patrick Casey was Identity Evropa's chief of staff when he replaced Elliot Klien as the group's leader in November 2017. In March 2019, Casey rebranded Identity Evropa as the American Identity Movement (AIM) which he led until it was disbanded in November 2020.</t>
  </si>
  <si>
    <t>https://www.adl.org/resources/hate-symbol/american-identity-movement-aim</t>
  </si>
  <si>
    <t>Paul Fromm</t>
  </si>
  <si>
    <t>https://extremismterms.adl.org/glossary/paul-fromm</t>
  </si>
  <si>
    <t>Paul Fromm is a Canadian white supremacist with ties to a myriad American white supremacist and Holocaust denial groups. He runs the Canadian Association for Free Expression, which defends racists, antisemites and Holocaust deniers from prosecution under hate crime legislation. While working as a public school teacher, footage surfaced of him at a Heritage Front event in December 1990 standing in front of a Nazi flag shouting ‚ÄúSieg Heil!,‚Äù and ‚Äúwhite power‚Äù while performing the Nazi salute.In His Words:‚Äú[The] story of the ‚ÄòHolocaust‚Äô has been used to induce false guilt in Europeans and North Americans. This story has allowed the Jews to acquire many billions of dollars in reparations from Germany and other countries. It has also made many people in Europe and North America ready to overlook Israeli atrocities and brutality‚Ä¶.‚Äù - Mehr News Agency, December 24, 2006¬†‚ÄúThe Holocaust is a selfish story serving the political and economic interests of the Zionists. Hollywood, extensively controlled by Zionists, pumps out endless propaganda films about the Holocaust‚Ä¶.[The Holocaust] allows special treatment of Jews in mot Western countries. It allows Jews to have disproportionate control of the media and the economy in Western countries.‚Ä¶‚Äù - Mehr News Agency, December 24, 2006</t>
  </si>
  <si>
    <t>A lot of the info here is missing in this piece. - EKA</t>
  </si>
  <si>
    <t>Paul Miller</t>
  </si>
  <si>
    <t>https://extremismterms.adl.org/glossary/paul-miller</t>
  </si>
  <si>
    <t>Paul Miller, better known by his online alias Gypsy Crusader, is a Florida-based white supremacist who became popular for his online activities, which included using racial slurs and racist jokes while harassing people on Omegle, an online chat service. Miller also engaged in real-life extremist related activities including distributing white supremacist propaganda in Florida. In September 2021, Miller was sentenced to 41 months in prison for federal weapon charges.</t>
  </si>
  <si>
    <t>https://www.adl.org/resources/article/white-supremacist-tracked-coe-arrested-weapons-charges-florida</t>
  </si>
  <si>
    <t>Paul Ramsey</t>
  </si>
  <si>
    <t>https://extremismterms.adl.org/glossary/paul-ramsey</t>
  </si>
  <si>
    <t>Paul Ramsey (b. 1963), also known as Ramzpaul, is a YouTube personality and frequent speaker at the white supremacist American Renaissance conferences.</t>
  </si>
  <si>
    <t>Pentti Linkola</t>
  </si>
  <si>
    <t>https://extremismterms.adl.org/glossary/pentti-linkola</t>
  </si>
  <si>
    <t>Pentti Linkola was a Finnish deep ecologist and environmentalist, whose philosophy is consistent with ecofascist ideology. Linkola"s writings were often published by Arktos Media, which features white supremacist literature in an academic format, and are still shared widely across ecofascist Telegram channels. Linkola"s most influential ideas in line with ecofascism were related to his views on overpopulation and the immigration and humanitarian crises. His "lifeboat theory" is a central belief that claims the threats of overpopulation are so dire that large parts of the population need to be sacrificed to ensure the planet"s survival.</t>
  </si>
  <si>
    <t>Richard Baumhammers</t>
  </si>
  <si>
    <t>https://extremismterms.adl.org/glossary/richard-baumhammers</t>
  </si>
  <si>
    <t>Richard Baumhammers is a white supremacist who went on a shooting rampage targeting ethnic and religious minorities in Pittsburgh, Pennsylvania in April 2000, which left five people dead. Baumhammers murdered an Indian man who was in the U.S. on a work visa, a Vietnamese immigrant, a Chinese immigrant, a Black man and a Jewish woman. Baumhammers also fired shots into two Jewish synagogues and painted a swastika on one of the buildings. He was sentenced to death for his shooting spree.</t>
  </si>
  <si>
    <t>Richard Butler</t>
  </si>
  <si>
    <t>https://extremismterms.adl.org/glossary/richard-butler</t>
  </si>
  <si>
    <t>Richard Butler (1918-2004) was a California engineer and "pastor" in the racist and antisemitic religious sect Christian Identity. In 1974 he moved to Idaho to found Aryan Nations, a neo-Nazi group based on Christian Identity principles. From the 1970s through the 1990s, he was one of the most prominent leaders of the white supremacist movement. Many members and associates of Aryan Nations committed violent acts during these years. By the end of the 1990s, illness and advanced age greatly hampered his ability to run Aryan Nations, which began to dissolve into feuding factions, a process that continued after Butler"s 2004 death.</t>
  </si>
  <si>
    <t>https://www.adl.org/resources/news/extremism-america-richard-butler</t>
  </si>
  <si>
    <t>Richard Holzer</t>
  </si>
  <si>
    <t>https://extremismterms.adl.org/glossary/richard-holzer</t>
  </si>
  <si>
    <t>Richard Holzer is a white supremacist who plotted to bomb a Colorado synagogue in 2019. He also encouraged acts of violence against Jews and the Latin American community and frequently posted on online channels about killing his enemies. In 2020, Holzer pleaded guilty to federal hate crime and explosives charges for the plot. He was sentenced to 19 years in prison, followed by 15 years of supervised release.</t>
  </si>
  <si>
    <t>https://www.adl.org/resources/article/colorado-white-supremacist-arrested-plotting-blow-synagogue</t>
  </si>
  <si>
    <t>Richard Spencer</t>
  </si>
  <si>
    <t>https://extremismterms.adl.org/glossary/richard-spencer</t>
  </si>
  <si>
    <t>Richard Spencer is a white supremacist who is considered one of the leaders of the American alt right movement. Spencer ran the white supremacist National Policy Institute and was also one of the leaders behind the deadly Unite the Right event in Charlottesville, VA in 2017.</t>
  </si>
  <si>
    <t>Richard W. Preston Jr.</t>
  </si>
  <si>
    <t>https://extremismterms.adl.org/glossary/richard-w-preston-jr</t>
  </si>
  <si>
    <t>Richard Preston Jr., of Maryland, was the leader of the Confederate White Knights of the Ku Klux Klan. In 2018, Preston was sentenced to four years in prison after pleading no contest to discharging a firearm within one thousand feet of a school during the August 2017 Unite the Right rally in Charlottesville, Virginia.</t>
  </si>
  <si>
    <t>https://www.adl.org/resources/report/despite-internal-turmoil-klan-groups-persist</t>
  </si>
  <si>
    <t>None of this information is in this piece. Also, there is a link to a PDF that is archived, which we may want to make live again. - EKA</t>
  </si>
  <si>
    <t>Rick Tyler</t>
  </si>
  <si>
    <t>https://extremismterms.adl.org/glossary/rick-tyler</t>
  </si>
  <si>
    <t>Rick Tyler is a Tennessee-based white supremacist politician and member of the American Freedom Party. In 2016, while running for the United States House of Representatives as an independent, Tyler erected a billboard that read "Make America White Again."</t>
  </si>
  <si>
    <t>The American Freedom Party and Rick Tyler deserve a backgrounder...They have been around for sometime and are still active within the white supremacist movement (MLM).</t>
  </si>
  <si>
    <t>Rinaldo Nazzaro</t>
  </si>
  <si>
    <t>https://extremismterms.adl.org/glossary/rinaldo-nazzaro</t>
  </si>
  <si>
    <t>Rinaldo Nazzaro, aka Roman Wolf and Norman Spear, is the founder of The Base, an accelerationist neo-Nazi group. In January 2020, the BBC and The Guardian revealed his true identity and Russian ties in a widely circulated expos√©. After his "cover" was blown, Nazzaro"s engagement in the neo-Nazi scene quickly vanished while adherents disassociated themselves with the organization, perceiving it to be a law enforcement honeypot.</t>
  </si>
  <si>
    <t>https://www.adl.org/resources/backgrounder/base</t>
  </si>
  <si>
    <t>Robert Brannen</t>
  </si>
  <si>
    <t>https://extremismterms.adl.org/glossary/robert-brannen</t>
  </si>
  <si>
    <t>Robert Brannen is a former associate of George Lincoln Rockwell and founder of the National Socialist American Workers Freedom Movement, which became the National Socialist Movement.</t>
  </si>
  <si>
    <t>Robert J. Mathews</t>
  </si>
  <si>
    <t>https://extremismterms.adl.org/glossary/robert-j-mathews</t>
  </si>
  <si>
    <t>Robert J. Mathews (1953-1984) was the leader of the white supremacist terrorist group The Order (also known as the Silent Brotherhood or Br√ºder Schweigen) which operated primarily in the Pacific Northwest in the 1980s. Following the arrests of many members of The Order, Mathews died in a fiery firefight with federal authorities in Washington state in 1984. Many white supremacists acknowledge the December date Mathews died as "martyrs day."</t>
  </si>
  <si>
    <t>https://www.adl.org/resources/hate-symbol/order</t>
  </si>
  <si>
    <t>We can link to this but there's some info in the glossary entry that's not in the hate symbols entry. - EKA</t>
  </si>
  <si>
    <t>Robert Rundo</t>
  </si>
  <si>
    <t>https://extremismterms.adl.org/glossary/robert-rundo</t>
  </si>
  <si>
    <t>Robert Rundo is the leader of R.A.M. (Rise Above Movement). While originally from California, he is currently living in Eastern Europe. He is in charge of the group"s MMA training program. Law enforcement reports indicate he also runs the group's Twitter page and produces their videos.</t>
  </si>
  <si>
    <t>Robert Warren Ray</t>
  </si>
  <si>
    <t>https://extremismterms.adl.org/glossary/robert-warren-ray</t>
  </si>
  <si>
    <t>Robert Warren Ray, also known as "Azzmador," is an antisemite and vitriolic racist who writes for the neo-Nazi publication Daily Stormer and hosts the Stormer podcast, "The Krypto Report." Ray is a fugitive from justice in Virginia, stemming from felony charges for allegedly maliciously releasing gas on August 11, 2017, the night of the torch march at the "Unite the Right" rally in Charlottesville.</t>
  </si>
  <si>
    <t>Ronald L. Murray</t>
  </si>
  <si>
    <t>https://extremismterms.adl.org/glossary/ronald-l-murray</t>
  </si>
  <si>
    <t>Ronald Murray is a Texas-based neo-Nazi who briefly led the now disbanded neo-Nazi organization 14 First Foundation. In 2021, Murray joined the Nationalist Socialist Movement when they absorbed the membership of the smaller 14 First Foundation.</t>
  </si>
  <si>
    <t>Sacco Vandal</t>
  </si>
  <si>
    <t>https://extremismterms.adl.org/glossary/sacco-vandal</t>
  </si>
  <si>
    <t>Sacco Vandal, formerly known as Scott Wurgler, hosts an alt-right radio show. He also created a website and wrote a book with his twin brother, Vanzetti Vandal, to promote white supremacist militant nationalism.</t>
  </si>
  <si>
    <t>Samuel Dickson</t>
  </si>
  <si>
    <t>https://extremismterms.adl.org/glossary/samuel-dickson</t>
  </si>
  <si>
    <t>Samuel Dickson is a white supremacist attorney who has been active in the Council of Conservative Citizens and regularly speaks at American Renaissance conferences.</t>
  </si>
  <si>
    <t>Samuel Francis</t>
  </si>
  <si>
    <t>https://extremismterms.adl.org/glossary/samuel-francis</t>
  </si>
  <si>
    <t>Samuel Francis was an influential intellectual white supremacist. He was also a writer and former columnist for the Washington Times. After being fired from the publication for racist remarks he made at an American Renaissance conference in 1994, he was very active in the Council of Conservative Citizens.</t>
  </si>
  <si>
    <t>Samuel Francis' name mentioned once but who he is isn't elaborated upon -Hannah</t>
  </si>
  <si>
    <t>Samuel Woodward</t>
  </si>
  <si>
    <t>https://extremismterms.adl.org/glossary/samuel-woodward</t>
  </si>
  <si>
    <t>Samuel Woodward is a white supremacist and member of the neo-Nazi group Atomwaffen. In 2018, he was arrested for allegedly stabbing to death a former high school acquaintance, Blaze Bernstein. Woodward was charged with first-degree murder with a hate crime enhancement, as Bernstein was Jewish and openly gay.</t>
  </si>
  <si>
    <t>https://notoleranceforantisemitism.adl.org/resources/backgrounder/atomwaffen-division-awd-national-socialist-order-nso</t>
  </si>
  <si>
    <t>Scott Rhodes</t>
  </si>
  <si>
    <t>https://extremismterms.adl.org/glossary/scott-rhodes</t>
  </si>
  <si>
    <t>Scott Rhodes is a white supremacist who runs Road to Power, a white supremacist and antisemitic broadcasting outlet based in Sandpoint, Idaho. Rhodes is known for for distributing white supremacist propaganda, as well as robocalling communities nationwide with racist, antisemitic and bigoted language.</t>
  </si>
  <si>
    <t>Sean Michael Gillespie</t>
  </si>
  <si>
    <t>https://extremismterms.adl.org/glossary/sean-michael-gillespie</t>
  </si>
  <si>
    <t>Sean Michael Gillespie is a former Aryan Nations member who firebombed an Oklahoma City synagogue in 2004. He was convicted and received a 39 year federal sentence, but was released from prison in 2020. While in prison, Gillespie renounced his white supremacist beliefs.</t>
  </si>
  <si>
    <t>Simon Roche</t>
  </si>
  <si>
    <t>https://extremismterms.adl.org/glossary/simon-roche</t>
  </si>
  <si>
    <t>Simon Roche is the spokesperson for the Suidlanders, a far-right South African survivalist group which stresses the need to prepare for an impending racial civil war. Roche often travels to the U.S. to conduct fundraising speaking tours and attend white supremacist events.</t>
  </si>
  <si>
    <t>Stefan Molyneux</t>
  </si>
  <si>
    <t>https://extremismterms.adl.org/glossary/stefan-molyneux</t>
  </si>
  <si>
    <t>Stefan Molyneux (b. 1966) is an Irish-born Canadian vlogger connected to the men's rights movement and the alt right. He promotes eugenics and has embraced white nationalism.</t>
  </si>
  <si>
    <t>Thomas Robb</t>
  </si>
  <si>
    <t>https://extremismterms.adl.org/glossary/thomas-robb</t>
  </si>
  <si>
    <t>Thomas Rousseau</t>
  </si>
  <si>
    <t>https://extremismterms.adl.org/glossary/thomas-rousseau</t>
  </si>
  <si>
    <t>Thomas Rousseau is the founder and leader of Patriot Front, a Texas-based alt right group that split from neo-Nazi Vanguard America in 2017.</t>
  </si>
  <si>
    <t>Tim  Gionet</t>
  </si>
  <si>
    <t>https://extremismterms.adl.org/glossary/tim-gionet</t>
  </si>
  <si>
    <t>Live-streamer Tim "Treadstone" Gionet, aka "Baked Alaska," is a white supremacist internet personality who attended the 2017 "Unite the Right" rally in Charlottesville and participated in the January 6, 2021, attack on the U.S. Capitol Building.</t>
  </si>
  <si>
    <t>This is a duplicate? - EKA</t>
  </si>
  <si>
    <t>Tim Gionet</t>
  </si>
  <si>
    <t>https://extremismterms.adl.org/glossary/tim-gionet-0</t>
  </si>
  <si>
    <t>Timothy Wilson</t>
  </si>
  <si>
    <t>https://extremismterms.adl.org/glossary/timothy-wilson</t>
  </si>
  <si>
    <t>Timothy Wilson was a white supremacist associated with the National Socialist Movement who plotted to blow up a hospital treating coronavirus patients. He died in a shootout with FBI agents in March 2020.</t>
  </si>
  <si>
    <t>heat map</t>
  </si>
  <si>
    <t>Tom Metzger</t>
  </si>
  <si>
    <t>https://extremismterms.adl.org/glossary/tom-metzger</t>
  </si>
  <si>
    <t>Tom Metzger was the notorious and influential white supremacist leader who created the White Aryan Resistance (WAR) white supremacist group in the 1980s. WAR was Metzger's plan to build up a network of racist skinheads mainly on the West Coast. Metzger died in 2020.</t>
  </si>
  <si>
    <t>https://la.adl.org/news/a-dark-chapter-of-hate-closes-notorious-racist-leader-tom-metzger-dead-at-82/</t>
  </si>
  <si>
    <t>Tom Sunic</t>
  </si>
  <si>
    <t>https://extremismterms.adl.org/glossary/tom-sunic</t>
  </si>
  <si>
    <t>Tom Sunic is a Croatian-born, longstanding American white supremacist, involved in a number of American white supremacist groups, including the American Freedom Party.</t>
  </si>
  <si>
    <t>Vanzetti Vandal</t>
  </si>
  <si>
    <t>https://extremismterms.adl.org/glossary/vanzetti-vandal</t>
  </si>
  <si>
    <t>Vanzetti Vandal, formerly Matthew Wurgler, created a website and wrote a book with his twin brother, Sacco Vandal, to promote white supremacist militant nationalism.</t>
  </si>
  <si>
    <t>Varg Vikernes</t>
  </si>
  <si>
    <t>https://extremismterms.adl.org/glossary/varg-vikernes</t>
  </si>
  <si>
    <t>Varg Vikernes is the stage name of a notorious Norwegian-based neo-Nazi black metal musician, born Kristian Vikernes, who in 1994 was convicted of murder and arson of a church, for which he served 15 years in prison.</t>
  </si>
  <si>
    <t>Vincent James (Vincent James Foxx)</t>
  </si>
  <si>
    <t>https://extremismterms.adl.org/glossary/vincent-james-vincent-james-foxx</t>
  </si>
  <si>
    <t>Vincent James Foxx runs media entity The Red Elephants, which promotes conspiracy theories, antisemitism and white supremacist mantras.</t>
  </si>
  <si>
    <t xml:space="preserve">No alternative resource available (MLM) See notes. </t>
  </si>
  <si>
    <t>For Vincent James/Red Elephant, I'm unsure how active/relevant they are today, but FWIF there is a drafted backgrounder written by myself and Joanna Mendelson several years ago that we could update and publish.</t>
  </si>
  <si>
    <t>Wade Michael Page</t>
  </si>
  <si>
    <t>https://extremismterms.adl.org/glossary/wade-michael-page</t>
  </si>
  <si>
    <t>Wade Michael Page was a racist skinhead and perpetrator of a mass shooting that killed six people at a Sikh temple in Oak Creek, Wisconsin, in 2012. Page committed suicide after exchanging fire with police responding to the shooting. He was a prospect or recruit of the Hammerskins racist skinhead gang and was a musician in several white power music bands.</t>
  </si>
  <si>
    <t>William Daniel Johnson</t>
  </si>
  <si>
    <t>https://extremismterms.adl.org/glossary/william-daniel-johnson</t>
  </si>
  <si>
    <t>William Daniel Johnson is a California lawyer and white supremacist who chairs the American Freedom Party (previously called the American Third Position), a political party launched in 2009 that promotes white nationalism.</t>
  </si>
  <si>
    <t>William Finck</t>
  </si>
  <si>
    <t>https://extremismterms.adl.org/glossary/william-finck</t>
  </si>
  <si>
    <t>William Finck is a Florida-based Christian Identity preacher who operates the Christian Identity website and blog Christogenea. He is also a member of the League of the South, a neo-Confederate white supremacist group.</t>
  </si>
  <si>
    <t>William Pierce</t>
  </si>
  <si>
    <t>https://extremismterms.adl.org/glossary/william-pierce</t>
  </si>
  <si>
    <t>William Pierce (1933-2002) was a white supremacist leader who founded the neo-Nazi National Alliance in 1974 and led the group until his death in 2002. During much of this time, the National Alliance was the largest neo-Nazi group in the United States, and Pierce was one of the highest-profile white supremacist leaders. Pierce is also renowned in far-right circles as the author of The Turner Diaries, a novel written under the pseudonym Andrew Macdonald. See also: The Turner Diaries</t>
  </si>
  <si>
    <t>William Regnery</t>
  </si>
  <si>
    <t>https://extremismterms.adl.org/glossary/william-regnery</t>
  </si>
  <si>
    <t>William Regnery was an heir to the right-wing Regnery publishing dynasty. He was responsible for funding a number of white supremacist enterprises, including the National Policy Institute and the Charles Martel Society, which publishes The Occidental Quarterly. (See National Policy Institute and The Occidental Quarterly glossary entries).</t>
  </si>
  <si>
    <t>Alain de Benoist</t>
  </si>
  <si>
    <t>https://extremismterms.adl.org/glossary/alain-de-benoist</t>
  </si>
  <si>
    <t>Alain de Benoist is a French writer who was part of the New Right and was an influence for many American white supremacists, including Richard Spencer and Greg Johnson.</t>
  </si>
  <si>
    <t>Alexander Dugin</t>
  </si>
  <si>
    <t>https://extremismterms.adl.org/glossary/alexander-dugin</t>
  </si>
  <si>
    <t>Alexander Dugin is a far-right, ultra-nationalist Russian philosopher and political scientist who is the founder of the "Eurasian movement," which theorizes that Russia, with the help of former Soviet bloc countries and Central European nations, will challenge the hegemony of the United States. He has ties to a number of white supremacists in the United States.</t>
  </si>
  <si>
    <t>Christopher Pohlhaus</t>
  </si>
  <si>
    <t>https://extremismterms.adl.org/glossary/christopher-pohlhaus</t>
  </si>
  <si>
    <t>Christopher Pohlhaus, aka Hammer, is a former U.S. Marine turned tattoo artist and leader of the neo-Nazi group "Blood Tribe." In 2020, while living in San Antonio, Texas, Pohlhaus grew an online following by selling white supremacist propaganda materials and gear, and through video-podcasts. In these podcasts, Pohlhaus lectured followers about fitness and encouraged them to participate in ‚Äúa last stand, a righteous war‚Äù against those who ‚Äúcall for the destruction of their birthright and posterity.‚Äù As his following grew, Pohlhaus began to refer to them as the ‚ÄúBlood Tribe.‚Äù By 2021, as Pohlhaus networked with other white supremacist groups and recruited members, the Blood Tribe evolved into a membership-based organization. In May 2022, Pohlhaus moved from Texas to Maine and purchased 10 acres of land that he is developing into an encampment where like-minded white supremacists can gather and live. In 2023, Pohlhaus and Blood Tribe members began participating in anti-LGBTQ+ protests. At such protests, Pohlhaus has led members of the Blood Tribe, dressed in red and black uniforms bearing the group's symbol and flying a large¬†swastika¬†flag, in aggressive chants in front of a large banner reading "There will be blood."</t>
  </si>
  <si>
    <t>person and mentioned in Blood Tribe backgrounder</t>
  </si>
  <si>
    <t>Ryan J. Murdough</t>
  </si>
  <si>
    <t>https://extremismterms.adl.org/glossary/ryan-j-murdough</t>
  </si>
  <si>
    <t>Ryan J. Murdough is a New Hampshire-based white supremacist who founded the New England White Network in 2022. Murdough has been involved with a range of now-defunct white supremacist groups including North East White Pride, National Socialist American Labor Party, New Hampshire Nationalists and the American Third Position Party where he ran an unsuccessful campaign in 2010 for a New Hampshire State house seat.</t>
  </si>
  <si>
    <t>https://www.adl.org/resources/article/white-supremacists-help-raise-hundreds-thousands-woman-who-hurled-slur-black</t>
  </si>
  <si>
    <t>Robert Spencer</t>
  </si>
  <si>
    <t>https://extremismterms.adl.org/glossary/robert-spencer</t>
  </si>
  <si>
    <t>Robert Spencer is a leading anti-Muslim bigot and conspiracy theorist who heads the organization Stop Islamization of America, and runs the conspiratorial Islamophobic website Jihad Watch. Spencer claims that Muslims want to impose Sharia Law (Muslim religious law) in the United States.</t>
  </si>
  <si>
    <t>Rodney Coronado</t>
  </si>
  <si>
    <t>https://extremismterms.adl.org/glossary/rodney-coronado</t>
  </si>
  <si>
    <t>Single-issue, Left-wing</t>
  </si>
  <si>
    <t>Rodney Coronado is a longtime spokesperson for the extremist environmental and animal rights movements in the United States. Coronado was involved in the firebombing of an animal research laboratory at Michigan State University (MSU) in 1992 and served over three years in prison for aiding and abetting arson. Coronado was affiliated with the ardent environmentalist group Earth First!. After his release from prison, he defended his activity, including his involvement in the firebombing incident at MSU. In 2004, Coronado was indicted in Arizona on a felony charge of conspiracy to impede or injure an officer for attempting to disrupt an effort by the Arizona Game and Fish Department to capture and kill mountain lions in Sabino Canyon near Tucson.</t>
  </si>
  <si>
    <t>persion</t>
  </si>
  <si>
    <t>Andrew Tate</t>
  </si>
  <si>
    <t>https://extremismterms.adl.org/glossary/andrew-tate</t>
  </si>
  <si>
    <t>Andrew Tate is an American-British misogynist influencer. In 2023, he was arrested and indicted in Romania on charges of rape and sex trafficking. The former kickboxer and reality television star has millions of social media followers, including 6.5 million on Twitter alone. He ‚Äúteaches‚Äù his acolytes, many of whom are adolescent boys, that women are inferior and morally deficient, and deserve to be physically, sexually and emotionally abused. He is lauded within the manosphere ‚Äì the toxic online spaces where men gather to demean and threaten women while bemoaning their own victimhood.¬†</t>
  </si>
  <si>
    <t>https://www.adl.org/resources/article/andrew-tate-five-things-know</t>
  </si>
  <si>
    <t>Brigitte Gabriel</t>
  </si>
  <si>
    <t>https://extremismterms.adl.org/glossary/brigitte-gabriel</t>
  </si>
  <si>
    <t>Founder and head of ACT for America, the country"s largest anti-Muslim organization. Gabriel's years-long campaign of Islamophobia includes stating that every practicing Muslim is a radical Muslim, that any woman wearing a hijab must be an extremist and that any new mosque construction should be reported to the FBI because it should be assumed that the mosque has links to terror organizations.</t>
  </si>
  <si>
    <t>2 potential options:  https://www.adl.org/resources/profile/act-america ; https://www.adl.org/resources/blog/brigitte-gabriel-continues-years-long-campaign-islamophobia</t>
  </si>
  <si>
    <t>https://www.adl.org/resources/blog/brigitte-gabriel-continues-years-long-campaign-islamophobia</t>
  </si>
  <si>
    <t>the first is the backgrounder on her org, the second is a blog about her activity. i think it would make sense to link to the backgrounder (TMA)</t>
  </si>
  <si>
    <t>Elliot Rodger</t>
  </si>
  <si>
    <t>https://extremismterms.adl.org/glossary/elliot-rodger</t>
  </si>
  <si>
    <t>Elliot Rodger was a violent incel who killed six people and wounded 14 in a May 2014 stabbing and shooting spree in California, before killing himself. He posted YouTube videos and an online manifesto to express his anger towards women, whom he blamed for his own sexual rejection and misogyny. Rodger's attack and incel status made him an idol in incel spaces; other violent incels and attempted attackers have posted that they will "go ER," a reference to Rodger's misogynistic rage-fueled attack.</t>
  </si>
  <si>
    <t>Hannah Pearl Davis</t>
  </si>
  <si>
    <t>https://extremismterms.adl.org/glossary/hannah-pearl-davis</t>
  </si>
  <si>
    <t>Hannah ‚ÄúPearl‚Äù Davis is an American far-right podcaster and anti-feminist provocateur based in the UK. She is often referred to by critics and fans alike as the ‚Äúfemale Andrew Tate‚Äù and, like Tate, is celebrated within the manosphere ‚Äì the toxic online spaces where men gather to demean and threaten women while bemoaning their own victimhood. Davis uses her platform to promote anti-feminist arguments, including that women should not have the right to vote, that divorce should be illegal and that women are unfairly portrayed as victims in cases of rape and abuse. Through her popular livestreams, which can draw an audience of more than two million listeners, Davis also gives well-known extremists, like white supremacist Nick Fuentes, a platform to discuss their racist, antisemitic and misogynistic views.</t>
  </si>
  <si>
    <t xml:space="preserve">No associated resources (MLM) </t>
  </si>
  <si>
    <t>FWIW: I have a whole backgrounder on Davis from 2024 that has gone through several drafts and fact checking, if we ever do want to publish... (MLM).</t>
  </si>
  <si>
    <t>Marc Lepine</t>
  </si>
  <si>
    <t>https://extremismterms.adl.org/glossary/marc-lepine</t>
  </si>
  <si>
    <t>Marc Lepine massacred 14 women at √âcole Polytechnique in Montreal in 1989, and left behind a suicide note in which he blamed feminists for "destroying his life." He was dubbed an incel postmortem.</t>
  </si>
  <si>
    <t>Pamela Geller</t>
  </si>
  <si>
    <t>https://extremismterms.adl.org/glossary/pamela-geller</t>
  </si>
  <si>
    <t>Pamela Geller is an anti-Muslim bigot who often exploits concern over terrorism to promote anti-Muslim and anti-immigrant conspiracy theories. She runs the website Geller Report and is one of the leaders of the group Stop Islamization of America (SIOA), which seeks to rouse public fears about a supposed Islamic conspiracy to destroy American values.</t>
  </si>
  <si>
    <t>Roy Den Hollander</t>
  </si>
  <si>
    <t>https://extremismterms.adl.org/glossary/roy-den-hollander</t>
  </si>
  <si>
    <t>Roy Den Hollander is a self-described "anti-feminist lawyer" and Men's Rights Activist who carried out a fatal shooting at a New Jersey federal judge"s home before killing himself.</t>
  </si>
  <si>
    <t>Scott Paul Beierle</t>
  </si>
  <si>
    <t>https://extremismterms.adl.org/glossary/scott-paul-beierle</t>
  </si>
  <si>
    <t>Scott Paul Beierle was a violent incel who targeted a Florida yoga studio in 2018, killing two people and wounding four others before killing himself. He made a series of racist and misogynistic YouTube videos revealing his hatred of women and had a history of disturbing interactions with women and girls.</t>
  </si>
  <si>
    <t>Robert Bowers</t>
  </si>
  <si>
    <t>https://extremismterms.adl.org/glossary/robert-bowers</t>
  </si>
  <si>
    <t>On October 27, 2018 white supremacist Robert Gregory Bowers carried out a deadly shooting spree at the Tree of Life synagogue in Pittsburgh, Pennsylvania, killing eleven and wounding seven more. Bowers appears to have been motivated by antisemitic and anti-immigrant convictions.</t>
  </si>
  <si>
    <t>Stew Peters</t>
  </si>
  <si>
    <t>https://extremismterms.adl.org/glossary/stew-peters</t>
  </si>
  <si>
    <t>Stew Peters is a Florida-based antisemitic conspiracy theorist, radio show host and self-proclaimed ‚ÄúChristian nationalist.‚Äù He also regularly promotes anti-LGBTQ+ and white supremacist beliefs on his show and social media, and he has engaged in Holocaust denial. A notorious purveyor of COVID-19 and anti-vaccine-related misinformation and conspiracy theories, Peters is best known for producing the viral anti-vaccine film, ‚ÄúDied Suddenly.‚Äù¬†See also: Died Suddenly</t>
  </si>
  <si>
    <t>https://www.adl.org/resources/article/stew-peters-five-things-know</t>
  </si>
  <si>
    <t>Bobby Lawrence</t>
  </si>
  <si>
    <t>https://extremismterms.adl.org/glossary/bobby-lawrence</t>
  </si>
  <si>
    <t>Bobby Lawrence is a prominent Pennsylvania-based sovereign citizen guru and QAnon adherent who teaches sovereignty with a QAnon bent, urging his followers to become "American State Nationals" before Trump is reinstated as president. He works closely with David Straight, another sovereign citizen guru.</t>
  </si>
  <si>
    <t>David Straight</t>
  </si>
  <si>
    <t>https://extremismterms.adl.org/glossary/david-straight</t>
  </si>
  <si>
    <t>David Straight is a prominent sovereign citizen guru and QAnon adherent who teaches sovereignty with a QAnon bent, urging his followers to become "American State Nationals" before Trump is reinstated as president. He works closely with Bobby Lawrence, another sovereign citizen guru.</t>
  </si>
  <si>
    <t>Romana Didulo</t>
  </si>
  <si>
    <t>https://extremismterms.adl.org/glossary/romana-didulo</t>
  </si>
  <si>
    <t>Romana Didulo is a Canadian QAnon figure who falsely claims to be the "Queen of Canada." She has frequently called for violent action online, especially against individuals involved in administrating Covid-19 vaccines to children. Didulo has frequently issued "decrees" canceling various debts and outlawing government actions; she has also encouraged her followers to use psuedo-legal documents to avoid paying debts, leading to some followers having their water or electricity shutoff or put at risk of losing their homes. Some of Didulo's followers have also been arrested for making threats against schools and businesses.</t>
  </si>
  <si>
    <t>Alex Jones</t>
  </si>
  <si>
    <t>https://extremismterms.adl.org/glossary/alex-jones</t>
  </si>
  <si>
    <t>Alex Jones is a prominent Texas-based right-wing conspiracy theorist who emerged in the late 1990s as a promoter of anti-government conspiracy theories popular with the militia movement. Over the years, Jones built a multimedia empire based on conspiracies about the New World Order, the 9/11 attacks, the Sandy Hook massacre and other shootings, George Soros and COVID-19.</t>
  </si>
  <si>
    <t>https://adl.org/resources/backgrounder/alex-jones-five-things-know</t>
  </si>
  <si>
    <t>Cassandra Fairbanks</t>
  </si>
  <si>
    <t>https://extremismterms.adl.org/glossary/cassandra-fairbanks</t>
  </si>
  <si>
    <t>A right-wing/far-right commentator, reporter and activist.</t>
  </si>
  <si>
    <t>https://www.adl.org/resources/article/free-speech-rally-planned-boston</t>
  </si>
  <si>
    <t>Clay Clark</t>
  </si>
  <si>
    <t>https://extremismterms.adl.org/glossary/clay-clark</t>
  </si>
  <si>
    <t>Clay Clark is a far right conspiracy theorist, podcaster and entrepreneur known for organizing the Health &amp; Freedom Conference in Tulsa, Oklahoma in April 2021 and the Reawaken America tour, a series of controversial far right conferences held across the U.S. featuring prominent QAnon influencers, anti-vaxx activists, election fraud conspiracy theorists, Christian pastors and political candidates and elected officials.</t>
  </si>
  <si>
    <t>Colin Robertson</t>
  </si>
  <si>
    <t>https://extremismterms.adl.org/glossary/colin-robertson</t>
  </si>
  <si>
    <t>Colin Robertson is a far-right Scottish vlogger also known as "Millennial Woes" online. He has spoken at many far-right events alongside white supremacists and has interviewed numerous white supremacists in the US.</t>
  </si>
  <si>
    <t>Edgar Welch</t>
  </si>
  <si>
    <t>https://extremismterms.adl.org/glossary/edgar-welch</t>
  </si>
  <si>
    <t>Edgar Welch is the perpetrator of the December 4, 2016 shooting at the Comet Ping Pong pizzeria in Washington, D.C. No one was injured during the incident. Welch told police he had come to investigate claims that the pizzeria was harboring child sex slaves in its basement (the restuarant does not have a basement) as part of a global child sex trafficking ring after reading about such theories online. Welch pled guilty to a federal charge of interstate transportation of a firearm and ammunition, and a District of Columbia charge of assault with a dangerous weapon in 2017; he was sentenced to four years in prison and was released in 2021. See also: Pizzagate</t>
  </si>
  <si>
    <t>Enrique Tarrio</t>
  </si>
  <si>
    <t>https://extremismterms.adl.org/glossary/enrique-tarrio</t>
  </si>
  <si>
    <t>Enrique Tarrio serves as the National Chairman of the Proud Boys organization. In August 2021, Tarrio was sentenced to five months in prison after he pleaded guilty to destroying a Black Lives Matter banner outside a historically black church in Washington, D.C. during a December 2020 pro-Trump march and for the possession of an illegal high-capacity firearm magazine at the time of his arrest.</t>
  </si>
  <si>
    <t>Fred Phelps Sr.</t>
  </si>
  <si>
    <t>https://extremismterms.adl.org/glossary/fred-phelps-sr</t>
  </si>
  <si>
    <t>Fred Waldron Phelps Sr. was the patriarch and founder of the Kansas-based Westboro Baptist Church (WBC). A disbarred attorney, he was known for his hatred of homosexuality. WBC has held protests near funerals of members of the LGBTQ community.</t>
  </si>
  <si>
    <t>Gavin McInnes</t>
  </si>
  <si>
    <t>https://extremismterms.adl.org/glossary/gavin-mcinnes</t>
  </si>
  <si>
    <t>Gavin McInnes (b. 1970) is the VICE Media co-founder who formed the Proud Boys in 2016. Although McInnes is no longer an active member of the Proud Boys, his influence is still important to the group. When the Proud Boys were first announced, McInnes described its members as "Western chauvinists who refuse to apologise [sic] for creating the modern world," and who "long for the days when "girls were girls and men were men."" He is also known for his overt xenophobia, racism, misogyny and advocacy for brutal tactics when dealing with counter-protesters, namely antifa.</t>
  </si>
  <si>
    <t>Jack Posobiec</t>
  </si>
  <si>
    <t>https://extremismterms.adl.org/glossary/jack-posobiec</t>
  </si>
  <si>
    <t>Jack Posobiec is a far-right activist, conspiracy theorist and white nationalist sympathizer who is a correspondent for One American News Network.</t>
  </si>
  <si>
    <t>Jim Watkins</t>
  </si>
  <si>
    <t>https://extremismterms.adl.org/glossary/jim-watkins</t>
  </si>
  <si>
    <t>Jim Watkins is a QAnon conspiracy theorist who, along with his son Ron Watkins, owns and operates 8kun, the imageboard site where Q posts.</t>
  </si>
  <si>
    <t>Not mentioned in backgrounder</t>
  </si>
  <si>
    <t>Joe Biggs</t>
  </si>
  <si>
    <t>https://extremismterms.adl.org/glossary/joe-biggs</t>
  </si>
  <si>
    <t>Joseph Biggs also known as Joe Biggs or "Rambo" is an influential Proud Boys member. Biggs was arrested on federal charges, including conspiracy, related to his participation in the insurrection at the national Capitol on January 6, 2021. He has been a long-standing far-right media personality and is a former Infowars staff member. He has tweeted highly offensive content about women and promotied violence against "antifa." The latter resulted in the suspension of his Twitter account.</t>
  </si>
  <si>
    <t>Joey Gibson</t>
  </si>
  <si>
    <t>https://extremismterms.adl.org/glossary/joey-gibson</t>
  </si>
  <si>
    <t>Joey Gibson is founder of the group Patriot Prayer, a putatively religious far-right extremist group active in the Pacific Northwest that claims to promote free speech while agitating primarily against liberal and left-wing activists. Members are often involved in violent confrontations with left-wing protesters. Patriot Prayer often allies with the Proud Boys for event organization and participation. Gibson ran for Senate as a Republican in 2018 and was defeated in the primary, earning only 2.3 percent of votes.</t>
  </si>
  <si>
    <t>Lauren Southern</t>
  </si>
  <si>
    <t>https://extremismterms.adl.org/glossary/lauren-southern</t>
  </si>
  <si>
    <t>Lauren Southern is a Canadian far-right political activist and internet personality. She promotes white nationalist ideas, such as the "white genocide" conspiracy.</t>
  </si>
  <si>
    <t>https://www.adl.org/resources/article/extremists-far-right-figures-exploit-recent-changes-twitter</t>
  </si>
  <si>
    <t>Martin Sellner</t>
  </si>
  <si>
    <t>https://extremismterms.adl.org/glossary/martin-sellner</t>
  </si>
  <si>
    <t>Martin Sellner is one of the leading figures of the far-right Identi√§re Bewegung (Identitarian Movement) in Austria and German-speaking countries, promoting racist, anti-Muslim or anti-refugee propaganda.</t>
  </si>
  <si>
    <t>Michelle Malkin</t>
  </si>
  <si>
    <t>https://extremismterms.adl.org/glossary/michelle-malkin</t>
  </si>
  <si>
    <t>Michelle Malkin is a conservative pundit and author who has aligned with white supremacists, particularly Nick Fuentes and the groypers, or the Groyper Army.</t>
  </si>
  <si>
    <t>https://www.adl.org/resources/article/michelle-malkin-attempting-normalize-white-supremacy</t>
  </si>
  <si>
    <t>https://www.adl.org/resources/backgrounder/groyper-army-and-america-first</t>
  </si>
  <si>
    <t>Milo Yiannopoulos</t>
  </si>
  <si>
    <t>https://extremismterms.adl.org/glossary/milo-yiannopoulos</t>
  </si>
  <si>
    <t>Milo Yiannopoulos is a controversial right-wing media personality who has made many racist, misogynistic, transphobic and xenophobic comments.</t>
  </si>
  <si>
    <t>https://adl.org/resources/backgrounder/milo-yiannopoulos-five-things-know</t>
  </si>
  <si>
    <t>Paul Gottfried</t>
  </si>
  <si>
    <t>https://extremismterms.adl.org/glossary/paul-gottfried</t>
  </si>
  <si>
    <t>Paul Gottfried is a retired professor who founded the H.L. Mencken Club in 2008, which has featured numerous racist speakers. He was also a mentor to Richard Spencer and has spoken in the past at Amercan Renaissance conferences.</t>
  </si>
  <si>
    <t>https://www.adl.org/resources/backgrounder/alt-right-primer-new-white-supremacy</t>
  </si>
  <si>
    <t>Peter Brimelow</t>
  </si>
  <si>
    <t>https://extremismterms.adl.org/glossary/peter-brimelow</t>
  </si>
  <si>
    <t>Brimelow is a writer and magazine editor who founded and runs the racist, anti-immigrant site VDARE and is often featured on VDARE TV.</t>
  </si>
  <si>
    <t>https://www.adl.org/resources/blog/white-supremacists-and-other-extremists-welcomed-cpac-2019</t>
  </si>
  <si>
    <t>Renaud Camus</t>
  </si>
  <si>
    <t>https://extremismterms.adl.org/glossary/renaud-camus</t>
  </si>
  <si>
    <t>Renaud Camus (b. 1946) is a French writer who popularized the Great Replacement theory in a 2011 essay titled "Le Grand Replacement," or "the great replacement." Camus focused on the belief that native white Europeans are being replaced in their countries by non-white immigrants, namely Muslims, who he asserted have a much higher birth rate than whites. His initial concept did not focus on Jews and was not antisemitic, but that element was later added by white supremacists who accepted the concept into the "white genocide" narrative.</t>
  </si>
  <si>
    <t>Ronald Watkins</t>
  </si>
  <si>
    <t>https://extremismterms.adl.org/glossary/ronald-watkins</t>
  </si>
  <si>
    <t>Ronald Watkins is a conspiracy theorist and QAnon influencer who, along with his father Jim Watkins, owned and operated 8chan, an imageboard website from 2016 to 2020.</t>
  </si>
  <si>
    <t>Craig Rosebraugh</t>
  </si>
  <si>
    <t>https://extremismterms.adl.org/glossary/craig-rosebraugh</t>
  </si>
  <si>
    <t>Left-wing, Single-issue</t>
  </si>
  <si>
    <t>Craig Rosebraugh shaped the ideological direction of the eco-terrorist group, Earth Liberation Front (ELF) from the late 1990s through the early 2000s. More than any other activist, Rosebraugh was able to infuse the eco-terror movement with a strong anti-capitalist and anti-government bent, which had the effect of broadening its potential targets as well as recruits. Rosebraugh became the movement's spokesperson in late 1997 and would go on to communicate messages for ELF adherents, taking credit for acts of sabotage resulting in millions of dollars in damages.</t>
  </si>
  <si>
    <t>https://www.adl.org/resources/report/ecoterrorism-extremism-animal-rights-and-environmentalist-movements</t>
  </si>
  <si>
    <t>Dave Foreman</t>
  </si>
  <si>
    <t>https://extremismterms.adl.org/glossary/dave-foreman</t>
  </si>
  <si>
    <t>Dave Foreman is a former lobbyist for the Wilderness Society and one of the founders of "Earth First!" - an ardent environmentalist group. In his 1985 book "Ecodefense: A Field Guide to Monkeywrenching," Foreman provided detailed instructions on how to perform various methods of sabotage, from disabling equipment to properly spiking a tree. In 1989, Foreman and three other members of Earth First! were arrested by the FBI on charges of conspiracy to sabotage nuclear facilities. Foreman pleaded guilty to reduced charges and did not serve any jail time. He left the group in 1990.</t>
  </si>
  <si>
    <t>Kevin Kjonaas</t>
  </si>
  <si>
    <t>https://extremismterms.adl.org/glossary/kevin-kjonaas</t>
  </si>
  <si>
    <t>Kevin Kjonaas served as spokesperson for the radical animal rights group, Stop Huntingdon Animal Cruelty (SHAC) in the early 2000s. Prior to that, Kjonaas also briefly served in a similar role for the ecoterrorist group Animal Liberation Front (ALF) in 1999. Kjonaas was ultimately sentenced to 6 years in prison in 2006 for his role in inciting violence against entities that did business with Huntingdon Life Sciences, which operated an animal testing lab in New Jersey.</t>
  </si>
  <si>
    <t>No additional associated resources (MLM)</t>
  </si>
  <si>
    <t>Leila Khaled‚ÄØ</t>
  </si>
  <si>
    <t>https://extremismterms.adl.org/glossary/leila-khaled</t>
  </si>
  <si>
    <t>Leila Khaled, currently based in Jordan, is a member of the U.S. State Department-designated terrorist organization Popular Front for the Liberation of Palestine (PFLP). She is well-known for her role in the hijacking of two civilian airliners, TWA Flight 840 in 1969 (bound for Tel Aviv from Rome) and El Al flight 219 in 1970 (traveling from Amsterdam to New York City). Khaled is lionized in many anti-Zionist circles and is sometimes invited to speak on university campuses in the United States. Anti-Zionist groups frequently venerate her legacy of ‚Äúresistance‚Äù and disseminate‚ÄØstylized images of her holding a rifle on social media or in other materials.  
In interviews and speaking engagements, Khaled continues to express support for violence against Israelis. Khaled has supported ‚Äúchildren come[sic] out[sic] stabbing settler or soldier, using the[sic] cars.‚Äù Referencing the terrorist group Hamas, she has stated: ‚ÄúAnyone who fights Israel is on the same trench as we are.‚Äù She has also opined that ‚Äúthe Jews‚Äù are ‚Äúa new copy of Nazis,‚Äù referring to Israel‚Äôs treatment of Palestinians.‚ÄØ‚ÄØ</t>
  </si>
  <si>
    <t>https://www.adl.org/resources/blog/leila-khaled-her-own-words</t>
  </si>
  <si>
    <t>Rasmea Odeh‚ÄØ</t>
  </si>
  <si>
    <t>https://extremismterms.adl.org/glossary/rasmea-odeh</t>
  </si>
  <si>
    <t>Rasmea Odeh, an anti-Israel activist based in Jordan, was convicted in an Israeli court in 1970 for her alleged involvement in a 1969 supermarket bombing that killed Israeli college students Leon Kanner and Eddie Joffe. Odeh gained prominence in 2017 when she was deported from the U.S. following a trial that determined she had intentionally neglected to mention her terror conviction in official immigration forms. She is venerated by prominent anti-Zionist organizations and activists, including Students for Justice in Palestine and Jewish Voice for Peace.  
In a 2017 essay in the anti-Zionist publication The Electronic Intifada, she expressed support for a ‚Äúhistorical Palestine [West Bank, Gaza and Israel]‚ÄØliberated from Zionism,‚Äù which may reasonably be interpreted as a call for most Israelis (who identify as Zionists) to leave Israel. She has also admitted to planting bombs in Israel: ‚ÄúWe had placed a bomb there to protest Britain's decision to furnish arms to Israel. Actually we placed two bombs, the first was found before it went off so we placed another.‚Äù</t>
  </si>
  <si>
    <t xml:space="preserve">https://www.adl.org/resources/article/convicted-terrorist-address-jewish-voice-peace-conference-chicago , https://www.adl.org/resources/article/some-us-anti-israel-activists-express-support-terrorist-activity </t>
  </si>
  <si>
    <t>https://www.adl.org/resources/article/some-us-anti-israel-activists-express-support-terrorist-activity</t>
  </si>
  <si>
    <t>added 2 options. the newest one may be more relevant</t>
  </si>
  <si>
    <t>Sami Al-Arian</t>
  </si>
  <si>
    <t>https://extremismterms.adl.org/glossary/sami-al-arian</t>
  </si>
  <si>
    <t>Sami Al-Arian is a prominent academic and radical anti-Israel activist who pled guilty to conspiring with the Palestinian Islamic Jihad terrorist group and was deported from the U.S. in 2015. He currently resides in Turkey, where he leads the Center for Islam and Global Affairs at Istanbul Zaim University. He often convenes webinars featuring prominent anti-Zionist activists. In a February 2021 post on Facebook, he signaled his support for Palestinian terror groups including Islamic Jihad, Hamas, and the Popular Front for the Liberation of Palestine; he has also called for Palestinians to ‚Äúconfront the Zionist enemy‚Äù and for Israel to be ‚Äúdismantled" and said (in a November 2019 Facebook post) that Israel is guilty of ‚Äúenslaving Palestinian workers.‚Äù Although a significant majority of Jews across the globe believe that Zionism or support for Israel is an integral part of their Jewish identity, in a February 2021 Facebook post Al-Arian called for ‚Äúsaving the Jewish religion from Zionism, (a political ideology).‚Äù</t>
  </si>
  <si>
    <t>mentioned here with quotes: https://www.adl.org/resources/blog/center-middle-east-studies-university-denver-turkish-ministry-co-sponsor-conference</t>
  </si>
  <si>
    <t>Jerry Vlasak</t>
  </si>
  <si>
    <t>https://extremismterms.adl.org/glossary/jerry-vlasak</t>
  </si>
  <si>
    <t>Jerry Vlasak is a former trauma surgeon who co-founded the North American Animal Liberation Press Office, which shares information and statements from extremist cells that commit criminal activity. Vlasak serves as one of the primary spokespeople for the extreme animal rights movement. In interviews with media, he has expressed support for acts of violence and intimidation, carried out against University of California scientists and against humans in general, believing it's justified to save an animal's life. The tactics and ideology promoted by Vlasak were put into practice by animal rights extremists, who launched a series of targeted attacks against the University of California system from 2003 to 2008; Vlasak blamed targeted researchers for any harm done to them.</t>
  </si>
  <si>
    <t>Abdel Aziz Rantisi</t>
  </si>
  <si>
    <t>https://extremismterms.adl.org/glossary/abdel-aziz-rantisi</t>
  </si>
  <si>
    <t>Co-founder of Hamas along with Sheikh Ahmed Yassin. Rantisi served as Hamas's political leader and opposed any cooperation with the Israeli government, instead insisting that the only acceptable outcome was the establishment of a Palestinian state including the entire territory of Israel. Rantisi was killed April 17, 2004 in an Israeli missile strike.</t>
  </si>
  <si>
    <t>Abdul Alim Musa</t>
  </si>
  <si>
    <t>https://extremismterms.adl.org/glossary/abdul-alim-musa</t>
  </si>
  <si>
    <t>Abdul Alim Musa, born Clarence Reams, is an American Islamist extremist who founded the radical group As-Sabiqun as well as the Islamic Institute of Counter-Zionist Psychological Warfare. Musa has claimed that the Jews ran the Trans-Atlantic slave trade; that, compared to what had been done to Native Americans and African Americans the Holocaust was 'small potatoes;' that Jews are the enemy of humanity; that Jews control America and that Jews have manipulated Arab leaders into being drunk, broke and engaged in internecine warfare.</t>
  </si>
  <si>
    <t>May want to update: https://www.adl.org/resources/backgrounder/sabiqun-and-anti-semitism-campus</t>
  </si>
  <si>
    <t>Abdul Razak Ali Artan</t>
  </si>
  <si>
    <t>https://extremismterms.adl.org/glossary/abdul-razak-ali-artan</t>
  </si>
  <si>
    <t>Abdul Razak Ali Artan was one of the perpetrators of the November 28, 2016, terrorist attack at the Ohio State University. Artan reportedly called the school to warn of a gas leak in one of the labs, and when students and staff were evacuated, he drove a Honda Civic into the crowd, deliberately striking pedestrians. After crashing into a wall, Artan got out of the car and began to slash at the crowd with a butcher's knife. Artan was shot and killed by an Ohio State University police officer. He was inspired by both ISIS propaganda and the sermons of radical imam Anwar al Awlaki. ISIS's Amaq News Agency claimed credit for inspiring the attack the next day.</t>
  </si>
  <si>
    <t>https://www.adl.org/resources/article/when-isis-claims-responsibility-attacks-us</t>
  </si>
  <si>
    <t>Abdullah Azzam</t>
  </si>
  <si>
    <t>https://extremismterms.adl.org/glossary/abdullah-azzam</t>
  </si>
  <si>
    <t>Abdullah Azzam (1941-1989) was an influential Palestinian Salafi jihadist who popularized the concept of 'defensive jihad' during the Soviet invasion of Afghanistan to encourage foreign volunteer fighters to travel to join the mujahideen movement. After the Soviet withdrawal from Afghanistan in 1988, he began to advocate for battles on behalf of Muslims all over the world, and became known as the "father of global jihad." Azzam was also a mentor to Osama bin Laden. He was assassinated in a bomb blast in 1989 in Peshawar, Pakisatan</t>
  </si>
  <si>
    <t>https://www.adl.org/resources/article/911-video-al-qaeda-doubles-down-enmity-toward-jews-and-israel</t>
  </si>
  <si>
    <t>Abdullah el Faisal</t>
  </si>
  <si>
    <t>https://extremismterms.adl.org/glossary/abdullah-el-faisal</t>
  </si>
  <si>
    <t>Abdullah el Faisal is an extremist cleric who was convicted in February 2003 in the United Kingdom of inciting hatred against Jews, Hindus, Christians, Americans and others he considers "unbelievers." He first became an Imam in 1991, and preached increasingly extremist messages until his arrest in 2003. El Faisal served nine years in prison and was deported to Jamaica in 2010. He was indicted again in New York in 2017. He has been connected to many radicalized individuals who went on to attempt to commit violent attacks, including Richard Reid and Umar Farouq Abdulmutallib.</t>
  </si>
  <si>
    <t>may consider updating - https://www.adl.org/resources/report/sheikh-abdullah-faisal-ideologue-hate</t>
  </si>
  <si>
    <t>Abu Bakr al Baghdadi</t>
  </si>
  <si>
    <t>https://extremismterms.adl.org/glossary/abu-bakr-al-baghdadi</t>
  </si>
  <si>
    <t>Abu Bakr al Baghdadi was an Iraqi terrorist and leader of ISIS during its period of territorial expansion in Iraq and Syria. He took over in 2010, and on June 29, 2014, he declared the establishment of the ISIS caliphate. Al Baghdadi oversaw the group's campaign of human rights abuses including torturing and murdering civilians, mass executions, the practice of sexual slavery and the genocide of ethnic and religious minorities. He was killed in a US raid in October 2019.</t>
  </si>
  <si>
    <t>Mentioned here: https://www.adl.org/resources/article/isiss-new-frontier-combating-decentralization-defeat-and-despair</t>
  </si>
  <si>
    <t>Abu Musab al-Zarqawi</t>
  </si>
  <si>
    <t>https://extremismterms.adl.org/glossary/abu-musab-al-zarqawi</t>
  </si>
  <si>
    <t>Abu Musab al-Zarqawi was the leader of ISIS's predecessor organization, Al Qaeda in Iraq. Al Qaeda in Iraq split from the central Al Qaeda terrorist organization in 2004. As leader of Al Qaeda in Iraq, Zarqawi emphasized sectarian warfare, condoned attacks on Shia Muslims and introduced beheading videos as a common propaganda feature. Letters between Zarqawi and Al Qaeda leadership revealed plans for the territorial expansion of his group in Iraq, which ISIS would use as a foundation for its own caliphate later on, after Zarqawi's death in 2006. Though Zarqawi didn't found ISIS, which officially formed after his death, most scholars consider him to be the originator of ISIS, including ISIS itself which named its childhood education programs after him.</t>
  </si>
  <si>
    <t>Adam Yahiye Gadahn</t>
  </si>
  <si>
    <t>https://extremismterms.adl.org/glossary/adam-yahiye-gadahn</t>
  </si>
  <si>
    <t>Adam Yahiye Gadahn was born Adam Pearlman in Oregon in 1978; his father changed their last name to Gadahn after converting to Christianity. Adam later converted to Islam and quickly radicalized‚Äî he was arrested in 1997 for assaulting his former Imam for wearing Western clothing. Gadahn then moved to Pakistan and eventually became an advisor, translator and video producer to Osama bin Laden. In video appearances, he threatened to attack the U.S. and sometimes went by the name "Azzam the American." He was killed by a U.S. drone strike in Pakistan in 2015.</t>
  </si>
  <si>
    <t>mentioned here: https://www.adl.org/resources/news/al-qaeda-releases-first-ever-english-terror-magazine, https://www.adl.org/resources/news/new-jersey-men-arrested-attempting-join-somali-terrorist-group</t>
  </si>
  <si>
    <t>Ahmad Abousamra</t>
  </si>
  <si>
    <t>https://extremismterms.adl.org/glossary/ahmad-abousamra</t>
  </si>
  <si>
    <t>Ahmad Abousamra was a Syrian-American extremist, foreign fighter and editor-in-chief of ISIS's English language publication, Dabiq Magazine, which focused on recruiting Westerners as foreign fighters. He was killed by a U.S. drone strike in Syria in January 2017.</t>
  </si>
  <si>
    <t>https://www.adl.org/resources/profile/ahmad-abousamra</t>
  </si>
  <si>
    <t>Ahmad Khan Rahimi</t>
  </si>
  <si>
    <t>https://extremismterms.adl.org/glossary/ahmad-khan-rahimi</t>
  </si>
  <si>
    <t>Ahmad Khan Rahimi (b. 1988) is an Afghan-born U.S. citizen who detonated two pipe bombs in the Chelsea neighborhood of New York City on September 17, 2016, injuring 30 people. He placed a third bomb in New Jersey along the route of the Seaside Semper Five Marine Corps Charity 5K race. Police also found six additional improvised explosive devices in a backpack, one of which detonated as a robot attempted to disarm it. Rahimi was located by police and shot several times before being subdued. Rahimi had been radicalized by ISIS and committed the attacks in support of the group. He also reportedly attempted to radicalize other inmates while in jail awaiting sentencing. Rahimi was sentenced to life in prison in 2018.</t>
  </si>
  <si>
    <t>Justin: I could not find anywhere else on our site this person is mentioned</t>
  </si>
  <si>
    <t>Ahmed Yassin</t>
  </si>
  <si>
    <t>https://extremismterms.adl.org/glossary/ahmed-yassin</t>
  </si>
  <si>
    <t>Ahmed Yassin was the co-founder of Hamas alongside Abdel Aziz Rantisi. Yassin served as the group's spiritual leader until he was killed by the Israeli military on March 22, 2004. Yassin encouraged Hamas's campaign of suicide bombing and martyrdom against Israel and asserted that the entirety of its territory belonged to Palestine. He also frequently conflated Jews and Israelis in his violent rhetoric and encouraged the targeting of Israeli civilians. His killing was internationally condemned and his funeral procession was attended by 200,000 Palestinian mourners.</t>
  </si>
  <si>
    <t>Akayed Ullah</t>
  </si>
  <si>
    <t>https://extremismterms.adl.org/glossary/akayed-ullah</t>
  </si>
  <si>
    <t>Akayed Ullah attempted to detonate an improvised explosive device in the subway station near New York Port Authority Bus Terminal on December 11, 2017. Ullah, a Bangladeshi citizen and lawful permanent resident of the U.S. was inspired by ISIS to carry out the attack. Ullah began to radicalize in 2014 and claimed that he was initially drawn to ISIS's message because of his anger at American policy in the Middle East. He was sentenced to life in prison in April 2021.</t>
  </si>
  <si>
    <t>https://www.adl.org/sites/default/files/homegrown-threat-islamist-extremist-plots-in-the-united-states-2018-plots-table.pdf</t>
  </si>
  <si>
    <r>
      <rPr>
        <sz val="12"/>
        <color rgb="FF467886"/>
        <rFont val="Aptos Narrow"/>
        <scheme val="minor"/>
      </rPr>
      <t xml:space="preserve">Another good resource: </t>
    </r>
    <r>
      <rPr>
        <u/>
        <sz val="12"/>
        <color rgb="FF467886"/>
        <rFont val="Aptos Narrow"/>
        <scheme val="minor"/>
      </rPr>
      <t>https://www.adl.org/resources/article/foreign-terror-organizations-respond-us-embassy-relocation-jerusalem</t>
    </r>
  </si>
  <si>
    <t>Ali Kourani</t>
  </si>
  <si>
    <t>https://extremismterms.adl.org/glossary/ali-kourani</t>
  </si>
  <si>
    <t>Ali Kourani is a member of Hezbollah's "Islamic Jihad Organization" branch who was sent to New York City in order to conduct surveillance of potential attack targets, including critical infrastructure, airports, federal buildings and even daycare centers. Based on terrorism, sanctions and immigration convictions, Kourani was sentenced to 40 years in prison in December 2019. He was the first Islamic Jihad Organization operative to be sentenced in the U.S.</t>
  </si>
  <si>
    <t>mentioned here:https://www.adl.org/resources/article/six-facts-about-threats-jewish-community</t>
  </si>
  <si>
    <t>Anjem Choudary</t>
  </si>
  <si>
    <t>https://extremismterms.adl.org/glossary/anjem-choudary</t>
  </si>
  <si>
    <t>Anjem Choudary is a British Islamist activist who founded a number of Salafist institutions and openly supported ISIS's activities. He has influenced radical individuals throughout Europe and America. In 2016, he was convicted in the UK undersection 12 of the Terrorist Act of 2000 and was sentenced to five and a half years in prison. He was released in October 2018 but banned from using social media until July 2021.</t>
  </si>
  <si>
    <t>Anwar al Awlaki</t>
  </si>
  <si>
    <t>https://extremismterms.adl.org/glossary/anwar-al-awlaki</t>
  </si>
  <si>
    <t>Anwar al Awlaki was a Yemeni-American imam who served as a prominent recruiter for Al Qaeda in the Arabian Peninsula. His lectured inspired many of the worst domestic Islamist terrorist attacks, including Nidal Hasan's attack on Fort Hood, and the Garland, TX shooting. He was killed in 2011 by a U.S. drone strike in Yemen.</t>
  </si>
  <si>
    <t>https://www.adl.org/resources/article/islamists-launch-three-new-magazines-hoping-one-will-inspire</t>
  </si>
  <si>
    <t>Cole James Bridges</t>
  </si>
  <si>
    <t>https://extremismterms.adl.org/glossary/cole-james-bridges</t>
  </si>
  <si>
    <t>Cole James Bridges, aka Cole Gonzales, is a U.S. Army soldier who was arrested and charged by the Southern District of New York in January 2021 for plotting to assist ISIS in attacking and killing his fellow soldiers when they deployed to the Middle East. He also offered to use his training in the U.S. military to assist ISIS in planning attacks and training their own recruits.</t>
  </si>
  <si>
    <t>Khalid Sheikh Mohammed</t>
  </si>
  <si>
    <t>https://extremismterms.adl.org/glossary/khalid-sheikh-mohammed</t>
  </si>
  <si>
    <t>Khalid Sheikh Mohammed is an Al Qaeda member and the mastermind of the 9/11 terror attacks. He was arrested in Rawalpindi, Pakistan in 2003 and is currently in detention at Guantanamo Bay. He also organized and funded the 1993 World Trade Center bombing, the 2001 shoe bomber plot and the 2002 murder of American journalist Daniel Pearl.</t>
  </si>
  <si>
    <t>Mentioned here:https://www.adl.org/resources/article/pakistani-woman-linked-al-qaeda-found-guilty-new-york</t>
  </si>
  <si>
    <t>Majid Khan</t>
  </si>
  <si>
    <t>https://extremismterms.adl.org/glossary/majid-khan</t>
  </si>
  <si>
    <t>Majid Khan is an Al Qaeda member who worked with Khalid Sheikh Mohammed and participated in several high-profile operations. In 2003, he transported $50,000 from Pakistan to an Al Qaeda affiliate which was eventually used in the deadly 2003 bombing of a Marriott hotel in Jakarta, Indonesia. He also allegedly wore a suicide vest in a failed attempt to assassinate then-Pakistani president Pervez Musharraf in 2002. Khan is a Pakistani-American who radicalized after the death of his mother in 2001, when he returned to Pakistan to join Al Qaeda. He was arrested when he returned to the U.S. in 2002 and has been held in Guantanamo Bay and various overseas black sites. He also has reportedly been tortured, including being waterboarded repeatedly and force-fed. It was reported in October 2021 that because Khan has become a cooperator with the U.S. government, his prison sentence could end as early as February 2022 and as late as February 2025.</t>
  </si>
  <si>
    <t>Major Nidal Hasan</t>
  </si>
  <si>
    <t>https://extremismterms.adl.org/glossary/major-nidal-hasan</t>
  </si>
  <si>
    <t>Major Nidal Hasan went on a shooting spree at Fort Hood, Texas in 2009, killing 13 people and injuring more than 30 others. Hasan was in contact with Anwar al-Awlaki, the influential American-born terrorist idealogue. In his 16 emails to al-Awlaki, Hasan asked if attacking military personnel and "indiscriminately killing civilians" were good ideas. He also expressed that hatred of Israel could unify "all Muslims regardless of... difference."</t>
  </si>
  <si>
    <t>Mentioned here:https://www.adl.org/resources/blog/extremism-us-military-problems-and-solutions</t>
  </si>
  <si>
    <t>Muhammad Youssef Abdulazeez</t>
  </si>
  <si>
    <t>https://extremismterms.adl.org/glossary/muhammad-youssef-abdulazeez</t>
  </si>
  <si>
    <t>Muhammad Youssef Abdulazeez (1990-2015) was an Islamist extremist who opened fire at two military sites in Chattanooga, Tennessee on July 16, 2015, killing four Marines and a Navy sailor. Abdulazeez, a Kuwaiti-born U.S. national, is believed to have been motivated by radical Muslim cleric Anwar al-Awlaki. Abdulazeez was killed in a gunfight with police officers responding to the shooting.</t>
  </si>
  <si>
    <t>Mentioned here:https://www.adl.org/resources/article/poway-attack-illustrates-danger-right-wing-extremists-pose-jews-muslims</t>
  </si>
  <si>
    <t>Mullah Mohammed Omar</t>
  </si>
  <si>
    <t>https://extremismterms.adl.org/glossary/mullah-mohammed-omar</t>
  </si>
  <si>
    <t>Mullah Mohammed Omar (1960-2013) was the founder of the Taliban. He was born in Khakrez, Afghanistan in 1960. Starting in 1994, the Taliban began to seize large parts of Afghanistan, and Mullah Omar was appointed as head of the Supreme Council of the Islamic Emirate of Afghanistan. During his tenure, he harbored Al Qaeda and Osama bin Laden, allowing them to plan, organize and execute the 9/11 terror attacks. He was deposed as the head of the government and went into hiding after the U.S. invasion of Afghanistan in 2001. He died of tuberculosis in Zabul Province, Afghanistan in April 2013.</t>
  </si>
  <si>
    <t>Najibullah Zazi</t>
  </si>
  <si>
    <t>https://extremismterms.adl.org/glossary/najibullah-zazi</t>
  </si>
  <si>
    <t>Najibullah Zazi is an Afghan-American who drove from his home in Colorado to New York City on September 9, 2009 with the intention of detonating explosives above the New York City subway during rush hour as part of a three-man martyrdom operation on behalf of Al Qaeda. However, authorities were aware of the plan, and Zazi fled before the attack was carried out. He was arrested a few days later. Zazi, who had undergone explosives and weapons training at an Al Qaeda camp in Pakistan in 2008, was charged with one count of material support of terrorism, one count of conspiring to use a weapon of mass destruction and conspiracy to commit murder in a foreign country. Sentencing was delayed extensively while he cooperated with law enforcement, and in 2019, he was sentenced to ten years in prison (effectively, time served) and released.</t>
  </si>
  <si>
    <t>Noelle Velentzas and Asia Siddiqui</t>
  </si>
  <si>
    <t>https://extremismterms.adl.org/glossary/noelle-velentzas-and-asia-siddiqui</t>
  </si>
  <si>
    <t>Noelle Velentzas and Asia Siddiqui are American Al Qaeda-inspired domestic terrorists. Between 2013 and 2015, they taught each other how to construct a bomb, which they intended to use in an attack targeting law enforcement. Siddiqui also wrote and submitted extremist propaganda to Samir Khan, a prominent (now deceased) leader of Al Qaeda in the Arabian Peninsula. They were arrested in 2015 and pleaded guilty to teaching and distributing information about weapons of mass destruction. Siddiqui was sentenced to 15 years in prison while Velentzas received a 16 year sentence.</t>
  </si>
  <si>
    <t>Omar Shafik Hammami aka Abu Mansoor al Amriki</t>
  </si>
  <si>
    <t>https://extremismterms.adl.org/glossary/omar-shafik-hammami-aka-abu-mansoor-al-amriki</t>
  </si>
  <si>
    <t>Omar Shafik Hammami (1984-2013), aka Abu Mansoor al Amriki, was an American foreign terrorist fighter who traveled to Somalia to join al Shabaab. Hammami was raised as a Christian in Alabama and converted to Islam sometime during high school. In late 2006, he left the U.S. to join al Shabaab, leaving behind his wife and infant daughter. Because of his fluency in English and Arabic, along with his leadership skills, Hammami quickly rose to a high level position within al Shabaab, the highest any American has achieved within the group. He became a prominent propaganda figure, and even released several English-language raps intended to attract a younger American audience to jihad. Hammami was killed in September 2013 in an ambush by al Shabaab due to a dispute with the group's leadership over whether Hamammi's online profile gave him too much influence within al Shabaab.</t>
  </si>
  <si>
    <t>Osama bin Laden</t>
  </si>
  <si>
    <t>https://extremismterms.adl.org/glossary/osama-bin-laden</t>
  </si>
  <si>
    <t>Osama bin Laden (1957-2011) is perhaps the most influential and infamous terrorist leader in history. He originally became involved in the jihadist sphere when he traveled to Pakistan from his home in Saudi Arabia to help organize the mujahideen's fight against the Soviet invasion. He became an influential figure due to his extensive personal connections and also because he funded parts of the campaign directly with his family's wealth. In 1988, he founded Al Qaeda, intending for it to act as an organizational base for future jihadist campaigns. As Al Qaeda's leader, he oversaw numerous attacks against America and the West, including the 1998 bombings of the U.S. embassies in Kenya and Tanzania and the 9/11 attacks on the Twin Towers. Bin Laden was killed by U.S. forces in a raid on his compound in Abbottabad, Pakistan in May 2011.</t>
  </si>
  <si>
    <t>Ramadan Abdullah Shallah</t>
  </si>
  <si>
    <t>https://extremismterms.adl.org/glossary/ramadan-abdullah-shallah</t>
  </si>
  <si>
    <t>Ramadan Shallah was the leader of the Palestinian Islamic Jihad (PIJ) group from 1995-2018. Under his leadership, PIJ was responsible for numerous attacks on Israeli citizens and in 2007 he was placed on the FBI's Most Wanted Terrorists list. In April 2018 he was succeeded by Ziyad al Nakhalah. He died in 2020 after suffering from a long illness.</t>
  </si>
  <si>
    <t>Ramzi Yousef</t>
  </si>
  <si>
    <t>https://extremismterms.adl.org/glossary/ramzi-yousef</t>
  </si>
  <si>
    <t>Ramzi Yousef is a Pakistani Al Qaeda operative who participated in several high profile attacks on behalf of the terrorist group. Yousef was the lead in the 1993 bombing of the World Trade Center in New York City and a perpetrator of the 1994 bombing of Philippine Airlines Flight 434. He is also the nephew of Al Qaeda senior leader Khalid Sheikh Mohammed. Yousef was arrested in Islamabad, Pakistan in 1995 while trying to sell a bomb constructed inside a baby doll. He is currently serving a life sentence at ADX Florence, a supermax federal prison in Colorado.</t>
  </si>
  <si>
    <t>https://www.adl.org/resources/news/two-men-arrested-new-york-terror-plot-targeting-jews</t>
  </si>
  <si>
    <t>Samir Khan</t>
  </si>
  <si>
    <t>https://extremismterms.adl.org/glossary/samir-khan</t>
  </si>
  <si>
    <t>Samir Khan is a Pakistani-American extremist. He was born in Saudi Arabia and grew up in New York before moving to Yemen to join Al Qaeda. He was the editor and publisher of Al Qaeda in the Arabian Peninsula's online English-language magazine, Inspire. He was killed by a U.S. drone strike in 2011 in Yemen; the same strike as Anwar al Awlaki.</t>
  </si>
  <si>
    <t>Mentioned here:https://www.adl.org/resources/blog/adam-gadahn-american-al-qaeda-spokesman-reported-dead</t>
  </si>
  <si>
    <t>Sayfullo Saipov</t>
  </si>
  <si>
    <t>https://extremismterms.adl.org/glossary/sayfullo-saipov</t>
  </si>
  <si>
    <t>Sayfullo Saipov is an Uzbek citizen who committed a domestic terror attack inspired by ISIS on October 31, 2017. During the attack, Saipov drove his vehicle into the bike path along the Hudson River in New York City, killing eight people and injuring 11 others. After his pickup truck collided with a school bus, Saipov exited the vehicle and, waving a paintball gun and a pellet gun, ran along the path screaming "Allahu Akbar" before a police officer shot him in the abdomen. Saipov has been indicted on 22 charges, including material support of terrorism and murder and attempted murder in aid of racketeering.</t>
  </si>
  <si>
    <t>https://www.adl.org/resources/report/murder-and-extremism-united-states-2017</t>
  </si>
  <si>
    <t>Second Lt. Mohammed Saeed Alshamrani</t>
  </si>
  <si>
    <t>https://extremismterms.adl.org/glossary/second-lt-mohammed-saeed-alshamrani</t>
  </si>
  <si>
    <t>Second Lt. Mohammed Saeed Alshamrani was a member of the Saudi Arabian military who attacked the Naval Air Station in Pensacola, Florida, on December 6, 2019, killing three people and injuring eight others. Alshamrani was part of a Saudi military delegation invited to take part in a US Naval flight training session. He was motivated by an Islamist extremist ideology and is believed to have been linked to Al Qaeda in the Arabian Peninsula. Alshamrani was killed by law enforcement during the attack. After the shooting, AQAP released messages from Alshamrani showing that he had been instructed by AQAP to commit the attack.</t>
  </si>
  <si>
    <t>Mentioned here: https://www.adl.org/resources/report/murder-and-extremism-united-states-2019</t>
  </si>
  <si>
    <t>Sheikh Omar Abdel Rahman</t>
  </si>
  <si>
    <t>https://extremismterms.adl.org/glossary/sheikh-omar-abdel-rahman</t>
  </si>
  <si>
    <t>Omar Abdel Rahman (1938-2017), colloquially known as the Blind Sheikh, was the leader of the Egyptian terrorist group Gama'a Islamiyya. His group was involved in the assassination of Egyptian president Anwar Sadat in 1981, and although Rahman was acquitted, he was expelled from Egypt and moved to the U.S. after the trial in 1990. In the U.S., he preached at a series of mosques and gained a small but devoted following. Rahman preached hateful and extremist ideas, including virulently antisemitic remarks, once issuing a fatwa stating that it was permissible under Islam to rob banks and kill Jews and that Muslims had a religious obligation to destroy the West. He was indicted as part of the investigation into the 1993 World Trade Center bombing and served a life sentence. He died in prison in 2017.</t>
  </si>
  <si>
    <t>Mentioned here: https://www.adl.org/sites/default/files/muslim-extremists-threat-to-jews-2013-4-24-v1.pdf</t>
  </si>
  <si>
    <t>The Beatles</t>
  </si>
  <si>
    <t>https://extremismterms.adl.org/glossary/beatles</t>
  </si>
  <si>
    <t>Mohammed Emwazi, Aine Davis, Alexanda Kotey, and El Shafee Elsheikh were four London-raised men who traveled to join the ISIS. They became infamous for their presence in ISIS beheading videos, during which they killed at least 27 ISIS captives and are thought to have held and tortured many more. Some of their hostages dubbed these men "the Beatles" and gave each a nickname corresponding to their respective musical counterpart. However in 2015, Emwazi was killed in Raqqa, Syria and the three other men have been arrested and are standing trial for the crimes they committed on behalf of ISIS. An international manhunt began in August 2014 to track down the four men after they were featured in the beheading of journalist James Foley.</t>
  </si>
  <si>
    <t>Umar Farouk Abdulmutallab</t>
  </si>
  <si>
    <t>https://extremismterms.adl.org/glossary/umar-farouk-abdulmutallab</t>
  </si>
  <si>
    <t>Umar Farouk Abdulmutallab, also known as "the Underwear bomber," is a Nigerian-born terrorist who unsuccessfully attempted to bring down an airplane flying from Amsterdam in the Netherlands to Detroit, Michigan, on December 25, 2009, using a bomb he smuggled in his underwear. Al Qaeda in the Arabian Peninsula claimed to have radicalized Abdulmutallab and provided him with the explosives. He was restrained by other passengers after he managed to light a wall of the plane and his own pants on fire. He was sentenced to life in prison in February 2012.</t>
  </si>
  <si>
    <t>Yahya Sinwar</t>
  </si>
  <si>
    <t>https://extremismterms.adl.org/glossary/yahya-sinwar</t>
  </si>
  <si>
    <t>Yahya Sinwar, widely known as the architect of the October 7, 2023, massacre in Israel, was a key Hamas leader who served as the Gaza Political Bureau chief from 2017 until July 2024 and organization-wide Political Bureau chief from July 2024 -- following the assassination of Ismail Haniyeh -- until he was killed by the Israeli military in Rafah on October 16, 2024. Many U.S. anti-Zionist activists, including numerous Students for Justice in Palestine (SJP) chapters, have expressed admiration for Sinwar.An early member of Hamas, formed in 1987, Sinwar founded and headed the Palestinian terror group‚Äôs internal security apparatus and served about two decades in Israeli prisons for his involvement in planning the abduction and murder of two Israeli soldiers and executing Palestinians suspected of¬†informing for Israel. These killings earned him the monicker of ‚Äúthe butcher of Khan Younis,‚Äù the south Gazan city where he was born and raised. Sinwar was released in 2011 as part of the Gilad Shalit deal. He had been designated by the United States as a terrorist in 2015.¬†Sinwar is viewed as a symbol of resistance among many U.S. anti-Zionist organizations, including the extreme anti-Zionist group Samidoun, which was sanctioned by the U.S. government in October 2024 for being a ‚Äúsham charity‚Äù that raises funds for U.S.-designated terrorist group Popular Front for the Liberation of Palestine (PFLP). Samidoun-branded banners and T-shirts featuring Sinwar‚Äôs face and framed images of him have also appeared at rallies sponsored by radical anti-Zionist group Within Our Lifetime (WOL).Both preceding and following his death, Sinwar‚Äôs writings and book have had a long-reaching impact in U.S. anti-Zionist spaces and have been cited in obituaries, essays, and social media postings by student activist groups. After his death, many anti-Zionist activists, groups, publications and student organizations including SJP chapters, WOL, Samidoun and others, lionized, mourned, and honored Sinwar.¬†</t>
  </si>
  <si>
    <t>https://www.adl.org/resources/article/anti-israel-activists-pay-tribute-107-architect-yahya-sinwar-reflecting-pattern</t>
  </si>
  <si>
    <t>Aafia Siddiqui</t>
  </si>
  <si>
    <t>https://extremismterms.adl.org/glossary/aafia-siddiqui</t>
  </si>
  <si>
    <t>Siddiqui is a Pakistani woman who studied neuroscience at Brandeis and MIT in the 1990s and returned to Pakistan in 2003. She allegedly worked as a courier and financier for Al Qaeda. She was taken into custody in 2008 in Ghazi, Afghanistan, where she shot at visiting FBI and Army personnel. She was extradited to the U.S. and charged with assault and attempted murder of U.S. nationals in Afghanistan, and later sentenced to 86 years in prison.</t>
  </si>
  <si>
    <t>https://www.adl.org/resources/article/pakistani-woman-linked-al-qaeda-found-guilty-new-york</t>
  </si>
  <si>
    <t>Ayman al Zawahiri</t>
  </si>
  <si>
    <t>https://extremismterms.adl.org/glossary/ayman-al-zawahiri</t>
  </si>
  <si>
    <t>Ayman al Zawahiri is a Salafi-jihadist terrorist and the current head of Al Qaeda. Born in Egypt in 1951, Zawahiri originally trained as a physician before becoming involved in the Muslim Brotherhood. After the Egyptian government executed Sayyid Qutb, a prominent Muslim Brotherhood ideologue, for conspiracy, Zawahiri founded the terrorist group Egyptian Islamic Jihad. He eventually merged this group with Osama bin Laden's Al Qaeda, and Zawahiri went on to serve as a top advisor to bin Laden. After bin Laden was killed in 2011, Zawahiri took over leadership of Al Qaeda. Under his leadership, Al Qaeda has shifted to a model of regional affiliates supporting locally focused insurgencies, with less focus on launching large-scale, international attacks. Nevertheless, Al Qaeda's brand has proven to be durable under pressure from international counterterrorism efforts, though it is unclear to what degree Zawahiri is in direct contact with or leverages authority over Al Qaeda's regional franchises.</t>
  </si>
  <si>
    <t>https://www.adl.org/resources/article/al-qaeda-renews-its-focus-antisemitism-and-attacking-israel</t>
  </si>
  <si>
    <t>Hasher Jallal Taheb</t>
  </si>
  <si>
    <t>https://extremismterms.adl.org/glossary/hasher-jallal-taheb</t>
  </si>
  <si>
    <t>Hasher Jallal Taheb is a domestic Islamist extremist from Forsythe, Georgia, who was sentenced to 15 years in prison in July 2020 for planning to attack the White House, Statue of Liberty, Washington Monument, the Lincoln Memorial and an unspecified synagogue with fire or explosives as part of what he claimed "was his obligation to engage in jihad."</t>
  </si>
  <si>
    <t>https://www.adl.org/resources/article/domestic-islamist-extremism-2019</t>
  </si>
  <si>
    <t>Omar Mateen</t>
  </si>
  <si>
    <t>https://extremismterms.adl.org/glossary/omar-mateen</t>
  </si>
  <si>
    <t>Omar Mateen committed the Pulse Nightclub shooting on June 12, 2016, in Orlando, Florida, killing 49 and injuring 53. During and after the attack, Mateen stated that he was loyal to ISIS and that the recent killing of an ISIS commander motivated his attack. Though Mateen had some history of behavioral issues, he had previously been screened for signs of radicalization and cleared by the FBI. Mateen was shot and killed during the nightclub attack.</t>
  </si>
  <si>
    <t>Mentioned here: https://www.adl.org/resources/article/gore-hate-how-watchpeopledie-serves-gateway-extremism, https://sandiego.adl.org/the-orlandos-shooters-many-paths-to-violence/</t>
  </si>
  <si>
    <t>Waheba Issa Dais</t>
  </si>
  <si>
    <t>https://extremismterms.adl.org/glossary/waheba-issa-dais</t>
  </si>
  <si>
    <t>Waheba Issa Dais was a Wisconsin-based Islamist extremist who hacked into Facebook accounts in 2018 to encourage people to join ISIS and build bombs and biological weapons, including detailed instructions for creating the poison ricin. In August 2020, she was sentenced to 90 months in prison following her conviction on one count of attempting to provide material support to a foreign terrorist organization.</t>
  </si>
  <si>
    <t>Alison Weir‚ÄØ</t>
  </si>
  <si>
    <t>https://extremismterms.adl.org/glossary/alison-weir</t>
  </si>
  <si>
    <t>Antisemitism, Single-issue</t>
  </si>
  <si>
    <t>Alison Weir is a U.S.-based anti-Israel activist, antisemite, president of the Council for the National Interest and‚ÄØfounder of the organization If Americans Knew. On social media and in articles, she frequently deploys antisemitic tropes, including the idea that a powerful Jewish lobby controls U.S. foreign policy. She has posted on Facebook that ‚Äúthe Israel lobby dominates both parties.‚Äù She has claimed that Israel systematically harvests the organs of Palestinians and that Judaism gives ‚Äúreligious permission to kill a non-Jew in order to provide body parts to Jews.‚Äù She has also asserted that Judaism is ‚Äúsuch a ruthless and supremacist faith.‚Äù In 2015, radical anti-Israel group Jewish Voice for Peace formally dissociated from Alison Weir, citing her history of propagating or being complicit in bigotry, including antisemitism.‚ÄØ</t>
  </si>
  <si>
    <t>https://www.adl.org/resources/profile/alison-weir</t>
  </si>
  <si>
    <t xml:space="preserve">Note that the fuller backgrounder is in PDF format; perhaps we can turn it into a webpage? https://www.adl.org/sites/default/files/documents/assets/pdf/israel-international/Alison_Weir_Backgrounder-NW.pdf </t>
  </si>
  <si>
    <t>Willis Carto</t>
  </si>
  <si>
    <t>https://extremismterms.adl.org/glossary/willis-carto</t>
  </si>
  <si>
    <t>Willis Carto (1926-2015) was one of the most virulent antisemitic propagandists in the U.S. in the second half of the twentieth century. After emerging as a right-wing organizer in San Francisco in the early 1950s, he was associated with nearly every significant far-right movement in the country, from neo-Nazism to militias, and segregationism to Holocaust denial. He spread Holocaust denial and hatred against Jews through antisemitic, conspiracy-oriented publications such as The Spotlight, The Barnes Review and American Free Press. In 1979 Carto founded the Institute for Historical Review, which was the foremost Holocaust denial organization in the world for two decades. In speeches at IHR conferences, Carto called the Holocaust "atrocity propaganda"10 and a ‚Äúmalicious lie.‚Äù11 In 1969, one of the publishing companies that grew out of Carto‚Äôs far-right group, Liberty Lobby, published a book entitled The Myth of the Six Million. He also held conferences that featured well-known antisemites and Holocaust deniers.¬†In his words:¬†‚ÄúThe most pervasive and harmful myth today, of course, is that of the so-called "Holocaust," and all of its attendant fables‚Ä¶ The Holocaust Myth has benefited its propagators as has few lies in history. We taxpayers in Western nations have shipped untold billions to Israel because of this myth.‚Äù - Spring 1982 issue of Journal of Historical Review‚ÄúThese records show that no more than 120,000 persons of all religions and ethnicity died at Auschwitz during the war...The cause of death of these persons was old age. But many died from disease, such as typhus, which the Germans combatted with an insecticide, Zyklon B.‚Äù - February 6, 1995 issue of Spotlight¬†</t>
  </si>
  <si>
    <t>Andrew Torba</t>
  </si>
  <si>
    <t>https://extremismterms.adl.org/glossary/andrew-torba</t>
  </si>
  <si>
    <t>Andrew Torba (b. 1986) is the co-founder and CEO of Gab, a fringe social media platform where many white supremacists and other types of right-wing extremists post content, including content that would typically be prohibited on other platforms.</t>
  </si>
  <si>
    <t>https://www.adl.org/resources/article/andrew-torba-five-things-know</t>
  </si>
  <si>
    <t>Bruce Mejia</t>
  </si>
  <si>
    <t>https://extremismterms.adl.org/glossary/bruce-mejia</t>
  </si>
  <si>
    <t>Bruce Mejia is a California-based New Independent Fundamental Baptist (New IFB) pastor. Mejia has a history of virulent anti-LGBTQ+ bigotry and antisemitism, including proclaiming that gay people should be "put to death."</t>
  </si>
  <si>
    <t>GhostEzra</t>
  </si>
  <si>
    <t>https://extremismterms.adl.org/glossary/ghostezra</t>
  </si>
  <si>
    <t>GhostEzra, who has been identified as Robert Smart of Florida, is an antisemitic QAnon influencer with a large social media following.</t>
  </si>
  <si>
    <t>Inevitable ET or IET</t>
  </si>
  <si>
    <t>https://extremismterms.adl.org/glossary/inevitable-et-or-iet</t>
  </si>
  <si>
    <t>IET or Inevitable ET has been a prominent QAnon influencer since the begining of the conspiracy in 2017 and is one of the most antisemitic QAnon promoters. In April 2021, VICE News identified IET as Craig Longley, a Denver chiropractor.</t>
  </si>
  <si>
    <t>Jon Minadeo II</t>
  </si>
  <si>
    <t>https://extremismterms.adl.org/glossary/jon-minadeo-ii</t>
  </si>
  <si>
    <t>Jon Minadeo II is the leader of the Goyim Defense League (GDL), a loose network of individuals who espouse vitriolic antisemitism on the internet, through real-world propaganda distributions and in street actions. His video streams and real-world actions have featured extensive Holocaust denial, including creating a ‚ÄúHolohoax Bingo‚Äù card and trying to convince teenagers on the video-call site Omegle that the Holocaust never happened. In September 2022, he was arrested in Poland for hate speech after holding up derogatory posters at Auschwitz.He has cited a 9/11 conspiracy theory documentary as part of his own antisemitic ‚Äúawakening‚Äù and realization that ‚Äúit‚Äôs always Jews behind evil.‚Äù In May 2020, he co-launched GoyimTV, a video streaming platform focused on antisemitic content. Minadeo regularly uses the platform to post his podcasts and videos of his antisemitic exploits and homophobic rants.In his words:‚ÄúWhy are they lying? Why are they making this illegal to question‚Ä¶Truth fears no investigation. Any other piece of history can be questioned‚Ä¶but the one thing we can‚Äôt question is the Holocaust?‚Äù ¬†‚Äì Minadeo Omegle Clip, April 2021‚ÄúLet me tell you something, I‚Äôm part German too, and the Holocaust isn‚Äôt real bro.‚Äù ¬†‚Äì Minadeo Omegle Clip, March 2021</t>
  </si>
  <si>
    <t>in GDL backgrounder</t>
  </si>
  <si>
    <t>Jonathan Shelley</t>
  </si>
  <si>
    <t>https://extremismterms.adl.org/glossary/jonathan-shelley</t>
  </si>
  <si>
    <t>Jonathan Shelley is a Texas-based New Independent Fundamental Baptist (New IFB) pastor who has a history of virulent anti-LGBTQ+ bigotry and antisemitism. His documentary film, "The Sodomite Deception," is popular within the New IFB movement and advocates for the death penalty to be used on the LGBTQ+ community.</t>
  </si>
  <si>
    <t>https://www.adl.org/resources/article/anti-zionism-antisemitism-how-anti-zionist-language-left-and-right-vilifies-jews</t>
  </si>
  <si>
    <t>Nathaniel Ray (AKA Bishop Nathanyel)</t>
  </si>
  <si>
    <t>https://extremismterms.adl.org/glossary/nathaniel-ray-aka-bishop-nathanyel</t>
  </si>
  <si>
    <t>Nathaniel Ray founded and leads the extreme Black Hebrew Israelite faction Israel United in Christ (IUIC). He is also known as Bishop Nathanyel Ben Israel. Ray was a one-time member of the original BHI One West camp before creating IUIC to spread antisemitic, racist, homophobic and bigoted teachings globally.</t>
  </si>
  <si>
    <t>https://www.adl.org/resources/backgrounder/black-hebrew-israelites</t>
  </si>
  <si>
    <t>Rick Wiles</t>
  </si>
  <si>
    <t>https://extremismterms.adl.org/glossary/rick-wiles</t>
  </si>
  <si>
    <t>Rick Wiles is a Florida-based antisemitic pastor who founded TruNews and is a host on the platform. He sometimes cloaks his extreme antisemitism as anti-Zionism. He is also anti-LGBTQ+ and Islamophobic, and expresses other bigoted viewpoints on his TruNews streams. He also promotes numerous conspiracy theories, including about the USS Liberty incident as well as COVID-19 origins.</t>
  </si>
  <si>
    <t>https://www.adl.org/resources/article/trunews-antisemitism-and-conspiracies-reach-growing-facebook-audience</t>
  </si>
  <si>
    <t>Roger Jimenez</t>
  </si>
  <si>
    <t>https://extremismterms.adl.org/glossary/roger-jimenez</t>
  </si>
  <si>
    <t>Roger Jimenez is a California-based New Independent Fundamental Baptist (New IFB) pastor who has a history of virulent anti-LGBTQ+ bigotry and antisemitism. He gained media attention in 2016 when he celebrated the deaths of LGBTQ+ people in the terrorist attack at the Pulse nightclub in Orlando, FL.</t>
  </si>
  <si>
    <t>Scott McKay</t>
  </si>
  <si>
    <t>https://extremismterms.adl.org/glossary/scott-mckay</t>
  </si>
  <si>
    <t>Scott McKay, also known as ‚ÄúPatriot Streetfighter,‚Äù is an antisemitic QAnon influencer and radio show host who regularly promotes conspiracy theories about the Khazarian mafia. McKay frequently travels across the United States to speak at various far-right events; he was a regular speaker at Clay Clark‚Äôs ‚ÄúReawaken America‚Äù conferences until he was¬†dropped¬†from the line up in May 2023 following extensive media reporting and public scrutiny of his antisemitic remarks.</t>
  </si>
  <si>
    <t>Texe Marrs</t>
  </si>
  <si>
    <t>https://extremismterms.adl.org/glossary/texe-marrs</t>
  </si>
  <si>
    <t>Texe Marrs (1944-2019) was a Christian fundamentalist pastor and conspiracy theorist who promoted antisemitic ideas and referred to Jews as members of the "synagogue of Satan." He ran two Austin, Texas-based ministries, Power of Prophecy Ministries and Bible Home Church.</t>
  </si>
  <si>
    <t>Abbas Hamideh‚ÄØ‚ÄØ</t>
  </si>
  <si>
    <t>https://extremismterms.adl.org/glossary/abbas-hamideh</t>
  </si>
  <si>
    <t>Abbas Hamideh is a Cleveland-based anti-Israel activist and leader of anti-Zionist group Al-Awda, which opposes Israel‚Äôs existence and draws hundreds of people to local anti-Israel rallies. In a July 2014 tweet, Hamideh expressed support for violence against Israeli civilians. He has also perpetuated antisemitic tropes. He has venerated terrorist groups like Hamas and Hezbollah as well as Iran‚Äôs armed forces; tweeted in May 2020 that Zionists are part of a ‚Äúcabal;‚Äù tweeted in November 2020 that ‚ÄúZionist lobbies‚Ä¶control the [U.S.] political system;‚Äù referenced the ‚ÄúZionist controlled media‚Äù in another November 2020 tweet and has claimed ‚ÄúThe Criminal Zionists are in control of Washington, DC (America).‚Äù 
Hamideh has infused his critique of Israel and Zionists with stereotypes about the Jewish religion, tweeting that one must ‚Äúacknowledge their Jewish supremacy...You have to surrender to their perception of religion. They're chosen and we're gentiles.‚Äù Speaking at a rally in October 2021, he denied the identities of Jewish Israelis and their connection to the land of Israel, telling the crowd: ‚ÄúEuropean invaders of Palestine are not Semitic.‚Äù</t>
  </si>
  <si>
    <t>https://adl.org/resources/backgrounder/abbas-hamideh</t>
  </si>
  <si>
    <t>Abdul Malik Sayyid Muhammad (AKA Tony Muhammad)</t>
  </si>
  <si>
    <t>https://extremismterms.adl.org/glossary/abdul-malik-sayyid-muhammad-aka-tony-muhammad</t>
  </si>
  <si>
    <t>Abdul Malik Sayyid Muhammad (AKA Tony Muhammad) is a Nation of Islam (NOI) leader who serves as Louis Farrakhan's Western Regional Representative, and is the Student Minister at the NOI's Muhammad Mosque No. 27 in Los Angeles. Tony Muhammad helped develop the relationship between Scientology and the Nation of Islam in the mid-2000s. He has also played a significant role in revitalizing the NOI's anti-vaccine campaign, including facilitating collaborations between prominent anti-vaxxers and the NOI.</t>
  </si>
  <si>
    <t>Adam Green</t>
  </si>
  <si>
    <t>https://extremismterms.adl.org/glossary/adam-green</t>
  </si>
  <si>
    <t>Adam Green is an antisemitic conspiracy theorist who hosts the online show "Know More News." He claims that Jews manipulate world events for their own benefit. Green has promoted antisemitic 9/11 conspiracy theories and speculated that the January 6, 2021 attack on the U.S. Capitol was orchestrated by Jews and Israel to discredit former President Trump and empower a Biden administration to implement a repressive agenda.</t>
  </si>
  <si>
    <t>https://www.adl.org/resources/article/antisemites-implicate-jews-zionists-dc-violence</t>
  </si>
  <si>
    <t>Alison Chabloz</t>
  </si>
  <si>
    <t>https://extremismterms.adl.org/glossary/alison-chabloz</t>
  </si>
  <si>
    <t>Alison Chabloz is a UK-based antisemite and Holocaust denier. In 2018, she was convicted of two counts of sending an offensive, indecent or menacing message through a public communications network and a third charge relating to a song on YouTube after she wrote and performed three songs in which she claimed the Holocaust was a lie and referred to Auschwitz as a ‚Äútheme park for fools.‚Äù¬†She also claimed there was no evidence of gas chambers used to kill Jews. She was sentenced again in 2021 after making antisemitic comments on a radio show in 2019, in violation of her prior sentence.
In her words:
	‚ÄúThe official narrative of a past event, branded as a ‚Äòholocaust‚Äô of Jews living under the Third Reich ‚Äì whilst no longer having credibility, historiographically speaking, ‚Äì is now implemented, ‚Äì i.e. shoved down our throats by ZOG at every possible opportunity, neatly assisted by Hollywood and the media, ‚Äì as the latest imposed religion for the Goyim.‚Äù¬†-¬†Chabloz‚Äôs website
	‚ÄúAs well as being the principle [sic] reason behind the foundation of the state of Israel, the ‚ÄòHolocaust‚Äô is now also the main identifier of Jewish-ness and, as most Jews are Zionists by default and seeing as our institutions are dominated by Zionists, Holocaustianity has become the main religion not only of Israel but of the western world in general. Zionists therefore have a quasi religious duty to lie, even to themselves.‚Äù¬†- Chabloz‚Äôs website</t>
  </si>
  <si>
    <t>https://antisemitism.adl.org/denial/</t>
  </si>
  <si>
    <t xml:space="preserve">Marilyn
part of Holocaust Denial hub's "Who's Who" page that is now filled with broken links. recommended action: add the text descriptions of the people/organizations listed directly to this "Who's Who" page instead of redirecting elsewhere
https://www.adl.org/resources/backgrounder/whos-who-holocaust-denial </t>
  </si>
  <si>
    <t>Archbishop Carlo Maria Vigan√≤</t>
  </si>
  <si>
    <t>https://extremismterms.adl.org/glossary/archbishop-carlo-maria-vigano</t>
  </si>
  <si>
    <t>Archbishop Carlo Maria Vigan√≤ (1941-) is a retired Italian traditionalist Catholic priest and conspiracy theorist whose public statements engage with antisemitic dog whistles and, on occasion, overt antisemitism. Vigan√≤ has claimed that a sinister plot to establish a New World Order is being carried out by agents of the ‚ÄúDavos Sanhedrin,‚Äù an antisemitic reference to an ancient Jewish judicial body. In addition, Vigan√≤‚Äôs writings and interviews make frequent references to globalists, a term that is often used as an antisemitic codeword. He has been an outspoken backer of the Big Lie that Donald Trump won the 2020 election, and he is a vocal supporter of Russia in its war with Ukraine. In fact, Vigan√≤ praises Russia as a bulwark against Satan. Vigan√≤ formerly served as the papal nuncio (ambassador) to the United States from 2011 to 2016. In 2018, Vigan√≤ gained notoriety when he wrote an open letter to Pope Francis in which he accused the Bishop of Rome of supporting a ‚Äúhomosexual current‚Äù within the Catholic Church. Vigan√≤‚Äôs work frequently appears in traditionalist Catholic publications such as Catholic Family News, The Remnant and LifeSiteNews. Because of his status within the official church hierarchy, traditionalist Catholics and their outlets frequently rely on Vigan√≤ to lend credibility to their extremist positions.In his own words:‚Äú‚Ä¶on the one hand the deep state and on the other the deep church, both of which are corrupt and subservient to the globalist elite, with subversive purposes whose ideological bases are united by hatred of Christ, the Church, and the Holy Mass.‚Äù ‚Äìwriting in Catholic Family News, 2/21/2023‚ÄúRecent events have shown us that the materialist atheism that devastated the Russian Empire and the world since 1917‚Ä¶has today joined liberalism in the globalist ideology which underlies the delirious project of the New World Order. An infernal project‚Ä¶in which hatred for Christian civilization wants to create a society of slaves subservient to the Davos elite.‚Äù ‚ÄìOpen letter to the International Congress of Russophiles‚ÄúThe war in Ukraine has been planned since the ‚Äúcolored revolution‚Äù of 2014, to which even the self-styled philanthropist George Soros was no stranger, along with the entire globalist cabal.‚Äù ‚Äìquoted in The Remnant, 5/14/2023</t>
  </si>
  <si>
    <t>https://www.adl.org/resources/article/great-reset-conspiracy-flourishes-amid-continued-pandemic</t>
  </si>
  <si>
    <t>This piece explains who Vigan is and also mentions some of is conspiracy theories. Marilyn</t>
  </si>
  <si>
    <t>Arthur Butz</t>
  </si>
  <si>
    <t>https://extremismterms.adl.org/glossary/arthur-butz</t>
  </si>
  <si>
    <t>Arthur Butz is most well-known for his 1976 Holocaust denial work titled The Hoax of the Twentieth Century, in which he refers to the mass extermination of Jews as ‚Äúlegend.‚Äù He also wrote articles for the Journal of Historical Review and served on their advisory board from 1980-2001.¬†Butz taught electrical engineering at Northwestern University, and Holocaust deniers used these credentials to validate the credibility of his writings. He rejects the claim that Jews were exterminated in the Holocaust as well as the six million figure of those murdered. Butz was a featured speaker at the Nation of Islam convention in Chicago in February 1985, during which he presented his Holocaust denial thesis.
In his words:
	‚ÄúThe Jews of Europe were not exterminated and there was no German attempt to exterminate them.... The ‚Äògas chambers‚Äô were wartime propaganda fantasies‚Äù - The Hoax of the Twentieth Century
	‚ÄúThe evidence, thus, suggests that the extermination legend owes its birth to obscure Polish Jewish propagandists, but the nurturing of the legend to the status of an international and historical hoax was the achievement of Zionist circles centered primarily in the West, particularly in and around New York.‚Äù
On the title of the book in The Hoax of the Twentieth Century:
	‚ÄúLet me assure you that the choice of ‚Äòhoax‚Äô [as the title of the book] was calculated, and that today I am even more convinced that it was a felicitous choice, for the reason that the thing really is trivial. The term ‚Äòhoax‚Äô suggests something cheap and crude, and that is precisely what I wish to suggest.‚Äù
¬†</t>
  </si>
  <si>
    <t xml:space="preserve">The URL cited doesn't mention Arthur Butz at all but this piece does:https://www.adl.org/resources/article/holocaust-denier-bradley-smiths-legacy-lies We either need to add Butz to the Holocaust denial piece or change the redirect Marilyn
part of Holocaust Denial hub's "Who's Who" page that is now filled with broken links. recommended action: add the text descriptions of the people/organizations listed directly to this "Who's Who" page instead of redirecting elsewhere
https://www.adl.org/resources/backgrounder/whos-who-holocaust-denial </t>
  </si>
  <si>
    <t>Ava Muhammad</t>
  </si>
  <si>
    <t>https://extremismterms.adl.org/glossary/ava-muhammad</t>
  </si>
  <si>
    <t>Ava Muhammad (1951-2022) was the national spokesperson for the Nation of Islam (NOI) under Louis Farrakhan and a member of the NOI Executive Council. She hosted a weekly radio show and had a history of espousing virulent antisemitism.</t>
  </si>
  <si>
    <t>https://www.adl.org/resources/article/farrakhan-spokesperson-ava-muhammad-spouts-vile-anti-semitism</t>
  </si>
  <si>
    <t>Ayo Kimathi</t>
  </si>
  <si>
    <t>https://extremismterms.adl.org/glossary/ayo-kimathi</t>
  </si>
  <si>
    <t>Ayo Kimathi (aka Irritated Genie) is a Maryland-based antisemitic and anti-LGBTQ+ Black nationalist extremist. Kimathi has appeared on podcasts hosted by white supremacists or other antisemitic extremists, finding common ground over their shared hatred of Jews. For example, in 2022, he appeared on Goyim Defense League (GDL) leader Jon Minadeo‚Äôs livestream show; Kimathi and Minadeo discussed their support for a ‚Äútemporary racial unification‚Äù between Black and white people in order ‚Äúto cleanse the earth [of Jews].‚Äù Kimathi has also espoused his antisemitic and anti-LGBTQ+ views while speaking during public hearing sessions of various local and state-level governing bodies. In 2022, he published a book titled ‚ÄúJews Are the Problem‚Äù that blames Jews for a litany of social and political issues, including COVID-19, abortion, pornography, feminism, homosexuality and more.</t>
  </si>
  <si>
    <t>https://www.adl.org/resources/article/jewish-problem-conference-kentucky-brings-together-antisemites-extremists-across</t>
  </si>
  <si>
    <t>Bishop Richard Williamson</t>
  </si>
  <si>
    <t>https://extremismterms.adl.org/glossary/bishop-richard-williamson</t>
  </si>
  <si>
    <t>Bishop Williamson was an English traditionalist Catholic bishop who, for decades, shared antisemitic beliefs and denied the Holocaust. He died in January 2025 at age 84. Williamson described Jews as ‚ÄúGod‚Äôs enemies‚Äù and praised prominent Holocaust denier Robert Faurisson as a ‚Äúreal hero‚Äù due to his denial. Williamson‚Äôs Holocaust denial drew international headlines in 2009 following the broadcast of an interview he gave to a Swedish television program in which he denied that millions of Jews were killed in the Holocaust as well as the use of gas chambers; he was later convicted by a German court of defaming the memory of the dead for these statements. Williamson was expelled from the Society of St. Pius X in 2012 and excommunicated from the Catholic Church in 2015. He continued to lead a radical wing of the Traditionalist Catholic movement and regularly peppered his sermons with additional antisemitism and conspiracy theories.In his words:‚ÄúHitler allegedly killed six million Jews. It‚Äôs untrue. It‚Äôs just not true. It‚Äôs a fabrication. That so-called Holocaust is, quite simply, fabrication.‚Äù - Conference on ‚ÄúRerum Novarum,‚Äù England, 2021‚ÄúNow the [Jewish] people who hold world-wide power today over politics and the media are people who want the godless New World Order, and they fully understand George Orwell. Therefore they have fabricated a hugely false version of World War Two history to go with a complete fabricated religion to replace Christianity.‚Äù¬†- Eleison Comments newsletter, 2018‚ÄúI believe there were no gas chambers‚Ä¶I think that two to three hundred thousand Jews perished in Nazi concentration camps, but‚Ä¶none of them by a gas chamber.‚Äù - Interview on ‚ÄúUppdrag Granskning,‚Äù 2009 (recorded in 2008)</t>
  </si>
  <si>
    <t>https://www.adl.org/resources/article/bishop-richard-williamson-reiterates-holocaust-denial-and-anti-semitism</t>
  </si>
  <si>
    <t>Bradley Smith</t>
  </si>
  <si>
    <t>https://extremismterms.adl.org/glossary/bradley-smith</t>
  </si>
  <si>
    <t>Bradley Smith (1930-2016) founded the Committee for Open Debate on the Holocaust (CODOH) in 1987. He cites reading Faurrison‚Äôs The Problem of the Gas Chambers as his entr√©e into Holocaust denial in the late 1970s.¬†He was affiliated with the Institution for Historical Review in the mid-1980s, referred to in IHR publications as their Media Director. From 1987-2001, Smith ran a campaign in which he placed full-page ads in around 350 student newspapers calling on readers to debate the veracity of the Holocaust. While he arrived later in life to his ideological Holocaust denial, he took an absolutist position on the Holocaust, denying every fact about it. He claimed the gas chambers were false, questioned the existence of a ‚ÄúFinal Solution‚Äù and discounted the number of those murdered in the Holocaust.In his words:‚ÄúThe Auschwitz lie, or as we refer to it in the 21st century, the German WMD fraud about homicidal gassing chambers, was in turn exploited [by Jews] to morally justify the imposition of a radical Jewish state in the middle of a sea of Arab Muslims.... Revisionist arguments regarding Auschwitz and the gas-chamber fraud are widely written about in the Arab and Muslim press. What this means to those folk is that the moral justification for the Jewish invasion and colonization of Arab land is based on a historic lie. There were no gas chambers. The Jews were not the victims of a genocidal plot. Adolf Hitler was not a Satanic figure (just as Saddam is not), and that the entire Israeli enterprise is based on a mountain of fraud and greed....Three cheers, then, for the Auschwitz fraud.‚Äù -Outlaw History newsletter number 18, December 16, 2004</t>
  </si>
  <si>
    <t>https://www.adl.org/resources/article/holocaust-denier-bradley-smiths-legacy-lies</t>
  </si>
  <si>
    <t>Brian Ruhe</t>
  </si>
  <si>
    <t>https://extremismterms.adl.org/glossary/brian-ruhe</t>
  </si>
  <si>
    <t>Brian Ruhe is a Canada-based Holocaust denier, antisemite and conspiracy theorist who praises Adolf Hitler and claims the existence of a "globalist international Jewish power, working for aliens."</t>
  </si>
  <si>
    <t>Brother Nathanael</t>
  </si>
  <si>
    <t>https://extremismterms.adl.org/glossary/brother-nathanael</t>
  </si>
  <si>
    <t>Brother Nathanael, also known as Milton Kapner, is a former Jew who became an antisemitic ideologue and propagandist after converting to the Russian Orthodox faith. Brother Nathanael is best known for his highly antisemitic streaming video series. He has referred to the Holocaust as the ‚Äúholohoax‚Äù, called Jews "parasitic" and has called on readers to "save America from Jewish ruin." He maintains a charitable foundation to support his activities.
In his words:¬†
	‚ÄúHow many Jews does it take to be a Holocaust survivor? All of them, and then some. No matter what age, what parentage, what distance in years from 1945, every Jew jumps on the Holohoax wagon.‚Äù ¬†- January 25, 2023 Bitchute Video
¬†</t>
  </si>
  <si>
    <t>Brother Nathanael is mentioned briefly in a number of articles but the url cited has the most info on him. Marilyn</t>
  </si>
  <si>
    <t>Charles C. Johnson</t>
  </si>
  <si>
    <t>https://extremismterms.adl.org/glossary/charles-c-johnson</t>
  </si>
  <si>
    <t>Charles C. Johnson is a Holocaust denier and alt-right troll. Johnson‚Äôs Holocaust denial came to the forefront in January 2017 when he hosted an ‚ÄúAsk Me Anything‚Äù session on Reddit. When asked about his opinion on the Holocaust and the ‚ÄúJewish Question,‚Äù Johnson asserted that the number of Jews killed was false. He also claimed he agreed with David Cole ‚Äúabout Auschwitz and the gas chambers not being real.‚Äù Johnson is also the founder of a crowdfunding website that reportedly raised more than $150,000 in 2017 for the neo-Nazi Andrew Anglin‚Äôs legal defense. On two separate occasions, in October 2017 and in February 2018, Johnson was invited to Capitol Hill by Rep. Dana Rohrabacher and Rep. Matt Gaetz, respectively.In his words:‚ÄúI do not and never have believed the six million figure.‚Äù- January 2017 Reddit ‚ÄúAsk Me Anything.‚Äù</t>
  </si>
  <si>
    <t>https://www.adl.org/resources/article/us-representative-brings-holocaust-denier-meeting-capitol-hill</t>
  </si>
  <si>
    <t xml:space="preserve">part of Holocaust Denial hub's ""Who's Who"" page that is now filled with broken links. recommended action: add the text descriptions of the people/organizations listed directly to this ""Who's Who"" page instead of redirecting elsewhere
https://www.adl.org/resources/backgrounder/whos-who-holocaust-denial </t>
  </si>
  <si>
    <t>Christopher Bollyn</t>
  </si>
  <si>
    <t>https://extremismterms.adl.org/glossary/christopher-bollyn</t>
  </si>
  <si>
    <t>Bollyn is an Illinois-based antisemitic conspiracy theorist and a prominent, longtime member of the 9/11 Truth Movement. In 2017, he spoke at the Nation of Islam's annual convention. A Holocaust denier, Bollyn is a former writer for the American Free Press.</t>
  </si>
  <si>
    <t>https://www.adl.org/resources/article/anti-semitic-conspiracy-theorist-christopher-bollyn-speaks-brooklyn</t>
  </si>
  <si>
    <t>Dave Gahary</t>
  </si>
  <si>
    <t>https://extremismterms.adl.org/glossary/dave-gahary</t>
  </si>
  <si>
    <t>Dave Gahary is an antisemitic extremist, publisher, and podcaster. He is the founder and owner of Speak Free Radio, a platform for livestreaming and podcasts by conspiracy theorists, white supremacists, and fellow antisemites including Joseph Cannariato (aka Giuseppe Vafanculo), and Alexander C. Baker. Gahary owns Money Tree Publishing, through which he sells the work of other contemporary antisemites including Ayo Kimathi and Reed T. Sainsbury, as well as historic works including Henry Ford‚Äôs screed The International Jew. In addition, Gahary hosts a weekly podcast with David Duke called ‚ÄúThe Dave and Duke Call-In Show.‚Äù Gahary is a frequent guest on other antisemitic podcasts including the traditionalist Catholic TradCatKnight. Because of his prolific presence and associations with other extremists, he exerts significant influence on anti-Jewish activism.In his own words:‚Äú[School shootings] are the result of Jews‚Äô having free rein.‚Äù ‚Äìon the TradCatKnight podcast, 5/25/2023‚ÄúI consider the Jewish matter a particularly virulent pestilence‚Ä¶There is a reason that there is antisemitism‚Ä¶Our former country is being destroyed by everything Jewish. So if folks don‚Äôt understand the root causes for the destruction, and you see the talking heads on the Jews‚Äô media‚Ä¶I don‚Äôt have the patience or desire to read a Jews‚Äô media article or watch a Jews‚Äô media clip‚Ä¶I‚Äôm at the point where we have to do our best to wake people up to this threat, to this virus. If left unchecked it will devour us, it is devouring us.‚Äù ‚Äìon the TradCatKnight podcast, 5/25/2023‚ÄúJews love to spill blood.‚Äù -on ‚ÄúThe Dave and Duke Call-In Show,‚Äù 7/2/2023</t>
  </si>
  <si>
    <t>David Anderson</t>
  </si>
  <si>
    <t>https://extremismterms.adl.org/glossary/david-anderson</t>
  </si>
  <si>
    <t>David Anderson is the perpetrator of a Jersey City, New Jersey antisemitic shooting. On December 10, 2019 Anderson and Francine Graham shot and killed Jersey City Police Detective Joseph Seals before targeting JC Kosher Supermarket, killing three people. Anderson and Graham were subsequently killed in a shootout with police. Anderson maintained a number of social media accounts that promoted extreme and antisemitic Black Hebrew Israelite (BHI) ideology and links to the extremist faction Israelite Church of God in Jesus Christ (ICGJC).</t>
  </si>
  <si>
    <t>https://www.adl.org/resources/blog/evidence-extremist-ideology-emerges-jersey-city-attack</t>
  </si>
  <si>
    <t>David Icke</t>
  </si>
  <si>
    <t>https://extremismterms.adl.org/glossary/david-icke</t>
  </si>
  <si>
    <t>David Icke is a popular British conspiracy theorist and author whose books promote a wide range of conspiracy theories. These conspiracy theories include frequent antisemitism, such as claiming that Israel and Zionists planned the 9/11 terrorist attacks, citing the classic antisemitic text ‚ÄúThe Protocols of the Learned Elders of Zion‚Äù and stating that the Jewish Rothschild family is part of a bloodline of reptilian humanoids that secretly control the world.¬†He also alleged that Jews bankrolled Hitler. In 2019, he was blocked from entering Australia for a speaking tour on ‚Äúcharacter grounds‚Äú after information about his antisemitism and Holocaust denial was presented to the parliament¬†and in 2022, he was barred from entering the Netherlands as well as the EU‚Äôs visa-free Schengen area, including 25 additional countries.In his words:"The same attitude that suppressed the challenge to the manipulation of World War Two, today sees people vilified and jailed for questioning some of the official versions of the Holocaust in Nazi Germany. If you do that, no-one [sic] listens to the evidence because this is lost in the tidal wave of vilification and condemnation. If people want to believe that all those who question the official line are Nazis and apologists for the Hitler regime, or anti-Jewish, then they must go ahead and do so. But I'll tell them this. They are kidding themselves, because that isn't true. It simply isn't." - And the Truth Shall Set You Free, chapter 7</t>
  </si>
  <si>
    <t>https://www.adl.org/resources/blog/one-year-after-ban-holocaust-denial-remains-facebook</t>
  </si>
  <si>
    <t>part of Holocaust Denial hub's ""Who's Who"" page that is now filled with broken links. recommended action: add the text descriptions of the people/organizations listed directly to this ""Who's Who"" page instead of redirecting elsewhere
https://www.adl.org/resources/backgrounder/whos-who-holocaust-denial        The link in I for Icke gives background info on him: https://www.adl.org/resources/blog/one-year-after-ban-holocaust-denial-remains-facebook</t>
  </si>
  <si>
    <t>David Irving</t>
  </si>
  <si>
    <t>https://extremismterms.adl.org/glossary/david-irving</t>
  </si>
  <si>
    <t>David Irving is a well-known Holocaust denier whose work has questioned the existence of the Nazi gas chambers and the extent of Hitler‚Äôs atrocities during World War II, and who has ties to American neo-Nazi groups. In 1977, he published Hitler‚Äôs War, which he described as a book intended to provide a narrative of World War II through Hitler‚Äôs perspective to clear his record of ‚Äúgrime and discoloration.‚Äù He also had ties to the Institute of Historical Review, speaking at their conferences. In 1988, he testified at Ernst Zundel‚Äôs trial and asserted that many fewer than six million Jews were killed in the Holocaust. He cites the Leuchter Report as the source of his ‚Äúconversion‚Äù to Holocaust denial. Between 1995 and 1998, Irving spoke at the neo-Nazi group National Alliance events at least seven times.Irving has had multiple legal battles in regard to his Holocaust denial. In 1989, Austrian authorities issued a warrant for his arrest for trivializing the Holocaust, and he was ultimately arrested there in 2005. In 2006 he was convicted and spent 13 months in jail. In 1992, Germany fined him and barred him from entering the country for a year for denying the Holocaust. Most famously, in 1994, he engaged in a lawsuit against Deborah Lipstadt after she portrayed him as a Holocaust denier in one of her books, but lost the suit. He has publicly defended Hitler and Nazism, leading to his being barred from many countries.¬†In his words:Richard Rampton QC: "Do you deny that the Nazis killed millions of Jews in gas chambers in purpose built establishments?"¬†David Irving: "Yes... I deny that millions died in the gas chambers because of the logistical problems for a start." ¬†- Quote during Irving‚Äôs 2000 trial, reprinted in The Guardian, January 13, 2000‚ÄúThe biggest lie of the lot, the blood libel on the German people, is the lie that the Germans had factories of death in which they liquidated millions of their opponents.‚Äù ¬†- 1991 press conference transcript, reprinted in The Guardian, January 13, 2000‚ÄúIt is going to be a hot twelve months. . . but at the end of it, the gas chamber legend will have vanished once and for all. . . [T]his myth of mass murders of Jews in the death factories of Auschwitz, Majdanek and Treblinka, etc., etc., which in fact never took place. . . this horrific ghost of guilt from which the German people have suffered for the last 45 years, will be laid to rest.‚Äù ¬†- IHR Newsletter, July/August 1992‚ÄúIf you go to a grocer‚Äôs shop‚Ä¶[and] you buy six liters of milk and you find that the jug‚Äôs only got 2 liters in it and the milkman says: ‚ÄòI‚Äôm sorry, madam, you‚Äôre still going to have to pay for the six, and that‚Äôs the way it is.‚Äô ¬†That, too, is a swindle. That‚Äôs what‚Äôs happening in Germany now. They‚Äôre still sticking to the six million figure.‚Äù ‚Äì David Irving, Tenth IHR Conference, Journal of Historical Review (vol. 10 no. 4), 1990¬†</t>
  </si>
  <si>
    <t>part of Holocaust Denial hub's ""Who's Who"" page that is now filled with broken links. recommended action: add the text descriptions of the people/organizations listed directly to this ""Who's Who"" page instead of redirecting elsewhere
https://www.adl.org/resources/backgrounder/whos-who-holocaust-denial        Irving is mentioned in this piece: https://www.adl.org/resources/backgrounder/short-history-holocaust-denial-united-states</t>
  </si>
  <si>
    <t>https://extremismterms.adl.org/glossary/e-michael-jones</t>
  </si>
  <si>
    <t>E. Michael Jones is a longtime antisemite and traditionalist Catholic writer born in 1948. Jones promotes the idea that Jews are responsible for perpetrating attacks against the Catholic Church, as well as against moral standards, social stability and global political order. Jones claims that the number of Jews murdered during the Holocaust is inaccurate, and that the use of gas chambers is a myth. ¬†Outside of Holocaust distortion, he portrays Jews as inherently wicked and claims Judaism possesses ‚Äúa particularly malignant spirit.‚Äù He blames Jews for Bolshevism, Freemasonry and an alleged contemporary ‚ÄúJewish takeover of American culture." He argues that violence against Jews throughout history is an understandable reaction to Jewish beliefs and behavior. Jones has published and edited multiple antisemitic texts, including The Jewish Revolutionary Spirit and Culture Wars magazine. ¬†In his words: ¬†‚ÄúAfter years of repression, the truth is coming to light, making the conclusion of Volckmer‚Äôs no-vella as inescapable as it is inexpressible: the Holocaust is a sexual fantasy created by guilt-ridden Jews to cover up their attempt to exterminate the German people in the period immediately following World War II. That narrative was also concocted to cover up Allied war crimes, but the cover-up is coming undone." - book review quoted in Culture Wars Magazine, October 2021¬†</t>
  </si>
  <si>
    <t>Elijah Muhammad</t>
  </si>
  <si>
    <t>https://extremismterms.adl.org/glossary/elijah-muhammad</t>
  </si>
  <si>
    <t>Elijah Muhammad was the former leader of the Nation of Islam (NOI) from the 1930s until his death in 1975. Muhammad promoted the idea that white people were created by an evil Black scientist and that Black people are the superior race. Muhammad and his teachings continue to be revered by NOI members today.</t>
  </si>
  <si>
    <t>Ernst Zundel</t>
  </si>
  <si>
    <t>https://extremismterms.adl.org/glossary/ernst-zundel</t>
  </si>
  <si>
    <t>Ernst Christof Friedrich Zundel (1939-2017) was a leading Holocaust denier and major distributor of neo-Nazi propaganda. In fact, in 1981 West German investigators named Zundel as one of the biggest suppliers of banned Nazi propaganda seized during hundreds of raids on homes of neo-Nazis in West Germany. He founded an antisemitic publishing company, Samisdat Publishing, responsible for distributing works such as Did 6 Million Really Die? and his own book, The Hitler We Loved and Why. He wrote for two neo-Nazi publications, White Power Report and Liberty Bell.¬†He also served as the inspiration for and key content provider of Zundelsite, a leading online repository of Holocaust denial propaganda since 1995. During an interview with an Israeli journalist in 1996, he described Jews as having a ‚Äúparasitic nature.‚ÄùZundel moved to the United States from Canada in 2000 after years of legal troubles over his antisemitic and neo-Nazi propaganda distribution but was deported from the United States back to Canada in 2003. In 2005, Canadian authorities deported Zundel back to Germany, where he was born, given his relations with white supremacist organizations.¬†Once in Germany, he was arrested, tried and convicted for Holocaust denial and inciting racial hatred. He was released from prison after serving a five-year sentence.In his words:‚ÄúOver the years, the numbers of ‚Äòdead‚Äô in Auschwitz have changed drastically. Hardly anyone can keep the lie straight any more‚Ä¶Pick your favourite number - facts don't matter, truth does not matter, death certificates don't matter to the Holocaust-promoters and -liars! Anti-German propaganda is the only thing that seems to matter in this racket!‚Äù ‚Äì Ernst Zundel, Zundelsite‚ÄúThe final solution that people talk about that the Germans had envisioned was a Europe without Jews through immigration...to say that Hitler had this idea of the final solution...Why should he be afraid not to have an order to do the most important thing? If that's what the Jews say was the most important thing that he could get rid of the Jews, he should have proudly made the proclamation, framed it, and had it in every German government office. Why did he care for history not to record that he wanted to exterminate the Jews? But there is no such order to this day, all these holocaust hypocrites, to the contrary, not a single funeral order has been found.‚Äù - Interview with Israeli Journalist, 1996‚ÄúThe Zionist movement only got its tremendous influence, power in the Jewish community, thanks to the role that they played in collaborating with Adolf Hitler‚Äù - Interview with Israeli Journalist, 1996‚ÄúHow many Jews died at Auschwitz? Less than 20,000 in all these satellite camps, including Auschwitz. And they died not of gassing. There was not a single gas chamber in all of national socialist dominated Europe.‚Äù - Interview with Israeli Journalist, 1996</t>
  </si>
  <si>
    <t>part of Holocaust Denial hub's ""Who's Who"" page that is now filled with broken links. recommended action: add the text descriptions of the people/organizations listed directly to this ""Who's Who"" page instead of redirecting elsewhere
https://www.adl.org/resources/backgrounder/whos-who-holocaust-denial       Zundel is mentioned briefly in this source: https://www.adl.org/resources/backgrounder/short-history-holocaust-denial-united-states  Marilyn</t>
  </si>
  <si>
    <t>Fred Leuchter</t>
  </si>
  <si>
    <t>https://extremismterms.adl.org/glossary/fred-leuchter</t>
  </si>
  <si>
    <t>Fred Leuchter is best known for his work The Leuchter Report, a pseudoscientific report that claims that the gas chambers at Auschwitz were not used to kill people, that Zyklon B was only used for disinfection and that the crematoria did not have the capacity to burn corpses at the level they did. This report has become a standard resource in the Holocaust denial and revisionism space as ‚Äúscientific evidence,‚Äù although his research has been widely discredited by scientists and historians. He wrote this report after being hired by fellow Holocaust denier Ernst Zundel to testify in his trial defense in 1988 that Auschwitz, Birkenau and Majdanek contained no gas chambers used for execution.In his words:‚Äúthere was no holocaust without mass extermination, and the mass extermination was accomplished with gas chambers. That's it. So the holocaust didn't happen. I'm not denying it. I'm just telling you what the evidence shows.‚Äù¬†- August 2019 interview with Jim Rizoli‚ÄúI am a denier of nothing. I cannot deny something that there is no evidence for, at all... As happened in the past, the search for gas Chambers stretched across Europe. First France, then Germany, then Poland and now Russia. Every time investigations have proved the Gas Chambers did not exist they moved to another location. Now they in in Camps that no longer exist. We can do no forensic study. So they can further the Religion of the Holocaust.‚Äù¬†- 2014 post on Fred Leuchter‚Äôs Facebook‚ÄúThe term Holocaust means a great conflagration and refers to the erroneous burning of 6 million Jews in an extermination plot! That is all it means and that is all that is objected to by Revisionists. The rest is just foolishness. The extermination plot was allegedly effected [sic] by the use of Gas Chambers that never existed. As an Expert without Peer I proved that none of this ever happened. There were no Gas Chambers and no Jews were exterminated in them. Let us bury this lie now and forever!‚Äù¬†- 2020 post by Leuchter on Michael Santomauro‚Äôs Facebook</t>
  </si>
  <si>
    <t>part of Holocaust Denial hub's ""Who's Who"" page that is now filled with broken links. recommended action: add the text descriptions of the people/organizations listed directly to this ""Who's Who"" page instead of redirecting elsewhere
https://www.adl.org/resources/backgrounder/whos-who-holocaust-denial   The source sited in G mentions Leuchter but not in great detail. Marilyn</t>
  </si>
  <si>
    <t>Germar Rudolf</t>
  </si>
  <si>
    <t>https://extremismterms.adl.org/glossary/germar-rudolf</t>
  </si>
  <si>
    <t>Germar Rudolf is a German-born Holocaust denier. He authored works such as Auschwitz Lies: Legends, Lies, and Prejudices on the Holocaust and The Rudolf Report, the latter of which denies the existence of gas chambers at Auschwitz. This report resulted in Rudolf‚Äôs sentencing to prison in 1995 in Germany for its incitement of hatred, disparaging the dead and libel. He was eventually brought to trial in 2007, during which he referred to the Holocaust as a ‚Äúgigantic fraud. He served time for this sentence from 2007-2009. In 2019, he was arrested in Pennsylvania for indecent exposure.¬†In his words:‚ÄúIn view of these gigantic fluctuations in the Auschwitz victim numbers, I would just like to point out first that there has obviously never been agreement about how many people actually died in the camp. Besides, it is publicly admitted today that lies were told for tendentious reasons. The ‚Äúofficial‚Äù number of the dead...is now reduced to 20-30% of the original ‚Äúofficial number...but this has not resulted in any correction of the total number of Holocaust victims. - Lectures on the Holocaust, 2005‚ÄúScholars who claim that huge numbers of people were secretly murdered at Auschwitz simply do not know what they are talking about. They are obviously unfamiliar with the layout and daily routine, ignorant of the objective reality of the situation‚Äù - Lectures on the Holocaust, 2005</t>
  </si>
  <si>
    <t>part of Holocaust Denial hub's ""Who's Who"" page that is now filled with broken links. recommended action: add the text descriptions of the people/organizations listed directly to this ""Who's Who"" page instead of redirecting elsewhere
https://www.adl.org/resources/backgrounder/whos-who-holocaust-denial          The source mentioned in column G briefly mentions Germar Rudolf. Marilyn</t>
  </si>
  <si>
    <t>Gordon Duff</t>
  </si>
  <si>
    <t>https://extremismterms.adl.org/glossary/gordon-duff</t>
  </si>
  <si>
    <t>Gordon Duff runs the website Veterans Today, which promotes antisemitic conspiracy theories and Holocaust denial. Duff's beliefs include denying the existence of homicidal gas chambers at the notorious Nazi death camp Auschwitz, and blaming Israel for the September 11th terrorist attacks.</t>
  </si>
  <si>
    <t>part of Holocaust Denial hub's ""Who's Who"" page that is now filled with broken links. recommended action: add the text descriptions of the people/organizations listed directly to this ""Who's Who"" page instead of redirecting elsewhere
https://www.adl.org/resources/backgrounder/whos-who-holocaust-denial         The url in column G mentions Duff. Marilyn</t>
  </si>
  <si>
    <t>Henry Herskovitz</t>
  </si>
  <si>
    <t>https://extremismterms.adl.org/glossary/henry-herskovitz</t>
  </si>
  <si>
    <t>Henry Herskovitz is a Michigan-based Holocaust denier and leader of the antisemitic and anti-Zionist organization Witness for Peace (WFP). Since 2003, Herskovitz has led weekly WFP protests outside a synagogue in Ann Arbor, Michigan, citing the congregation‚Äôs support for Israel. The group frequently carries signs espousing antisemitic tropes, including the allegation that Jews are disloyal citizens of the United States, or alleging Jewish control over the U.S. political system. In 2019, Herskovitz denied the Holocaust on his personal blog, writing that the Holocaust ‚Äúwas concocted to portray Jews as victims in order to cement their claim to eternal victimhood, and reap possible benefits.‚ÄùIn his words:‚ÄúThe Holocaust narrative‚Äôs fundamental purpose is to demand that alleged Jewish suffering trump actual and current Palestinian suffering.‚Äù - interview in the July/August 2022 issue of the Barnes Review‚ÄúIf you want to introduce ‚Äòthe Holocaust‚Äô into the Palestine liberation movement, let‚Äôs have a discussion, and we should begin by having you produce a wartime photograph of a homicidal gas chamber.‚Äù - interview in the July/August 2022 issue of the Barnes Review‚Äú[There are] two facts of the Holocaust: (1) Adolf Hitler made no bones of not liking Jews.¬†(2) Jews were sent to concentration camps; many died. The rest (written orders from Hitler to exterminate Jews, building homicidal gas chambers, and claiming 6 million victims) was concocted to portray Jews as victims in order to cement their claim to eternal victimhood, and reap possible benefits.‚Äù</t>
  </si>
  <si>
    <t>https://www.adl.org/resources/blog/witness-peace</t>
  </si>
  <si>
    <t>Ishmael Muhammad</t>
  </si>
  <si>
    <t>https://extremismterms.adl.org/glossary/ishmael-muhammad</t>
  </si>
  <si>
    <t>Ishmael Muhammad is a longtime Nation of Islam (NOI) leader. He serves as the Student National Assistant Minister to Louis Farrakhan at the NOI's flagship mosque in Chicago, is a member of the NOI Executive Council and is the son of former NOI leader Elijah Muhammad. He has a history of antisemitism and has long been regarded as Farrakhan's most likely successor.</t>
  </si>
  <si>
    <t>Israel Shamir</t>
  </si>
  <si>
    <t>https://extremismterms.adl.org/glossary/israel-shamir</t>
  </si>
  <si>
    <t>Israel Shamir (b. 1947) is a Jewish convert to Orthodox Christianity who has promoted antisemitic blood libel conspiracy theories and has claimed Jews control the public discourse in the United States. He also claims that "Jewish hatred to Christ and Christians is deeply entrenched," and that "nobody has to be a Jew, and as their crimes in Palestine multiply, it is imperative to not be one." He also believes that the U.S. government and Israel manufactured the September 11th terror attacks to justify the implementation of anti-Muslim policies.</t>
  </si>
  <si>
    <t>https://www.adl.org/resources/news/911-anti-semitic-conspiracy-theories-still-abound</t>
  </si>
  <si>
    <t>Shamir is mentioned here, not bad, but it still feels lacking a bit in detail about him</t>
  </si>
  <si>
    <t>Jim Rizoli</t>
  </si>
  <si>
    <t>https://extremismterms.adl.org/glossary/jim-rizoli</t>
  </si>
  <si>
    <t>Jim Rizoli is an antisemite, anti-immigrant activist and Holocaust denier. In the early 2000s, he produced a public access television show, broadcast on Massachusetts-based Framingham Public Access station, in which he denied the Holocaust; he has continued to spread the same falsehoods on his streaming ‚ÄòHoaxbusters‚Äô show. In 2009, during a segment of his public access television show, he recommended to viewers that if they really want to "get their heads on straight about the Holocaust," they should visit two websites, both of which advance Holocaust denial arguments. One of these sites promotes itself as featuring "9 hours of free internet video about how the holocaust is a myth," which Rizoli referred to as "excellent, excellent videos." Across his social media profiles, he constantly shares Holocaust denial content, claiming the Holocaust was a hoax and interviewing other Holocaust deniers. In some videos, he introduces himself as ‚ÄúHolocaust denier extraordinaire and proud of it.‚ÄùIn his words:‚ÄúYou have to have a murder weapon and you got to get the bodies...the holocaust narrative have [sic] neither.‚Äù¬†- August 2022 Interview with E. Michael Jones, Rizoli-TV, Bitchute Video‚ÄúI think a lot of the Holocaust survivors, they didn't know nothing anything about what happened during that time period except their own being in a camp, a work camp or whatever. The movies from Hollywood produced about what they wanted everybody to believe what happened here. And then these holocaust survivors, they're watching the movies and they're believing what they're seeing in the movie and they're incorporating it in their life...they can write books and they can be interviewed to go to the schools or whatever, telling their nonsense about the [Holocaust]‚Äù¬†- August 2022 Interview with E. Michael Jones, Rizoli-TV, Bitchute Video</t>
  </si>
  <si>
    <t>https://www.adl.org/resources/news/jim-rizoli-promotes-holocaust-denial-public-access-tv</t>
  </si>
  <si>
    <t>John Fitzgerald</t>
  </si>
  <si>
    <t>https://extremismterms.adl.org/glossary/john-fitzgerald</t>
  </si>
  <si>
    <t>John Fitzgerald, a candidate in 2018 for California‚Äôs East Bay House seat, is a 9/11 conspiracy theorist and Holocaust denier.¬†While running, he appeared on a radio show hosted by antisemite Andrew Carrington Hitchcock and claimed the goal of his campaign was to expose the lie that is the Holocaust. While speaking with the New York Times, he doubled down on his denial, calling the Holocaust a ‚Äúcomplete fabrication.‚Äù¬†Also during his campaign, a robocall targeting East Bay voters urged them to, ‚ÄúEnd the Jewish takeover of America and restore our democracy by voting John Fitzgerald for U.S. Congress,‚Äù adding, ‚ÄúYour vote for John Fitzgerald means no more U.S. wars for Israel based on their lies, like the Jewish conducted attack on 9/11.‚ÄùIn his words:‚ÄúEverything we‚Äôve been told about the Holocaust is a lie. My entire campaign, for the most part, is about exposing this lie.‚Äù¬†- 2018 Interview with Andrew Carrington Hitchcock</t>
  </si>
  <si>
    <t>https://sanfrancisco.adl.org/news/holocaust-denier-john-fitzgerald-on-ballot-for-east-bay-house-seat/</t>
  </si>
  <si>
    <t>The link given in column G has been removed from the site. This link mentions John Fitzgerald: https://www.adl.org/resources/article/road-power-idaho-outfit-behind-rash-racist-anti-semitic-robocalls  Marilyn</t>
  </si>
  <si>
    <t>John Wear</t>
  </si>
  <si>
    <t>https://extremismterms.adl.org/glossary/john-wear</t>
  </si>
  <si>
    <t>John Wear, likely a pseudonym, is a Holocaust denier whose articles are frequently featured across antisemitic and Holocaust denial publications and websites, including CODOH, the Inconvenient History Journal, American Free Press and The Barnes Review. Wear has denied the presence of gas chambers and contends that Josef Mengele did not perform lethal experiments on victims at Auschwitz.In his words:‚ÄúThrough constant repetition in the Jewish-controlled media, the majority of people believe the big lie that Germany built homicidal gas chambers that were used in a genocidal program of mass extermination of the Jews. The truth, however, is that Germany did not have any homicidal gas chambers in its camps during World War II, and did not conduct a program of genocide against Jews. Thus, in my opinion, Jews have repeated the big lie of ‚Äòthe Holocaust‚Äô to promote their own sectarian interest.‚Äù¬†- May/June 2021 Issue of The Barnes Review‚ÄúGermany did not conduct a program of genocide against Jews. The widely quoted figure of 6-million Jewish deaths during the war is also a major exaggeration. As documented in this article, the figure of 6-million Jewish deaths originated from Zionist propaganda dating back to at least the year 1900. The figure of 6-million Jewish deaths in the ‚ÄòHolocaust‚Äô is an ahistorical invention having no basis in reality.‚Äù¬†- Vol 13.1 2021, Inconvenient History Journal</t>
  </si>
  <si>
    <t xml:space="preserve">No additional associated resources (MLM) With exception of this article: https://www.adl.org/resources/backgrounder/whos-who-holocaust-denial </t>
  </si>
  <si>
    <t>Joseph H. Cannariato</t>
  </si>
  <si>
    <t>https://extremismterms.adl.org/glossary/joseph-h-cannariato</t>
  </si>
  <si>
    <t>Joseph Harvey Cannariato (1959-), known on the Internet as ‚ÄúGiuseppe Vafanculo‚Äù or as ‚ÄúGiuseppe the G-Man‚Äù is a virulent antisemite and Holocaust denier who hosts two podcasts, ‚ÄúThe Perfect Triangle‚Äù and ‚ÄúThe Sane Asylum,‚Äù on Speak Free Radio, an antisemitic streaming platform owned by Dave Gahary. On his two podcasts, he spews antisemitic vitriol such as referring to Jews as ‚Äúperfidious‚Äù and ‚Äúcancerous;‚Äù called for Jews to be forcibly expelled from the United States and he has called Jews ‚Äúmasters of hypnotic deception.‚Äù Cannariato increases the reach of his message by regularly associating with known antisemites including David Duke, Chris Caskie, Ryan Messano, Dave Gahary, Ayo Kimathi¬†and Eric Gajewski (aka TradCatKnight). According to biographical sources, Cannariato grew up in Milwaukee, Wisconsin. He eventually became a journalist and had a career writing for the Milwaukee Sentinel during the 1980s. He has also had a career in acupuncture and as a musician under the stage name Lumen Jingos.In his own words:‚ÄúThe Jew has managed to break away and destroy all those rules to create this systemic wealth transfer in the trillions away from the working class and the middle class and lower‚Ä¶class to themselves. And now you know, with that power, they've literally taken control.‚Äù -7/14/2022‚ÄúAnd the only true supremacist existing on the planet right now wielding an amazing amount of power is the Jew, the Jew is the only supremacist, the rest of us basically figure out how to get along pretty well and work together. Not the Jew. They want us all at each other's throats and they want us all divide and conquer while they get to steal more of our money and‚Ä¶that's why we all deserve reparations from the Jews.‚Äù -12/9/2022‚ÄúWe have to be able to break completely free of this this parasitic, satanic Jew control of our lives. And the only way we're gonna do it is with things like‚Ä¶the interplanetary file system. And I know it's confusing‚Ä¶but it's the only way we will be able to create a reality free of Jews. And that is what we have to have is an existence that is completely free of Jews.‚Äù -1/5/2023</t>
  </si>
  <si>
    <t>Kevin Barrett</t>
  </si>
  <si>
    <t>https://extremismterms.adl.org/glossary/kevin-barrett</t>
  </si>
  <si>
    <t>Kevin Barrett is an antisemitic conspiracy theorist who has blamed Jews, Israel and Zionists for such events as the September 11th terrorist attacks, the 2015 Charlie Hebdo attack in France, the creation of ISIS, the 2011 attacks in Norway that killed 77 people and the 2001 anthrax poisonings. He has also promoted Holocaust deniers on his "Truth Jihad" radio show, is a frequent guest on Press TV (Iran's English-language propaganda news network) and contributes to the antisemitic websites Veterans Today and The Unz Review.</t>
  </si>
  <si>
    <t>Louis Farrakhan</t>
  </si>
  <si>
    <t>https://extremismterms.adl.org/glossary/louis-farrakhan</t>
  </si>
  <si>
    <t>Louis Farrakhan (b. 1933) is the current, longtime leader of the Nation of Islam (NOI) and has been one of the most prominent antisemites in America for the past four decades. In addition to his extensive history of antisemitism, Farrakhan has also promoted a range of conspiracy theories and railed against the LGBTQ+ community and white people.</t>
  </si>
  <si>
    <t>https://www.adl.org/resources/backgrounder/farrakhan-his-own-words</t>
  </si>
  <si>
    <t>Mahmoud Ahmadinejad</t>
  </si>
  <si>
    <t>https://extremismterms.adl.org/glossary/mahmoud-ahmadinejad</t>
  </si>
  <si>
    <t>Mahmoud Ahmadinejad is the former president of Iran, who served from 2005 to 2013. He is notorious for his extreme language, including calling for Israel to be ‚Äúwiped from the map,‚Äù¬†and his promotion of Holocaust denial. Ahmadinejad convened a global conference devoted to Holocaust denial and anti-Zionism in Tehran in early December 2006, which drew Holocaust deniers from around the world, including Robert Faurisson, David Duke and Bradley Smith.
In his words:
	‚ÄúThe Zionist regime's establishment was based on numerous deceptions and lies, and one of the biggest lies was the Holocaust.‚Äù - August 26, 2011 Speech at Tehran University on Al Quds Day
	"They (the Western powers) launched the myth of the Holocaust. They lied, they put on a show and then they support the Jews‚Ä¶. The pretext for establishing the Zionist regime is a lie... a lie which relies on an unreliable claim, a mythical claim‚Äù - September 18, 2009 Speech at Al Quds Day rally in Tehran
	"After the Second World War, [Western governments] created a scenario called 'pogrom against Jews.' All over Europe and the countries under Western rule, an anti-Jewish movement has been concocted. The climate of propaganda and psychological warfare on the one hand and on the other hand using the issue of ovens burning human beings, they have concocted a myth of deprivation and innocence for the Jews of Europe. They use this pretext of the innocence of Jews and the suffering of some Jews during the Second World War. Riding on the crest of a wave of anti-Jewish sentiments, they have laid the foundations for the Zionist regime." - October 5, 2007 Quds Day Speech</t>
  </si>
  <si>
    <t>https://www.adl.org/resources/news/iranian-president-mahmoud-ahmadinejad-his-own-words</t>
  </si>
  <si>
    <t>Mark Weber</t>
  </si>
  <si>
    <t>https://extremismterms.adl.org/glossary/mark-weber</t>
  </si>
  <si>
    <t>Mark Weber is the head of the Institute for Historical Review (IHR). Weber became involved with IHR when the organization published his pamphlet, "The Holocaust: Let's Hear Both Sides" in 1980. He also served as the editor for IHR‚Äôs Journal of Historical Review from 1992-2000. Weber was formerly the news editor of National Vanguard, a publication affiliated with the American neo-Nazi group National Alliance, as well as a writer for Willis Carto‚Äôs antisemitic publication The Spotlight. He has called the ‚ÄúHolocaust hoax‚Äù a ‚Äúreligion‚Äù and described the Holocaust as a ‚Äúmajor weapon in the Jewish-Zionist arsenal.‚ÄùIn his words:‚ÄúThere is no documentary evidence that Adolf Hitler ever gave an order to exterminate the Jews, or that he knew of any extermination program." - quote from his 1980 pamphlet "The Holocaust: Let's Hear Both Sides."‚ÄúDon't for a minute think that indoctrinating wide-eyed schoolchildren with the lies and slanders against Germans, Slavs, Catholics, Christians, Europeans, and whites in general isn't a primary purpose of the Holocaust-mongers. . . The Holocaust hoax is a religion. Its underpinnings in the realm of historical fact are nonexistent‚Äîno Hitler order, no plan, no budget, no gas chambers, no autopsies of gassed victims, no bones, no ashes, no skulls, no nothing.‚Äù - IHR Newsletter, May 1989</t>
  </si>
  <si>
    <t xml:space="preserve">Technically this article: https://www.adl.org/resources/backgrounder/whos-who-holocaust-denial. However, this article is a big issue since it solely links out to the glossary. </t>
  </si>
  <si>
    <t>Michael A. Hoffman II</t>
  </si>
  <si>
    <t>https://extremismterms.adl.org/glossary/michael-hoffman-ii</t>
  </si>
  <si>
    <t>Michael A. Hoffman II is a Holocaust denier, antisemitic ideologue and conspiracy theorist who frequently promotes antisemitic tropes in his writing and speeches, as well as on social media. In his early years, he worked as a reporter for the extremist publication "The Spotlight," backed by antisemite Willis Carto. In 2010, he published a book called ‚ÄúThe Great Holocaust Trial: The Landmark Battle for the Right to Doubt the West‚Äôs Most Sacred Relic.‚Äù He runs a website called Revisionist History. Many of Hoffman's works focus on defaming Jewish religious texts, and in 2019 he spoke at the Nation of Islam's annual Saviours‚Äô Day conference during which he suggested that ancient Jewish texts are equivalent to teachings ‚Äúfrom the church of satan.‚Äù ¬†In his words:¬†‚ÄúHolocaustianity is the informal civic religion of the West; the last truly believed religion in the otherwise agnostic West. Woe to those who would even think of mocking it.‚Äù - Entry from Hoffman‚Äôs ‚ÄúRevisionist History‚Äù blog, May 2015 ¬†‚ÄúThe great irony of World War Two is that the German prophylactic for preserving the lives of the Jewish people in Auschwitz, the facilities for treating their clothing and bedding with the pesticide Zyklon B in order to help limit the typhus epidemic then raging, which is transmitted by a parasitic louse attached to clothes and bedding, has been turned against the Germans and used as the basis for false claims of homicidal gassings in Auschwitz.‚Äù ¬†-The World War II Revisionist FAQ, Michael A. Hoffman II, 1997¬†</t>
  </si>
  <si>
    <t>Michael Santomauro</t>
  </si>
  <si>
    <t>https://extremismterms.adl.org/glossary/michael-santomauro</t>
  </si>
  <si>
    <t>Michael Santomauro is a Holocaust denier and antisemite who has worked as the editorial director of Theses and Dissertations Press, which publishes Holocaust denial ‚Äúliterature,‚Äù and runs the website RePortersNoteBook.com, where visitors can find links to Holocaust denial publications and individuals.¬†Castle Hill Publishers, perhaps the most important publisher of Holocaust denial literature in the English language, lists Santomauro as its CEO; another antisemitic publisher, Clemens &amp; Blair, lists him as its treasurer, and uses his Hilton Head Island address in South Carolina as the location to which donors can send checks.¬†Santomauro attracted controversy in 2003, when he shared Holocaust denial literature on the email list of subscribers to his NYC-based Roommate Finders service; at the time, the New York Times reported that Santomauro described himself as an ‚Äúamateur Holocaust revisionist,‚Äù¬†and New York Sun reported that Santomauro claimed that only 2.3 million Jews were killed during World War II, rather than the approximately six million that historians have documented.¬†In 2011, Santomauro angered fellow parents at his child‚Äôs New York City school by recommending the Holocaust denial book ‚ÄúDebating the Holocaust: A New Look at Both Sides‚Äù in an email he sent to the school‚Äòs PTA listserv.¬†He ran for mayor of Hilton Head Island, SC, in 2018 and lost with less than 2% of the vote; he ran again in 2022, finishing with 5% of the vote.In his words:‚ÄúI don't think the number was 6 million when it came to the Nazi Holocaust. I think it was close to 2 million...It's not a historical event, the Holocaust, it's a religion.‚Äù November 17, 2005, Current Issues TV‚ÄúWe've been inundated with Holocaust story after the Holocaust story, just to make us feel guilty so that we would excuse the Zionist crimes that are being committed in Israel. And that's what it's all about.‚Äù - November 17, 2005, Current Issues TV</t>
  </si>
  <si>
    <t>Patrick Little</t>
  </si>
  <si>
    <t>https://extremismterms.adl.org/glossary/patrick-little</t>
  </si>
  <si>
    <t>Patrick Little is an unabashed antisemite who made an unsuccessful run for U.S. Senate in 2018. After his crushing defeat he cried foul and launched a nationwide "Name the Jew" tour, visiting cities across the country, spewing antisemitic propaganda at passers-by and capturing his encounters on video.</t>
  </si>
  <si>
    <t>https://www.adl.org/resources/article/anti-semitic-senate-candidate-patrick-little-blames-jews-his-crushing-primary</t>
  </si>
  <si>
    <t>https://extremismterms.adl.org/glossary/rizza-islam</t>
  </si>
  <si>
    <t>Ronnie Steven "Rizza" Islam is a Nation of Islam (NOI) member and social media influencer. He regularly posts antisemitic, anti-LGBTQ+ and anti-vaccine rhetoric and espouses a range of conspiracy theories.</t>
  </si>
  <si>
    <t>https://adl.org/resources/backgrounder/rizza-islam</t>
  </si>
  <si>
    <t>Robert Faurisson</t>
  </si>
  <si>
    <t>https://extremismterms.adl.org/glossary/robert-faurisson</t>
  </si>
  <si>
    <t>Robert Faurisson (1929-2018), a French Holocaust denier, was an associate Professor of Contemporary Literature at the University of Lyon, France.¬†His Holocaust denial emerged in 1974 when he wrote a letter to Yad Vashem, Israel‚Äôs Holocaust Memorial Museum, claiming there was no genocide of Jews during World War II.¬†He became involved with the Institute for Historical Review, and served on their Editorial Advisory Committee since it was formed in 1979.¬†He testified in defense of Holocaust denier Ernst Zundel and wrote multiple denial works, one questioning the credibility of Anne Frank‚Äôs diary and another the historical facts about Auschwitz, calling the death camp ‚Äúthe biggest lie of the 20th century.‚Äù¬†In 2012, he received a prize from Mahmoud Ahmadinejad, then president of Iran, for his ‚Äúcourage, resistance, and fighting spirit‚Äù in contesting the Holocaust.In 1983, he was fined and given a suspended prison sentence for ‚Äúracial defamation‚Äù after he made Holocaust denial remarks on French radio in 1980, and in 1991 was required to stand trial for disputing a crime against humanity. He was also convicted for remarks he made on Iranian TV in 2005 claiming ‚Äúthere was never a single execution gas chamber under the Germans. So, all those millions of tourists who visit Auschwitz are seeing a lie, a falsification.‚Äù¬†¬†In his words:‚ÄúThe alleged Hitlerian gas chambers and the alleged genocide of the Jews form one and the same historical lie, which permitted a gigantic financial swindle whose chief beneficiaries have been the state of Israel and international Zionism, and whose main victims have been the German people and the Palestinian people as a whole.‚Äù¬†- 1991 quote of Faurisson‚Äôs trial, Guardian Weekly‚ÄúWhen finally the collapse of the ‚ÄòJewish Holocaust‚Äô myth comes about, the tribunal of History will have to render justice to a sizeable number of revisionists and, to begin with, the Frenchman Paul Rassinier and the German Ernst Z√ºndel, who never met but who, united in heart and spirit in one and the same truly heroic venture, have indeed fought not only for the honour of their respective homelands but also for the honour of Europe as a whole.‚Äù¬†- an homage to Ernst Zundel published on Faurisson‚Äôs since-deleted blog</t>
  </si>
  <si>
    <t>Thomas Dalton</t>
  </si>
  <si>
    <t>https://extremismterms.adl.org/glossary/thomas-dalton</t>
  </si>
  <si>
    <t>Thomas Dalton, likely a pseudonym, is an author with numerous Holocaust denial works. Like some other deniers, Dalton initially soft-peddled his beliefs when he framed his 2009 book as a presentation of the ‚Äúdebate‚Äù over the Holocaust‚Äôs historicity. Since then, however, he has emerged as an unbridled antisemite and Holocaust denier, including by suggesting that ‚ÄúJews caused World War Two.‚Äù He refutes that there was a master plan to murder Jews and claims only 500,000 died at the hands of the Nazis.His books include The Jewish Hand in the World Wars and Debating the Holocaust, and he has edited and/or provided introductions and commentary for numerous editions of Hitler‚Äôs Mein Kampf and other antisemitic works.¬†He is a frequent contributor to antisemitic and Holocaust denial publications such as The Barnes Review and the Occidental Observer.In his words:‚ÄúThe days of the ‚Äò6 million‚Äô are numbered, and I suspect that Goldman, Goldstein, and friends know it. When that crumbles, so too collapses what little remains of Jewish credibility. When the orthodox Holocaust story goes down, the dominoes may well begin to fall. And when that happens, all bets are off.‚Äù¬†¬†- 2021 article in the Occidental Observer detailing an alleged conspiracy about the Jasenovac camp in Croatia.‚ÄúCompensation money, arising directly from the conventional Holocaust story, in turn flows back to sustain it. Restitution money buys political clout, where‚Äîin the US at least‚Äîit ends up as campaign contributions and issue ads. It encourages lawmakers to legislate in support of Israel and against revisionism‚Äîand they do.‚Äù¬†- Debating the Holocaust, 2015 Edition‚ÄúIf we can be misled‚Äîor fooled, or deceived, or lied to‚Äîabout the Holocaust, what other events might we be misled about? The same social forces that could give rise to and sustain a deficient Holocaust story could produce countless other stories that might be exaggerated, embellished, distorted or falsified.‚Äù - Debating the Holocaust, 2015 Edition</t>
  </si>
  <si>
    <t>TradCatKnight</t>
  </si>
  <si>
    <t>https://extremismterms.adl.org/glossary/tradcatknight</t>
  </si>
  <si>
    <t>Eric Gajewski, better known on the Internet as TradCatKnight, is a traditionalist Catholic, antisemite, conspiracy theorist and doomsday prepper. He hosts a daily podcast that streams on his personal website, which is available only to paid subscribers, of whom Gajewski claims to have about 100,000. He uses his podcast to express his extremist views about Jews, Freemasonry and the so-called ‚ÄúNew World Order,‚Äù all of which he also writes about in articles on his webpage. He regularly has extremist guests on his podcast, notably the virulent antisemites David Duke, Dave Gahary and Ayo Kimathi. Gajewski is particularly obsessed with the idea of alleged Jewish control over the media and government. He has written, ‚ÄúThe Jews control nearly everything at this point,‚Äù and ‚ÄúThe Jews have their celebrity puppets and politicians.‚Äù Gajewski also distorts Holocaust memory, writing, ‚Äú[T]he Jews needed a ‚Äòholocaust‚Äô so they could get across their agendas and hide behind the farce of anti semitism [sic].‚Äù
In his own words:
	‚ÄúThe modernist‚Äôs [sic] think that anyone ‚Äúviolent‚Äù is a fanatic. They are pacifists and pacifism and Catholicism are incompatible. Pope St. Pius X warned these fake Katholics had an erroneous perception of Jesus which shall come out later in this supposed encyclical.‚Äù
	‚ÄúA careful examination of Jewry will have us to understand that they are spearheading a campaign using various other sects to help bring about this new age of Lucifer.‚Äù
	‚ÄúTHERE ARE VARIOUS SECRET SOCIETIES WORKING IN CO-HOOTS [sic] WITH THE JEWS/SYNAGOGUE OF SATAN ALL TO BRING ABOUT A NEW LUCIFERIAN ORDER.¬† IT HAS NOT HARD TO SEE WHERE THINGS ARE GOIGN [sic] IN THE WORLD BY READING TODAYS HEADLINES.¬† CHRISTIANITY IS GOING UNDERGROUND AND LUCIFER THROUGH THE ANTICHRIST AND HIS MINIONS WILL HAVE A SHORT REIGN ON EARTH BEFORE GOD ELIMINATES THEM ALL IN THE 3 DAYS OF DARKNESS.‚Äù</t>
  </si>
  <si>
    <t>problematic</t>
  </si>
  <si>
    <t>Victor Thorn</t>
  </si>
  <si>
    <t>https://extremismterms.adl.org/glossary/victor-thorn</t>
  </si>
  <si>
    <t>Victor Thorn (1962-2016), the penname for Scott Robert Makufka, was a conspiracy theorist and antisemite. He wrote for American Free Press, an antisemitic, conspiracy-oriented newspaper founded by white supremacist Willis Carto. Additionally, he authored antisemitic books denying the Holocaust and blaming Jews and Israel for the 9/11 terrorist attacks and Kennedy's assassination. In January 2012, he published a book titled The Holocaust Hoax Exposed: Debunking the 20th Century‚Äôs Greatest Fabrication.In his words:‚ÄúThey weren't extermination centers. They were work camps....People did die, but they didn't die because they were thrown into ovens or exterminated. They died, most of them during the last few months of the war. And this wasn't only Jews, but this was all the inmates including Germans because the supply lines had been cut at the time and it didn't allow any food or water or medicine or supplies to come in.‚Äù - Revolt of the Plebs podcast, July 2012‚ÄúSo I mean they‚Äôre just lie after lie and you know, once the first lie is overcome by someone, if they have cognitive dissonance, all the rest are a lot easier because you realize that this never happened the way history books tell us that it happened‚Äù - Interview, July 2012‚ÄúUm shouldn't the jews want what we're saying to be true? Because then they'll say well thank God after all, six million of our people didn't die...they do want them to be dead because that keeps up the victimization, that keeps up the myth‚Äù - Interview, July 2012</t>
  </si>
  <si>
    <t>Wesley Muhammad</t>
  </si>
  <si>
    <t>https://extremismterms.adl.org/glossary/wesley-muhammad</t>
  </si>
  <si>
    <t>Wesley Muhammad is a Nation of Islam (NOI) Student Minister, member of the NOI Executive Council and member of the NOI Research Group. He has repeatedly promoted antisemitic, anti-LGBTQ+ and conspiratorial views, such as blaming Jews and Israel for the coronavirus pandemic and claiming that Jews and the U.S. government chemically manipulate Black men to make them gay.</t>
  </si>
  <si>
    <t>Ye</t>
  </si>
  <si>
    <t>https://extremismterms.adl.org/glossary/ye</t>
  </si>
  <si>
    <t>Ye (formerly known as Kanye West) is a highly influential artist, record producer, fashion designer and former political candidate who has promoted numerous antisemitic and conspiratorial remarks, most notably in late 2022. In a series of interviews and social media posts from October through December 2022, Ye promoted longstanding antisemitic tropes including claims about Jewish power and control, alleged Jewish exploitation of Black artists and athletes and more. He also praised Adolf Hitler and engaged in both Holocaust denial and trivialization. Ye‚Äôs comments drew support from known antisemites and were referenced in subsequent online and on-the-ground activities of white supremacists, extremist Black Hebrew Israelite groups and other antisemites. Ye also has a history of making false anti-Black and conspiratorial statements and has a longstanding relationship with Nation of Islam leader Louis Farrakhan.¬†¬†In his words:‚Äú[The Nazis] didn‚Äôt kill 6 million Jews; that‚Äôs just, like, factually incorrect.‚Äù - Infowars interview in December 2022.‚ÄúThe Holocaust is not what happened. Let‚Äôs look at the facts of that. And Hitler has a lot of redeeming qualities.‚Äù ¬†- Infowars interview in December 2022.</t>
  </si>
  <si>
    <t>https://www.adl.org/resources/article/ye-kanye-west-what-you-need-know</t>
  </si>
  <si>
    <t>Young Pharaoh (aka Marshall Daniels)</t>
  </si>
  <si>
    <t>https://extremismterms.adl.org/glossary/young-pharaoh-aka-marshall-daniels</t>
  </si>
  <si>
    <t>Young Pharaoh, also known as Marshall Daniels, is an antisemitic conspiracy theorist who promotes racist ideas about the superiority of Black people. He believes that Judaism is not a real religion and claimed in a July 2020 video that it was fabricated for political gain. He promotes the idea that Jews are responsible for human trafficking and pedophilia, among other offenses. He views Israel as an enemy state. His social media presence boasts hundreds of thousands of followers across his Instagram, Facebook and six YouTube channels, where he shares his conspiratorial beliefs.</t>
  </si>
  <si>
    <t>https://www.adl.org/resources/blog/antisemitic-rapper-young-pharaoh-spews-bigotry-racist-hate</t>
  </si>
  <si>
    <t>William Potter Gale</t>
  </si>
  <si>
    <t>https://extremismterms.adl.org/glossary/william-potter-gale</t>
  </si>
  <si>
    <t>Anti-government, White supremacist, Right-wing</t>
  </si>
  <si>
    <t>William Potter Gale (1916-1988), a retired U.S. Army colonel, was a disciple of Christian Identity pioneer Wesley Smith and a prominent extremist active in California for decades, forming or participating in many different groups. In the 1970s, he helped found the Posse Comitatus, an anti-government extremist group which spawned the sovereign citizen movement. In the 1980s, he was the leader of another anti-government extremist group, the Committee of the States. He was convicted of threatening government officials in 1987.</t>
  </si>
  <si>
    <t>Person is not mentioned in the resource. I found a piece that William Potter Gale is mentioned in but it's from 2005. Don't know if it's too old to use:https://www.adl.org/resources/profiles/aryan-nationschurch-jesus-christ-christian</t>
  </si>
  <si>
    <t>John Trochmann</t>
  </si>
  <si>
    <t>https://extremismterms.adl.org/glossary/john-trochmann</t>
  </si>
  <si>
    <t>Anti-government, Right-wing, Antisemitism, White supremacist</t>
  </si>
  <si>
    <t>John Trochmann was one of the pioneers of the anti-government extremist militia movement. Trochmann and members of his family started the first militia group, the Militia of Montana, in late 1993 or early 1994. He also traveled the country to give presentations on New World Order conspiracy theories. Trochmann was an adherent of the racist and antisemitic religious sect Christian Identity.</t>
  </si>
  <si>
    <t>Alfred Adask</t>
  </si>
  <si>
    <t>https://extremismterms.adl.org/glossary/alfred-adask</t>
  </si>
  <si>
    <t>Alfred Adask was a prominent and influential Texas-based sovereign citizen guru, especially active in the 1990s in promoting bogus liens and other sovereign citizen theories. His writings can be found in fringe online spaces.</t>
  </si>
  <si>
    <t xml:space="preserve">Alfred Adask's name doesn't appear in the sovereign citizen backgrounder so he would have to be added. </t>
  </si>
  <si>
    <t>Ammon Bundy</t>
  </si>
  <si>
    <t>https://extremismterms.adl.org/glossary/ammon-bundy</t>
  </si>
  <si>
    <t>Ammon Bundy is a prominent anti-government figure in Idaho and the founder of the People's Rights movement, a network of mostly far right-wing activists. Prior to starting that group, Bundy led the 2016 armed occupation of the Malheur National Wildlife Refuge and participated in the 2014 Bundy Ranch armed standoff. He is the son of rancher and anti-government figure Cliven Bundy.</t>
  </si>
  <si>
    <t>Brent Johnson</t>
  </si>
  <si>
    <t>https://extremismterms.adl.org/glossary/brent-johnson</t>
  </si>
  <si>
    <t>Brent Johnson is a longtime figure in the anti-government movement, including the sovereign citizen movement. He has been host of the "American Sovereign" radio show and, with Lee Parker, director of Freedom Bound International, a "common law service center." More recently, he has been host of a show called "The Voice of Freedom."</t>
  </si>
  <si>
    <t>Chuck Baldwin</t>
  </si>
  <si>
    <t>https://extremismterms.adl.org/glossary/chuck-baldwin</t>
  </si>
  <si>
    <t>Chuck Baldwin is a prominent figure in the anti-government extremist "Patriot" movement. Throughout the coronavirus pandemic, Baldwin has peddled conspiracy theories that government measures to combat the virus are a "pretext for civil tyranny," "phase two" (after 9/11) of the "globalist police-state agenda." He also popularized the term "Medical martial law." Baldwin has made numerous antisemitic remarks, including saying, about the pandemic, that "the international bankers" benefit "from all this fear and panic."</t>
  </si>
  <si>
    <t>https://www.adl.org/resources/article/extremists-and-conspiracy-theorists-urge-resistance-medical-martial-law</t>
  </si>
  <si>
    <t>David Wynn-Miller</t>
  </si>
  <si>
    <t>https://extremismterms.adl.org/glossary/david-wynn-miller</t>
  </si>
  <si>
    <t>David Wynn-Miller was an influential Wisconsin-based sovereign citizen activist who created (and used) a completely alternative grammar and syntax for the English language, which he claimed would allow people to master the judicial system and always prevail in court. He also helped export the sovereign citizen movement into Canada and other countries. He died on June 22, 2019.</t>
  </si>
  <si>
    <t>Duncan Lemp</t>
  </si>
  <si>
    <t>https://extremismterms.adl.org/glossary/duncan-lemp</t>
  </si>
  <si>
    <t>Duncan Lemp was a 21-year-old supporter of the boogaloo movement who was shot and killed in 2020 by SWAT officers with the Montgomery County Police Department in Maryland. The officers were serving a no-knock search warrant for possession of weapons by a prohibited person. Lemp, who also showed support for the Three Percenter movement, has since been adopted as a martyr by the boogaloo movement. Supporters of the movement will frequently give their name in public as "Duncan Lemp" and his name often appears in boogaloo content.</t>
  </si>
  <si>
    <t>Gordon Kahl</t>
  </si>
  <si>
    <t>https://extremismterms.adl.org/glossary/gordon-kahl</t>
  </si>
  <si>
    <t>Gordon Kahl (1920-1983) was a member of the far-right Posse Comitatus movement. Kahl was involved in two fatal shootouts with law enforcement in 1983, one in North Dakota and one months later in Arkansas after law enforcement tracked him down. Kahl was killed by law enforcement during the second incident.</t>
  </si>
  <si>
    <t>Gordon Kahl is not mentioned in th sovereign citizen backgrounder so I added a URL where he is mentioned. Marilyn</t>
  </si>
  <si>
    <t>Larry Mitchell Hopkins</t>
  </si>
  <si>
    <t>https://extremismterms.adl.org/glossary/larry-mitchell-hopkins</t>
  </si>
  <si>
    <t>Larry Mitchell Hopkins, also known as Johnny Horton Jr., is a New Mexico border vigilante leader and a member of the United Constitutional Patriots. He was sentenced to 21 months in prison on a federal gun charge in April 2020.</t>
  </si>
  <si>
    <t>https://www.adl.org/resources/article/arrest-united-constitutional-patriots-leader-renews-concerns-over-border</t>
  </si>
  <si>
    <t>Lavoy Finicum</t>
  </si>
  <si>
    <t>https://extremismterms.adl.org/glossary/lavoy-finicum</t>
  </si>
  <si>
    <t>Robert "LaVoy" Finicum participated in the armed takeover of the Malheur National Wildlife Refuge headquarters, which began in eastern Oregon on January 2, 2016, and lasted for 40 days. Finicum was ultimately shot and killed by state police during an attempted traffic stop of the takeover's ringleaders. He is a martyr among adherents of the so-called "Patriot" movement (which includes militia groups, sovereign citizens, and other anti-government extremists).</t>
  </si>
  <si>
    <t>https://www.adl.org/resources/report/anatomy-standoff</t>
  </si>
  <si>
    <t>https://www.adl.org/resources/blog/robert-lavoy-finicum-making-martyr</t>
  </si>
  <si>
    <t>Resource does not mention this person by name and includes a link to another resource that is archived.                                                                                                                  I included a url to an old backgrounder on Lavoy Finicum, which is still on our website. Marilyn</t>
  </si>
  <si>
    <t>Mark Koernke</t>
  </si>
  <si>
    <t>https://extremismterms.adl.org/glossary/mark-koernke</t>
  </si>
  <si>
    <t>Mark Koernke is an early militia movement pioneer from Michigan who was most active in the 1990s. Also known as "Mark from Michigan," Koernke helped spread anti-government conspiracies, including those regarding the New World Order and black helicopters, via personal appearances, his shortwave radio show and a number of videotapes he urged his followers to copy and disseminate.</t>
  </si>
  <si>
    <t>https://www.adl.org/resources/blog/thirteen-men-arrested-plotting-kidnap-michigan-governor-gretchen-whitmer</t>
  </si>
  <si>
    <t>Mark Koernke is an old militia leader and is not mentioned at all in our militia backgrounder. I gave a url that explains who he is. Marilyn</t>
  </si>
  <si>
    <t>Michael Brian Vanderboegh</t>
  </si>
  <si>
    <t>https://extremismterms.adl.org/glossary/michael-brian-vanderboegh</t>
  </si>
  <si>
    <t>Michael Brian Vanderboegh, commonly known as Mike Vanderboegh, was a long-time Alabama-based militia activist anti-government extremist. In the mid-1990s, Vanderboegh claimed to be commander of an Alabama militia group, the First Alabama Cavalry Regiment, though he appeared to be its sole member. He briefly was involved with the anti-immigrant Minutemen in the mid-2000s. However, Vanderboegh gained widespread attention in 2008, when he created the Three Percenters concept on his blog, the Sipsey Street Irregulars, which helped popularize and expand the militia movement. Vanderboegh died in 2016.</t>
  </si>
  <si>
    <t>https://www.adl.org/resources/backgrounder/three-percenters</t>
  </si>
  <si>
    <t>Seems to fit but resource does not mention this person</t>
  </si>
  <si>
    <t>Roger Elvick</t>
  </si>
  <si>
    <t>https://extremismterms.adl.org/glossary/roger-elvick</t>
  </si>
  <si>
    <t>Roger Elvick was a prominent sovereign citizen guru from the 1980s through the 2000s. In 1999, he popularized "redemption theory," a set of sovereign citizen theories that are still popular today. Elvick had a long criminal history. In 1990, he was sentenced in North Dakota to four years in prison for fictitious financial instruments he had distributed in the 1980s. In 1991, Elvick was found guilty by a federal jury in Hawaii of conspiracy to impede justice and was sentenced to five years in federal prison and three years of supervised release. He served his time, but was convicted again in April 2005 of forgery, extortion and corrupt business activity.</t>
  </si>
  <si>
    <t>Not mentioned in suggested resource -Hannah</t>
  </si>
  <si>
    <t>Thomas Stockheimer</t>
  </si>
  <si>
    <t>https://extremismterms.adl.org/glossary/thomas-stockheimer</t>
  </si>
  <si>
    <t>Thomas Stockheimer was an anti-government extremist and prominent Posse Comitatus leader in Wisconsin in the 1970s and 80s. He was also involved in an assault on an IRS agent in the 1970s as part of the tax protest movement. In 1997, Stockheimer and several associates were convicted on fraud charges related to the passing of fictitious financial instruments as part of a sovereign citizen group called Family Farm Preservation.</t>
  </si>
  <si>
    <t>https://www.adl.org/resources/backgrounder/tax-protest-movement</t>
  </si>
  <si>
    <t>This name is not in the backgrounder. - EKA                                                                           I found info on Stockherimer in our backgrounder on the tax protest movement. Marilyn</t>
  </si>
  <si>
    <t>Winston Shrout</t>
  </si>
  <si>
    <t>https://extremismterms.adl.org/glossary/winston-shrout</t>
  </si>
  <si>
    <t>Winston Shrout is a prominent sovereign citizen guru whose videos and seminars attracted thousands to the anti-government extremist movement in the 2000s. He also played a role in exporting ideas of the sovereign citizen movement to several other countries. He was convicted of using fictional financial instruments in connection with a debt elimination scheme in 2017 and sentenced to 10 years in prison.</t>
  </si>
  <si>
    <t>Cleon Skousen</t>
  </si>
  <si>
    <t>https://extremismterms.adl.org/glossary/cleon-skousen</t>
  </si>
  <si>
    <t>Cleon Skousen (1913-2006) was a former FBI agent and ultraconservative political theorist who advocated a philosophy centered on extremely limited federal government, anti-Communism, conspiracy theories and Mormon theology. He was an influential figure on the right and far right in a number of western states. Fans and disciples continue to keep Skousen's ideas alive.</t>
  </si>
  <si>
    <t>skip</t>
  </si>
  <si>
    <t>Jean Raspail</t>
  </si>
  <si>
    <t>https://extremismterms.adl.org/glossary/jean-raspail</t>
  </si>
  <si>
    <t>Jean Raspail (1925-2020) was the French author of the racist novel "The Camp of the Saints," which many white supremacists see as reflective of threats to white populations by non-white immigrants.</t>
  </si>
  <si>
    <t>Ted Kaczynski</t>
  </si>
  <si>
    <t>https://extremismterms.adl.org/glossary/ted-kaczynski</t>
  </si>
  <si>
    <t>Ted Kaczynski (b. 1942), the so-called "Unabomber," is an American domestic terrorist who sent 16 mail bombs to a variety of targets between 1978 and 1995, killing three people and injuring 23 more before he was apprehended in 1996. Kaczynski, who chose targets with connections to research, computers or airlines, had an anti-technologically-oriented ideology that some have described as green anarchism or primitivist anarchism. Kaczynski"s manifesto, "Industrial Society and Its Future," is considered required reading for aspiring ecofascists and is frequently quoted and shared in ecofascist Telegram channels.</t>
  </si>
  <si>
    <t>An ok substitute link for now but we should think about a solo article given the influence of this person and his actions</t>
  </si>
  <si>
    <t>Timothy McVeigh</t>
  </si>
  <si>
    <t>https://extremismterms.adl.org/glossary/timothy-mcveigh</t>
  </si>
  <si>
    <t>Timothy McVeigh was an American domestic terrorist who detonated a truck bomb in front of the Murrah Federal Building in Oklahoma City on April 19, 1995. The blast destroyed the building, killing 168 men, women and children and injuring hundreds more, resulting in the worst act of domestic terrorism in United States history. He was executed by lethal injection in June 2001.</t>
  </si>
  <si>
    <t>European Kindred (hand sign)</t>
  </si>
  <si>
    <t>https://extremismterms.adl.org/glossary/european-kindred-hand-sign</t>
  </si>
  <si>
    <t>Numbers / Symbols, Groups / Movements</t>
  </si>
  <si>
    <t>The European Kindred is a large white supremacist prison gang based primarily in Oregon. Gang members often use a two-handed hand sign in which three fingers of one hand are spread to look like the letter "E" and two fingers of another hand are spread to resemble the letter "K."</t>
  </si>
  <si>
    <t>https://www.adl.org/resources/hate-symbol/european-kindred-hand-sign</t>
  </si>
  <si>
    <t>https://extremismterms.adl.org/glossary/9</t>
  </si>
  <si>
    <t>Numbers / Symbols</t>
  </si>
  <si>
    <t>9% is a numeric white supremacist symbol that refers to the percentage of the world's population that is purportedly white.</t>
  </si>
  <si>
    <t>https://www.adl.org/resources/hate-symbol/9</t>
  </si>
  <si>
    <t>https://extremismterms.adl.org/glossary/100</t>
  </si>
  <si>
    <t>100% is shorthand among white supremacists for "100% white," though it is also common for them to write out the entire phrase. Among prison populations and places such as California where peckerwood gangs are common, one might also see "100% peckerwood," "100% featherwood," or "100% wood."¬†Variations abound. Some white supremacists will refer to themselves as "101% white," for example. Occasionally the percentage "123%" appears, which also means "100% white," as the 23 refers to W, the 23rd letter of the alphabet. Some white supremacist gang members may substitute an alphanumeric equivalent, such as "112%" to refer to "100% Aryan Brotherhood" or "113%" to refer to "100% Aryan Circle."¬†Additionally, caution must be used in evaluating instances of this symbol's use, as most uses of this symbol are not, in fact, white supremacist in nature.</t>
  </si>
  <si>
    <t>https://www.adl.org/resources/hate-symbol/100</t>
  </si>
  <si>
    <t>https://extremismterms.adl.org/glossary/12</t>
  </si>
  <si>
    <t>12 is the numeric code for the white supremacist prison gang Aryan Brotherhood. Substituting letters for numbers, 1 and 2 equals A and B, standing for Aryan Brotherhood.</t>
  </si>
  <si>
    <t>https://www.adl.org/resources/hate-symbol/12</t>
  </si>
  <si>
    <t>https://www.adl.org/resources/hate-symbol/aryan-brotherhood</t>
  </si>
  <si>
    <t>https://extremismterms.adl.org/glossary/13</t>
  </si>
  <si>
    <t>13 is the numeric code for Aryan Circle, a Texas-based white supremacist prison gang. Substituting letters for numbers, 1 and 3 equals A and C, standing for Aryan Circle.</t>
  </si>
  <si>
    <t>https://www.adl.org/resources/hate-symbol/13</t>
  </si>
  <si>
    <t>https://extremismterms.adl.org/glossary/14</t>
  </si>
  <si>
    <t>14 is the numerical shorthand for the "14 Words," the popular white supremacist slogan coined by David Lane: "We must secure the existence of our people and a future for white children."</t>
  </si>
  <si>
    <t>https://www.adl.org/resources/hate-symbol/14</t>
  </si>
  <si>
    <t>https://extremismterms.adl.org/glossary/18</t>
  </si>
  <si>
    <t>18 is the alphanumeric code for Adolf Hitler, in which 1 = A and 8 = H. It is often associated with the British white supremacist group Combat 18/C18.</t>
  </si>
  <si>
    <t>https://www.adl.org/resources/hate-symbol/18</t>
  </si>
  <si>
    <t>https://extremismterms.adl.org/glossary/28</t>
  </si>
  <si>
    <t>28 is an alphanumeric code for Blood and Honour, an international white supremacist skinhead group, in which 2 = B and 8 = H.</t>
  </si>
  <si>
    <t>https://www.adl.org/resources/hate-symbol/28</t>
  </si>
  <si>
    <t>https://extremismterms.adl.org/glossary/38</t>
  </si>
  <si>
    <t>38 is the numeric symbol for the racist skinhead group the Hammerskins. The code substitutes letters for numbers, so 38 stands for CH or "Crossed Hammers," a reference to the crossed hammers of the group's logo.</t>
  </si>
  <si>
    <t>https://www.adl.org/resources/hate-symbol/38</t>
  </si>
  <si>
    <t>https://extremismterms.adl.org/glossary/83</t>
  </si>
  <si>
    <t>The numeric code for "Hail Christ," referring to the 8th (H) and 3rd (C) letters of the alphabet. It originated with adherents of Christian Identity, a racist and antisemitic religious sect, but has since also spread to some other white supremacists who avow Christian beliefs. Others may use 1483, which pairs 83 with 14, a reference to the 14 words.</t>
  </si>
  <si>
    <t>https://www.adl.org/resources/hate-symbol/83</t>
  </si>
  <si>
    <t>https://extremismterms.adl.org/glossary/88</t>
  </si>
  <si>
    <t>88 is a white supremacist numerical code for "Heil Hitler." H is the eighth letter of the alphabet, so 88 = HH = Heil Hitler. One of the most common white supremacist symbols, 88 is used throughout the movement.</t>
  </si>
  <si>
    <t>https://www.adl.org/resources/hate-symbol/88</t>
  </si>
  <si>
    <t>https://extremismterms.adl.org/glossary/131</t>
  </si>
  <si>
    <t>131 is alphanumeric code for ACA, "Anti Communist Action." Used by The Nationalist Social Club (NSC) to describe themselves, 131 Crew, or to describe their turf, 131 Zone.</t>
  </si>
  <si>
    <t>https://extremismterms.adl.org/glossary/311</t>
  </si>
  <si>
    <t>311 is the alphanumeric code for KKK. K is the 11th letter in the alphabet so 3 times 11 is KKK.</t>
  </si>
  <si>
    <t>https://www.adl.org/resources/hate-symbol/311</t>
  </si>
  <si>
    <t>https://extremismterms.adl.org/glossary/318</t>
  </si>
  <si>
    <t>318 is the numeric code for the British white supremacist group Combat 18. The 3 represents the letter C, so C 18, or Combat 18.</t>
  </si>
  <si>
    <t>https://www.adl.org/resources/hate-symbol/318</t>
  </si>
  <si>
    <t>https://extremismterms.adl.org/glossary/511</t>
  </si>
  <si>
    <t>511 is the numeric code for the European Kindred, a white supremacist prison gang based in Oregon. The 5 = E and the 11=K for European Kindred.</t>
  </si>
  <si>
    <t>https://www.adl.org/resources/hate-symbol/511</t>
  </si>
  <si>
    <t>https://www.adl.org/resources/hate-symbol/european-kindred</t>
  </si>
  <si>
    <t>https://extremismterms.adl.org/glossary/737</t>
  </si>
  <si>
    <t>737 is the numeric code used by the California-based white supremacist group, Public Enemy Number 1, which is active in the prisons and on the streets of California. The numbers 737 correspond to the letters P, D, and S on a telephone keypad. The initials PDS stand for Peni Death Squad, another name for the group.</t>
  </si>
  <si>
    <t>https://www.adl.org/resources/hate-symbol/737</t>
  </si>
  <si>
    <t>1-11 symbol</t>
  </si>
  <si>
    <t>https://extremismterms.adl.org/glossary/1-11-symbol</t>
  </si>
  <si>
    <t>1-11 is the numeric symbol used by Idaho-based white supremacist prison gang, the Aryan Knights. Substituting letters for numbers, 1 and 11 are A and K forAryan Knights.</t>
  </si>
  <si>
    <t>https://www.adl.org/resources/hate-symbol/1-11</t>
  </si>
  <si>
    <t>109/110</t>
  </si>
  <si>
    <t>https://extremismterms.adl.org/glossary/109110</t>
  </si>
  <si>
    <t>109/110 is a numeric reference to white supremacists' wish for the United States to be the 110th country to expel Jews, rooted in the antisemitic claim that Jews have been expelled from 109 countries.</t>
  </si>
  <si>
    <t>https://www.adl.org/resources/hate-symbol/109110</t>
  </si>
  <si>
    <t>13/52</t>
  </si>
  <si>
    <t>https://extremismterms.adl.org/glossary/1352</t>
  </si>
  <si>
    <t>13/52 is a white supremacist reference targeting Black people. The number 13 refers to the purported percentage of the U.S. population that is Black. The number 52 refers to a fabricated "percentage" of murders committed in the U.S. by Black people. Some also use the number 50.</t>
  </si>
  <si>
    <t>14/88</t>
  </si>
  <si>
    <t>https://extremismterms.adl.org/glossary/1488</t>
  </si>
  <si>
    <t>14/99 represents a combination of two popular white supremacist numeric symbols - the "14 Words" slogan and 88, which stands for "Heil Hitler" (H being the 8th letter of the alphabet). Together, the numbers form a general endorsement of white supremacy and its beliefs.</t>
  </si>
  <si>
    <t>https://www.adl.org/resources/hate-symbol/1488</t>
  </si>
  <si>
    <t>23/16</t>
  </si>
  <si>
    <t>https://extremismterms.adl.org/glossary/2316</t>
  </si>
  <si>
    <t>23/16 is a numeric symbol used by white supremacists meaning "white power." Substituting letters for numbers, 23 is W, for white, and 16 refers to P, for power. It is most commonly used on the West Coast.</t>
  </si>
  <si>
    <t>https://www.adl.org/resources/hate-symbol/2316</t>
  </si>
  <si>
    <t>33/6</t>
  </si>
  <si>
    <t>https://extremismterms.adl.org/glossary/336</t>
  </si>
  <si>
    <t>33/6 is a Ku Klux Klan-related symbol. The 33 stands for the Klan itself, as 33 signifies 3 times the 11th letter of the alphabet, K, to spell KKK. The number 6 was added by one specific Klan group, the Imperial Klans of America, to denote their belief that the Klan was in its sixth historical era.</t>
  </si>
  <si>
    <t>https://www.adl.org/resources/hate-symbol/336</t>
  </si>
  <si>
    <t>Arrow Cross symbol</t>
  </si>
  <si>
    <t>https://extremismterms.adl.org/glossary/arrow-cross-symbol</t>
  </si>
  <si>
    <t>Originally used as a symbol for the Hungarian fascist party from 1935-1945, the arrow cross is currently used by many white supremacists and neo-Nazis. For example, it was the logo for the Nationalist Movement, a small white supremacist group that operated for many years in Mississippi.</t>
  </si>
  <si>
    <t>https://www.adl.org/resources/hate-symbol/arrow-cross</t>
  </si>
  <si>
    <t>Blood drop cross</t>
  </si>
  <si>
    <t>https://extremismterms.adl.org/glossary/blood-drop-cross</t>
  </si>
  <si>
    <t>The blood drop cross, also called Mystic Insignia of a Klansman (MIOAK), is the primary symbol for KKK groups. It appears as a square white cross in black outline against a circular, red background. In the middle of the cross is what appears to be a drop of blood. Klansmen believe the symbol represents blood shed to protect the white race.</t>
  </si>
  <si>
    <t>Boots and Laces</t>
  </si>
  <si>
    <t>https://extremismterms.adl.org/glossary/boots-and-laces</t>
  </si>
  <si>
    <t>Racist skinheads often wear steel-toed work/combat boots (Doc Marten's or other brands) with red or white shoelaces laced in a style known as straight-lacing or ladder-lacing.</t>
  </si>
  <si>
    <t>https://www.adl.org/resources/hate-symbol/boots-and-laces</t>
  </si>
  <si>
    <t>Burning Cross (symbol)</t>
  </si>
  <si>
    <t>https://extremismterms.adl.org/glossary/burning-cross-symbol</t>
  </si>
  <si>
    <t>The burning cross is one of the most potent hate symbols, popularized as a terror symbol by the Ku Klux Klan. The symbol emerged in the early 20th century with the Second Ku Klux Klan, which adopted it from Thomas Dixon, author of the 1905 novel The Clansman, which inaccurately portrayed the First Ku Klux Klan as engaging in cross burnings.</t>
  </si>
  <si>
    <t>https://www.adl.org/resources/hate-symbol/burning-cross</t>
  </si>
  <si>
    <t>Burning Neo-Nazi Symbols</t>
  </si>
  <si>
    <t>https://extremismterms.adl.org/glossary/burning-neo-nazi-symbols</t>
  </si>
  <si>
    <t>Neo-Nazis have adopted the Ku Klux Klan practice of symbolic burnings, substituting swastikas, othala and life runes, triskeles and the Celtic cross for the traditional cross burned by Klan members.</t>
  </si>
  <si>
    <t>Celtic cross</t>
  </si>
  <si>
    <t>https://extremismterms.adl.org/glossary/celtic-cross</t>
  </si>
  <si>
    <t>The Celtic Cross is a common symbol typically used as a Christian symbol, Celtic symbol, or symbol of Irish pride. Most use of this symbol is innocuous. However, one particular version of the Celtic Cross, sometimes known as the Odin Cross, consisting of a square cross interlocking with or surrounded by a circle, has also become a popular white supremacist symbol.</t>
  </si>
  <si>
    <t>https://www.adl.org/resources/hate-symbol/celtic-cross</t>
  </si>
  <si>
    <t>Crossed Grenades (symbol)</t>
  </si>
  <si>
    <t>https://extremismterms.adl.org/glossary/crossed-grenades-symbol</t>
  </si>
  <si>
    <t>The crossed grenade emblem originated with the infamous Dirlewanger Brigade of World War II, a Waffen SS unit that engaged in a number of atrocities.</t>
  </si>
  <si>
    <t>https://www.adl.org/resources/hate-symbol/crossed-grenades</t>
  </si>
  <si>
    <t>Crucified Skinhead (symbol)</t>
  </si>
  <si>
    <t>https://extremismterms.adl.org/glossary/crucified-skinhead-symbol</t>
  </si>
  <si>
    <t>The crucified skinhead is a common skinhead symbol used by racist and non-racist skinheads alike, typically to express the perception that society opposes them. Racist skinheads often adorn the symbol with additional hate symbols or replace the cross itself with a hate symbol.</t>
  </si>
  <si>
    <t>https://www.adl.org/resources/hate-symbol/crucified-skinhead</t>
  </si>
  <si>
    <t>Fasces (symbol)</t>
  </si>
  <si>
    <t>https://extremismterms.adl.org/glossary/fasces-symbol</t>
  </si>
  <si>
    <t>Fasces are an ancient Roman symbol for authority and government coopted by Mussolini"s Fascist movement in Italy. Some white supremacists in the United States have recently adopted the symbol both because of its fascist connections and because it is more publicly acceptable than the swastika.</t>
  </si>
  <si>
    <t>https://www.adl.org/resources/hate-symbol/fasces</t>
  </si>
  <si>
    <t>H8</t>
  </si>
  <si>
    <t>https://extremismterms.adl.org/glossary/h8</t>
  </si>
  <si>
    <t>White supremacists use the letter/number combination H8 to mean "hate." Usage dates back at least to the 1990s and may originally derive from punk subculture. It has become more common in recent years with the spread of text message abbreviations. Common motifs for the word include playing cards and billiard balls.</t>
  </si>
  <si>
    <t>https://www.adl.org/resources/hate-symbol/h8</t>
  </si>
  <si>
    <t>Hammerskin (hand sign)</t>
  </si>
  <si>
    <t>https://extremismterms.adl.org/glossary/hammerskin-hand-sign</t>
  </si>
  <si>
    <t>The hand sign of the Hammerskins, a racist skinhead group, consists of two crossed forearms emulating the "crossed hammers" of the Hammerskins logo.</t>
  </si>
  <si>
    <t>https://www.adl.org/resources/hate-symbol/hammerskin-hand-sign</t>
  </si>
  <si>
    <t>HATE (symbol)</t>
  </si>
  <si>
    <t>https://extremismterms.adl.org/glossary/hate-symbol</t>
  </si>
  <si>
    <t>It is common for white supremacists to deny being racists or to claim to that the groups to which they belong are not hate groups, but in fact the word "hate" itself is commonly used as a white supremacist symbol for tattoos and clothing. Many white supremacists use the word to openly proclaim their hatred of people unlike them.</t>
  </si>
  <si>
    <t>https://www.adl.org/resources/hate-symbol/hate</t>
  </si>
  <si>
    <t>Hitler salute</t>
  </si>
  <si>
    <t>https://extremismterms.adl.org/glossary/hitler-salute</t>
  </si>
  <si>
    <t>Also known as the Nazi salute, it is a raised, outstretched right arm with the palm facing down. It emerged in the 1930s as an homage to Adolf Hitler, and is still used by neo-Nazi and white supremacists.</t>
  </si>
  <si>
    <t>https://www.adl.org/resources/hate-symbol/hitler-salute-hand-sign</t>
  </si>
  <si>
    <t>Honkler</t>
  </si>
  <si>
    <t>https://extremismterms.adl.org/glossary/honkler</t>
  </si>
  <si>
    <t>Honkler is the white supremacist clown version of the meme Pepe the Frog.</t>
  </si>
  <si>
    <t>No associated resources (MLM) See Notes.</t>
  </si>
  <si>
    <t>FYI: The Hate Symbols Update, set to release in early October, has this symbol. So we can redirect once published.</t>
  </si>
  <si>
    <t>Identitarian Lambda (symbol)</t>
  </si>
  <si>
    <t>https://extremismterms.adl.org/glossary/identitarian-lambda-symbol</t>
  </si>
  <si>
    <t>The Identitarian lambda is a symbol used by people who identify with Identitarianism, a racist and anti-immigrant European far right movement loosely analogous to the alt right in the United States.</t>
  </si>
  <si>
    <t>https://www.adl.org/resources/hate-symbol/identitarian-lambda</t>
  </si>
  <si>
    <t>Imperial German Flag (symbol)</t>
  </si>
  <si>
    <t>https://extremismterms.adl.org/glossary/imperial-german-flag-symbol</t>
  </si>
  <si>
    <t>The Imperial German flag is sometimes used by German neo-Nazis because Germany has banned use of the swastika and other Nazi imagery. Nazis elsewhere, such as in the United States, sometimes do the same.</t>
  </si>
  <si>
    <t>https://www.adl.org/resources/hate-symbol/imperial-german-flag</t>
  </si>
  <si>
    <t>Iron Cross</t>
  </si>
  <si>
    <t>https://extremismterms.adl.org/glossary/iron-cross</t>
  </si>
  <si>
    <t>A famous German military medal dating back to the 19th century. Nazis used the traditional medal with a swastika superimposed, and it was later adopted as a hate symbol by neo-Nazis and other white supremacists. Non-racist iterations do not include a swastika or other accompanying hate symbols.</t>
  </si>
  <si>
    <t>https://www.adl.org/resources/hate-symbol/iron-cross</t>
  </si>
  <si>
    <t>Ku Klux Klan (hand sign)</t>
  </si>
  <si>
    <t>https://extremismterms.adl.org/glossary/ku-klux-klan-hand-sign</t>
  </si>
  <si>
    <t>Some Ku Klux Klan members use a hand sign where they angle their index and middle fingers out to the side in order to look vaguely like the letter "K."</t>
  </si>
  <si>
    <t>https://www.adl.org/resources/hate-symbol/ku-klux-klan-hand-sign</t>
  </si>
  <si>
    <t>Ku Klux Klan Robes (symbol)</t>
  </si>
  <si>
    <t>https://extremismterms.adl.org/glossary/ku-klux-klan-robes-symbol</t>
  </si>
  <si>
    <t>The hood and robes of Ku Klux Klan members are the most visible Klan symbol; so much so that a hooded and robed Klansman is a popular type of tattoo among white supremacists, including non-Klan members and non-Americans. The meanings of colors or stripes on the robes tend to vary from Klan group to Klan group.</t>
  </si>
  <si>
    <t>https://www.adl.org/resources/hate-symbol/ku-klux-klan-robes</t>
  </si>
  <si>
    <t>Life Rune</t>
  </si>
  <si>
    <t>https://extremismterms.adl.org/glossary/life-rune</t>
  </si>
  <si>
    <t>The Life rune, also known as the Elhaz or Algis rune, is an ancient runic symbol appropriated by the Nazis in an attempt to glorify an idealized "Aryan/Norse" heritage, which led to its later adoption by white supremacists. Because the life rune is also used by many non-racists, it should carefully be judged in context.</t>
  </si>
  <si>
    <t>https://www.adl.org/resources/hate-symbol/life-rune</t>
  </si>
  <si>
    <t>Nazi Eagle</t>
  </si>
  <si>
    <t>https://extremismterms.adl.org/glossary/nazi-eagle</t>
  </si>
  <si>
    <t>The Nazi Eagle, an eagle clutching a swastika, emerged as a symbol during the Nazi era in Germany. Since the end of that regime, it has been adopted by white supremacists and neo-Nazis worldwide.</t>
  </si>
  <si>
    <t>https://www.adl.org/resources/hate-symbol/nazi-eagle</t>
  </si>
  <si>
    <t>Nazi Party Flag (Symbol)</t>
  </si>
  <si>
    <t>https://extremismterms.adl.org/glossary/nazi-party-flag-symbol</t>
  </si>
  <si>
    <t>The flag of Nazi Germany has become one of the most potent hate symbols worldwide. It is commonly used by neo-Nazi and white supremacist organizations.</t>
  </si>
  <si>
    <t>https://www.adl.org/resources/hate-symbol/nazi-party-flag</t>
  </si>
  <si>
    <t>No Race Mixing Symbol</t>
  </si>
  <si>
    <t>https://extremismterms.adl.org/glossary/no-race-mixing-symbol</t>
  </si>
  <si>
    <t>White supremacists fear and hate the concept of multiracial couples, relationships or families, believing that such relationships "pollute" the "pure" white race. As a result, a fairly common white supremacist symbol depicts a multiracial couple or family with a red circle/bar superimposed over the depiction indicating that such relationships ought to be prohibited.</t>
  </si>
  <si>
    <t>https://www.adl.org/resources/hate-symbol/no-race-mixing</t>
  </si>
  <si>
    <t>Not Equal Symbol</t>
  </si>
  <si>
    <t>https://extremismterms.adl.org/glossary/not-equal-symbol</t>
  </si>
  <si>
    <t>Some white supremacists have adopted the mathematical sign (Not Equal or Not Equal To) as a white supremacist symbol. The use of this symbol is an attempt to claim that different races are not equal to each other (and to imply that the white race is superior)..ll</t>
  </si>
  <si>
    <t>https://www.adl.org/resources/hate-symbol/not-equal</t>
  </si>
  <si>
    <t>NSM Legacy Logos</t>
  </si>
  <si>
    <t>https://extremismterms.adl.org/glossary/nsm-legacy-logos</t>
  </si>
  <si>
    <t>The National Socialist Movement (NSM) is a longstanding neo-Nazi group that has changed its logo several times during its existence. Older versions of its logo can still be found on clothing, printed materials, and even tattoos.</t>
  </si>
  <si>
    <t>https://www.adl.org/resources/hate-symbol/nsm-legacy-logos</t>
  </si>
  <si>
    <t>Okay Hand Gesture (Symbol)</t>
  </si>
  <si>
    <t>https://extremismterms.adl.org/glossary/okay-hand-gesture-symbol</t>
  </si>
  <si>
    <t>In 2017, a 4chan trolling campaign falsely claimed that the okay hand gesture had been appropriated by white supremacists as a symbol meaning "white power." The campaign succeeded in convincing many people that it was, leading to its use by many on the right ‚Äî not just extremists ‚Äî for the purpose of trolling liberals. Because of the attention, the symbol eventually came to be used by some actual white supremacists as well. Caution must be used in evaluating instances of this symbol's use, as most use of this symbol is not, in fact, white supremacist in nature.</t>
  </si>
  <si>
    <t>https://www.adl.org/resources/hate-symbol/okay-hand-gesture</t>
  </si>
  <si>
    <t>Othala Rune</t>
  </si>
  <si>
    <t>https://extremismterms.adl.org/glossary/othala-rune</t>
  </si>
  <si>
    <t>The othala rune is part of the runic alphabet system, a system of writing used (with many variations) across pre-Roman Europe. In the 20th century, Nazis in Germany adopted the othala rune, among many other similar symbols, as part of their attempt to reconstruct a mythic "Aryan" past. Following World War II, white supremacists began using the othala rune, and today it is commonly seen in tattoo form, as part of group logos and elsewhere.</t>
  </si>
  <si>
    <t>https://www.adl.org/resources/hate-symbol/othala-rune</t>
  </si>
  <si>
    <t>Peckerwood Hand Sign</t>
  </si>
  <si>
    <t>https://extremismterms.adl.org/glossary/peckerwood-hand-sign</t>
  </si>
  <si>
    <t>The hand sign for "peckerwood" uses the thumb, index finger and middle finger of one hand to form the letter "P," and the four fingers of the other hand to form the letter "W." This is especially common in California. Peckerwood, derived from an old racial epithet aimed at whites, has evolved to become a term used to refer to white prisoners, particularly white prisoners belonging to the white supremacist prison gang subculture. Often the term is shortened to "wood" and all such prisoners in a particular prison might be referred to as the "woodpile." Female members or associates are referred to as featherwoods.</t>
  </si>
  <si>
    <t>https://www.adl.org/resources/hate-symbol/peckerwood-hand-sign</t>
  </si>
  <si>
    <t>Pit Bull (symbol)</t>
  </si>
  <si>
    <t>https://extremismterms.adl.org/glossary/pit-bull-symbol</t>
  </si>
  <si>
    <t>Pit bulls are the favorite dogs of many white supremacists because they are perceived as savage fighters. The Pennsylvania-based Keystone State Skinheads' logo is a pitt bull's face superimposed over a red, white and black keystone.</t>
  </si>
  <si>
    <t>https://www.adl.org/resources/hate-symbol/pit-bull</t>
  </si>
  <si>
    <t>Runic Writing</t>
  </si>
  <si>
    <t>https://extremismterms.adl.org/glossary/runic-writing</t>
  </si>
  <si>
    <t>Runic alphabets are pre-Roman alphabets used widely across Europe, easily recognizable because of their angular characters. Although still used today in many mainstream and non-racist contexts, white supremacists have also appropriated the runic alphabet, in large part because Nazi Germany often used runes in its symbology. It is common for white supremacists to use runic letters to portray certain words of significance to their cause, which may be seen on clothing or as tattoos. Because runes are still commonly used in a variety of non-racist forms, their appearance should always be carefully analyzed in context.</t>
  </si>
  <si>
    <t>https://www.adl.org/resources/hate-symbol/runic-writing-racist</t>
  </si>
  <si>
    <t>Sonnenrad</t>
  </si>
  <si>
    <t>https://extremismterms.adl.org/glossary/sonnenrad</t>
  </si>
  <si>
    <t>Sonnenrad is the German term for a "sunwheel" image, an ancient European symbol that appears in many forms. The Nazis created one specific version of a sonnenrad, featuring crooked rays (resembling lightning bolts) emanating from an inner circle. This specific sonnenrad image has become a very popular white supremacist symbol. White supremacists will often inset another symbol, such as a swastika image, into the center of this sonnenrad.</t>
  </si>
  <si>
    <t>https://www.adl.org/resources/hate-symbol/sonnenrad</t>
  </si>
  <si>
    <t>South African Flag (Apartheid Era) Symbol</t>
  </si>
  <si>
    <t>https://extremismterms.adl.org/glossary/south-african-flag-apartheid-era-symbol</t>
  </si>
  <si>
    <t>In 1994, after the end of apartheid, South Africa adopted a new national flag, as the previous flag, adopted in 1928, had come to symbolize the apartheid regime. Since 1994, white supremacists in South Africa and elsewhere around the world, including the United States, have adopted the 1928 flag as a symbol of white supremacy.</t>
  </si>
  <si>
    <t>https://www.adl.org/resources/hate-symbol/south-african-flag-apartheid-era</t>
  </si>
  <si>
    <t>SS bolts</t>
  </si>
  <si>
    <t>https://extremismterms.adl.org/glossary/ss-bolts</t>
  </si>
  <si>
    <t>SS bolts are a lightning-bolt-shaped runic insignia utilized by the Schutzstaffel (SS) in Nazi Germany. The SS was a large Nazi organization that fielded military forces, manned concentration camps and operated intelligence services, among many other functions. Because of its importance to Nazi Germany, modern white supremacists frequently utilize this symbol.</t>
  </si>
  <si>
    <t>https://www.adl.org/resources/hate-symbol/ss-bolts</t>
  </si>
  <si>
    <t>SS Hand Sign Symbol</t>
  </si>
  <si>
    <t>https://extremismterms.adl.org/glossary/ss-hand-sign-symbol</t>
  </si>
  <si>
    <t>In the 2000s, white supremacists created a hand sign intended to memorialize the Schutzstaffeln or SS of Nazi Germany, who served as Hitler's secret police, political army and concentration camp guards. The hand sign uses both hands to make a lightning bolt symbol, the primary symbol of the SS.</t>
  </si>
  <si>
    <t>https://www.adl.org/resources/hate-symbol/ss-hand-sign</t>
  </si>
  <si>
    <t>St. Michael's Cross</t>
  </si>
  <si>
    <t>https://extremismterms.adl.org/glossary/st-michaels-cross</t>
  </si>
  <si>
    <t>St. Michael's Cross, also called Archangel Michael's Cross, is a fascist symbol that originated in Romania in the years before World War II as the symbol of the fascist Iron Guard movement. The symbol occasionally appears in American white supremacist propaganda.</t>
  </si>
  <si>
    <t>ever</t>
  </si>
  <si>
    <t>Sturmabteilung Symbol</t>
  </si>
  <si>
    <t>https://extremismterms.adl.org/glossary/sturmabteilung-symbol</t>
  </si>
  <si>
    <t>The Sturmabteilung (or SA) emblem was used by Hitler's so-called "Brownshirts," paramilitary formations Hitler utilized to intimidate political opponents before and after his rise to power in Germany. Today it is used by neo-Nazis and other modern-day white supremacists.</t>
  </si>
  <si>
    <t>https://www.adl.org/resources/hate-symbol/sturmabteilung</t>
  </si>
  <si>
    <t>Swastika</t>
  </si>
  <si>
    <t>https://extremismterms.adl.org/glossary/swastika</t>
  </si>
  <si>
    <t>The swastika is an ancient symbol that emerged independently among many cultures. Before the 20th century, its use was almost always benign, and it is still a common religious symbol across Asia associated with good fortune. However, it was adopted in the early 20th century by German right-wing movements and used as the symbol for the Nazi Party beginning in 1920. Since then, the swastika has become perhaps the most notorious hate symbol in Western culture.</t>
  </si>
  <si>
    <t>https://www.adl.org/resources/hate-symbol/swastika</t>
  </si>
  <si>
    <t>Thor's Hammer</t>
  </si>
  <si>
    <t>https://extremismterms.adl.org/glossary/thors-hammer</t>
  </si>
  <si>
    <t>Thor's Hammer is an ancient Norse symbol, used today primarily in neo-pagan religions such as Asatru. White supremacist Norse pagans have appropriated this symbol to use in a white supremacist context. However, because it continues to be used by many non-racists, one should never assume that the Thor's Hammer necessarily denotes racism or white supremacy, but instead should carefully judge it in the context in which it appears.</t>
  </si>
  <si>
    <t>https://www.adl.org/resources/hate-symbol/thors-hammer</t>
  </si>
  <si>
    <t>Totenkopf</t>
  </si>
  <si>
    <t>https://extremismterms.adl.org/glossary/totenkopf</t>
  </si>
  <si>
    <t>Totenkopf is German for the "death's head" or skull. During the Nazi era, Hitler's Schutzstaffel (SS) adopted one particular Totenkopf image. Since World War Two the image has been adopted by neo-Nazis and white supremacists.</t>
  </si>
  <si>
    <t>https://www.adl.org/resources/hate-symbol/totenkopf</t>
  </si>
  <si>
    <t>Triangular Klan Symbol</t>
  </si>
  <si>
    <t>https://extremismterms.adl.org/glossary/triangular-klan-symbol</t>
  </si>
  <si>
    <t>The triangular Ku Klux Klan symbol looks like a triangle within a triangle, but actually represents three letter K's aligned in a triangle and facing inwards. A variation on this symbol has the K's facing outwards instead of inwards.</t>
  </si>
  <si>
    <t>https://www.adl.org/resources/hate-symbol/triangular-klan-symbol</t>
  </si>
  <si>
    <t>Triskele</t>
  </si>
  <si>
    <t>https://extremismterms.adl.org/glossary/triskele</t>
  </si>
  <si>
    <t>The triskele is an ancient symbol with three curved or jointed segments emanating from a single point that has been adopted by white supremacists.</t>
  </si>
  <si>
    <t>https://www.adl.org/resources/hate-symbol/triskele</t>
  </si>
  <si>
    <t>White Power (hand sign)</t>
  </si>
  <si>
    <t>https://extremismterms.adl.org/glossary/white-power-hand-sign</t>
  </si>
  <si>
    <t>The White Power hand sign uses two hands - one forming the letter "W" and the other forming the letter "P" to represent "WP" or "White Power." It is particularly used by white supremacists in California.</t>
  </si>
  <si>
    <t>https://www.adl.org/resources/hate-symbol/white-power-hand-sign</t>
  </si>
  <si>
    <t>Wolfsangel</t>
  </si>
  <si>
    <t>https://extremismterms.adl.org/glossary/wolfsangel</t>
  </si>
  <si>
    <t>The Wolfsangel is an ancient runic symbol that was believed to ward off wolves. Today, thanks to its appropriation by Nazi Germany, the Wolfsangel is one of the more popular white supremacist symbols.</t>
  </si>
  <si>
    <t>https://www.adl.org/resources/hate-symbol/wolfsangel</t>
  </si>
  <si>
    <t>Noose Symbol</t>
  </si>
  <si>
    <t>https://extremismterms.adl.org/glossary/noose-symbol</t>
  </si>
  <si>
    <t>The hangman's noose, a symbol connected to lynching, is one of the most powerful visual symbols directed primarily at African Americans.</t>
  </si>
  <si>
    <t>https://www.adl.org/resources/hate-symbol/noose</t>
  </si>
  <si>
    <t>Aryan Brotherhood of Texas (hand sign)</t>
  </si>
  <si>
    <t>https://extremismterms.adl.org/glossary/aryan-brotherhood-texas-hand-sign</t>
  </si>
  <si>
    <t>White supremacist prison gang Aryan Brotherhood of Texas uses a hand symbol with a raised index finger, ring finger and pinkie finger, denoting the numbers 1 and 2, or A and B for Aryan Brotherhood.</t>
  </si>
  <si>
    <t>https://www.adl.org/resources/hate-symbol/aryan-brotherhood-texas-hand-sign</t>
  </si>
  <si>
    <t>Aryan Circle (hand sign)</t>
  </si>
  <si>
    <t>https://extremismterms.adl.org/glossary/aryan-circle-hand-sign</t>
  </si>
  <si>
    <t>The Aryan Circle hand sign involves holding the thumb and all fingers except for the pointer finger up, denoting the numbers 1 and 3, for the letters A and C = Aryan Circle.</t>
  </si>
  <si>
    <t>https://www.adl.org/resources/hate-symbol/aryan-circle-hand-sign</t>
  </si>
  <si>
    <t>Aryan Fist Symbol</t>
  </si>
  <si>
    <t>https://extremismterms.adl.org/glossary/aryan-fist-symbol</t>
  </si>
  <si>
    <t>The Aryan fist symbol shows a white fist on a black background. While the fist was used by Black Nationalist groups in the 1960's and 70's, it was appropriated with a white fist to signify white power.</t>
  </si>
  <si>
    <t>https://www.adl.org/resources/hate-symbol/aryan-fist</t>
  </si>
  <si>
    <t>Aryan Nations (prison gang hand sign)</t>
  </si>
  <si>
    <t>https://extremismterms.adl.org/glossary/aryan-nations-prison-gang-hand-sign</t>
  </si>
  <si>
    <t>The hand sign for the Aryan Nations white supremacist prison gang consists of the fingers held in a pistol shape with the pistol pointed to the sky, referred to as "bolts up" or "bolts to the sky."</t>
  </si>
  <si>
    <t>https://notoleranceforantisemitism.adl.org/resources/hate-symbol/aryan-nations-hand-sign-tennessee-prison-gang</t>
  </si>
  <si>
    <t>Jera Rune (symbol)</t>
  </si>
  <si>
    <t>https://extremismterms.adl.org/glossary/jera-rune-symbol</t>
  </si>
  <si>
    <t>The Jera rune is an ancient European runic symbol and part of the runic alphabet. It is one of a number of runic symbols that white supremacists have appropriated but is also commonly used by non-racist modern Norse pagans, so care needs to be taken in its evaluation.</t>
  </si>
  <si>
    <t>https://www.adl.org/resources/hate-symbol/jera-rune</t>
  </si>
  <si>
    <t>Kek</t>
  </si>
  <si>
    <t>https://extremismterms.adl.org/glossary/kek</t>
  </si>
  <si>
    <t>Kek, which has origins in gaming culture, is a fabricated "deity" linked to a semi-ironic "religion" embraced by some white supremacists.</t>
  </si>
  <si>
    <t>I suggested adding the "kekistani" flag to the hate symbols database several months ago.  Is this worth revisiting so we have something to link out to? -Hannah</t>
  </si>
  <si>
    <t>Trollface</t>
  </si>
  <si>
    <t>https://extremismterms.adl.org/glossary/trollface</t>
  </si>
  <si>
    <t>Like Pepe the Frog, "Trollface" is a widely-used internet meme that has been appropriated and used by some white supremacists. Care must be taken not to make assumptions of the intent behind its use but to judge it only in context.</t>
  </si>
  <si>
    <t>https://www.adl.org/resources/hate-symbol/trollface-racist-versions</t>
  </si>
  <si>
    <t>Tyr Rune</t>
  </si>
  <si>
    <t>https://extremismterms.adl.org/glossary/tyr-rune</t>
  </si>
  <si>
    <t>The Tyr rune is an ancient runic symbol that was appropriated by the Nazis and subsequently became popular among white supremacists. Its popularity in part stems from the fact that it is considered by many to be the "warrior rune." Because non-racists also use this symbol, care must be taken to evaluate it within its context.</t>
  </si>
  <si>
    <t>https://www.adl.org/resources/hate-symbol/tyr-rune</t>
  </si>
  <si>
    <t>Valknot</t>
  </si>
  <si>
    <t>https://extremismterms.adl.org/glossary/valknot</t>
  </si>
  <si>
    <t>The Valknot, or "knot of the slain," is an old Norse symbol associated with the afterlife that has been appropriated by white supremacists as a racist symbol. Nonracist pagans may also use this symbol, so it should be carefully examined in context.</t>
  </si>
  <si>
    <t>https://www.adl.org/resources/hate-symbol/valknot</t>
  </si>
  <si>
    <t>Pepe the Frog</t>
  </si>
  <si>
    <t>https://extremismterms.adl.org/glossary/pepe-frog</t>
  </si>
  <si>
    <t>Right-wing, White supremacist</t>
  </si>
  <si>
    <t>Pepe the Frog is a popular internet cartoon character appropriated by the white supremacist movement and used in a variety of contexts. Members of the white supremacist "alt right," favor the symbol in a context that is specifically racist, antisemitic or otherwise bigoted.</t>
  </si>
  <si>
    <t>https://www.adl.org/resources/hate-symbol/pepe-frog</t>
  </si>
  <si>
    <t>3 stars</t>
  </si>
  <si>
    <t>https://extremismterms.adl.org/glossary/3-stars</t>
  </si>
  <si>
    <t>3 stars is a symbol used by some QAnon adherents to express support for former National Security Adviser Michael Flynn, by adding 3 star emojis to their username. The stars represent Flynn's three-star military rank as a retired U.S. Army lieutenant general.</t>
  </si>
  <si>
    <t xml:space="preserve"> 3 stars is not mentioned in the QAnon backgrounder and I'm not sure it should be integrated since it's specific to one person. Marilyn</t>
  </si>
  <si>
    <t>Fred Perry Polo Shirts: Symbol</t>
  </si>
  <si>
    <t>https://extremismterms.adl.org/glossary/fred-perry-polo-shirts-symbol</t>
  </si>
  <si>
    <t>Black and yellow polo shirts by the clothing brand, Fred Perry, has been approrpiated by the Proud Boys to as their "uniform." In September 2020, Fred Perry discontinued the colorway in the U.S., Canada and later in the U.K. In 2021, Proud Boys have occasionally shed their highly recognizable shirts, a tactic they employed strategically during the January 6, 2021, insurrection, dressing in all black clothing -- the traditional choice of antifa.</t>
  </si>
  <si>
    <t>defunct</t>
  </si>
  <si>
    <t>Syringe Swastika</t>
  </si>
  <si>
    <t>https://extremismterms.adl.org/glossary/syringe-swastika-1</t>
  </si>
  <si>
    <t>Non-extremist</t>
  </si>
  <si>
    <t>The syringe swastika (sometimes referred to as a ‚Äúvaccine swastika‚Äù) is a symbol used by some anti-vaccine activists to express opposition to vaccine mandates, likening such policies to the oppressive and genocidal policies of Nazi Germany. The symbol, which depicts a swastika shaped out of medical syringes, gained popularity during the COVID-19 pandemic. The syringe swastika is one of several Nazi/Holocaust analogies used by anti-vaccine activists to decry vaccine mandates and other public health measures. The symbol may be hurtful or considered offensive to Jews, many of whom lost family members or carry memories of the trauma suffered by their parents, grandparents and great-grandparents during the Holocaust.¬†</t>
  </si>
  <si>
    <t>Black flags</t>
  </si>
  <si>
    <t>https://extremismterms.adl.org/glossary/black-flags</t>
  </si>
  <si>
    <t>Black flags are inspired by descriptions of the Prophet Muhammad's battle flag, which was reportedly a black flag with white lettering on it. Therefore, many Islamist extremist groups adopt various interpretations of this image to use as their own. Though the design of the emblem varies, the words on it almost always are the Shahada, the basic profession of faith in Islam, which translates to "There is no God but Allah and Muhammad is his messenger."</t>
  </si>
  <si>
    <t>Tawhid Emoji</t>
  </si>
  <si>
    <t>https://extremismterms.adl.org/glossary/tawhid-emoji</t>
  </si>
  <si>
    <t>The tawhid emoji or hand gesture is frequently used by Islamists, and ISIS members in particular, to signify their membership. The single finger is meant to reference "tawheed," a religious term for the belief that there is only one god: Allah.</t>
  </si>
  <si>
    <t>((()))</t>
  </si>
  <si>
    <t>https://extremismterms.adl.org/node/558</t>
  </si>
  <si>
    <t>The echo symbol, also called the triple parentheses, is frequently used by antisemites online to denote Jewish ties to a name, term, or phrase. For example, an antisemite may refer to "(((media)))" to indicate their belief that the media is controlled by Jews. To counter this form of antisemitism, some Jews and anti-hate activists use it as a show of defiance to proudly announce their Judaism or their opposition to antisemitism.</t>
  </si>
  <si>
    <t>https://www.adl.org/resources/hate-symbol/echo</t>
  </si>
  <si>
    <t>Happy Merchant</t>
  </si>
  <si>
    <t>https://extremismterms.adl.org/glossary/happy-merchant</t>
  </si>
  <si>
    <t>The Happy Merchant is an antisemitic image that depicts a heavily stereotyped Jewish man greedily rubbing his hands together. The Happy Merchant meme is one of the most common antisemitic images on the internet.</t>
  </si>
  <si>
    <t>www.adl.org/resources/hate-symbol/happy-merchant</t>
  </si>
  <si>
    <t>https://www.adl.org/resources/hate-symbol/happy-merchant</t>
  </si>
  <si>
    <t>Inverted Red Triangle</t>
  </si>
  <si>
    <t>https://extremismterms.adl.org/glossary/inverted-red-triangle</t>
  </si>
  <si>
    <t>In early November 2023, the inverted red triangle emerged as a symbol that in certain cases can signify support for violent Palestinian resistance against Israel. It is used both offline and online, sometimes in the form of an emoji (). At anti-Israel protests throughout 2024, protesters began to depict the symbol using a two-handed sign, in which the index and middle fingers of one hand form a "V" and the pointer or middle finger of the other hand form the top part of the triangle. The hand sign may also be made by forming a V using the middle finger of each hand and completing the top of the triangle with the index fingers of both hands overlapping.¬†The symbol first appeared in propaganda videos promoted by the al-Qassam brigades, the military wing of Hamas, which showed footage of Hamas terrorists attacking Israeli military targets indicated with an inverted red triangle.¬†Though it can be used innocuously in general pro-Palestine social media posts, the inverted red triangle is now used to represent Hamas itself and glorify its use of violence in many popular anti-Zionist memes and political cartoons. For example, individuals will place the symbol over an image of Israeli soldiers or overlaid on a Star of David as a way to call for further violent resistance.</t>
  </si>
  <si>
    <t>We should link to an earlier resource, closer to the emergence of this symbol. Maybe this: https://www.adl.org/resources/article/campus-antisemitism-surges-amid-encampments-and-related-protests-columbia-and</t>
  </si>
  <si>
    <t>Civil Peace Flag/Civil Flag of Peacetime</t>
  </si>
  <si>
    <t>https://extremismterms.adl.org/glossary/civil-peace-flagcivil-flag-peacetime</t>
  </si>
  <si>
    <t>The civil peace flag, also known as the civil flag of peacetime or flag of peace, is a flag commonly used by sovereign citizens, who believe it is the original and legitimate flag of the United States. It is adapted from an obscure version of the American flag from the early 1800s. Sovereign citizens believe the real U.S. flag represents the illegitimate government presently ruling over the United States.¬†¬†¬†The flag features 13 vertical red and white stripes with blue-on-white stars in the canton, whereas the real U.S. flag features horizontal stripes and white-on-blue stars.¬†¬†</t>
  </si>
  <si>
    <t>Term is not mentioned in sovereign citizen backgrounder but it is mentioned in this backgrounder: https://www.adl.org/resources/blog/sovereign-citizen-ideology-increasingly-seeping-qanon    We should switch URLs or add this term to the sovereign citizen backgrounder.  Marilyn</t>
  </si>
  <si>
    <t>Gold-fringed flag</t>
  </si>
  <si>
    <t>https://extremismterms.adl.org/glossary/gold-fringed-flag</t>
  </si>
  <si>
    <t>The Gold-fringed flag is a symbol sovereign citizens have fixate on--in courtrooms as elsewhere--because they claim that such flags are military flags, so a fringed flag in a courtroom indicates that the court is a military or admiralty court, not a constitutional court and thus has no jurisdiction over them.</t>
  </si>
  <si>
    <t>Term is not in sovereign citizen backgrounder. Needs to be added.  Marilyn</t>
  </si>
  <si>
    <t>UCC 1-308 and UCC 1-207</t>
  </si>
  <si>
    <t>https://extremismterms.adl.org/glossary/ucc-1-308-and-ucc-1-207</t>
  </si>
  <si>
    <t>UCC1-308 is a provision of the Uniform Commercial Code (UCC), a body of state law that every state has passed to make financial transactions between citizens and businesses of different states seamless and uniform. UCC1-207 is a reference to the same part of the UCC before it was renumbered some years ago. Sovereign citizens use these references to protect documents from being considered a "contract" with the illegitimate government, and subject them to the jurisdiction of the illegitimate government.</t>
  </si>
  <si>
    <t>This is not in the Sovereign Citizen backgrounder. - EKA</t>
  </si>
  <si>
    <t>Disinformation</t>
  </si>
  <si>
    <t>https://extremismterms.adl.org/glossary/disinformation</t>
  </si>
  <si>
    <t>Key Concepts / Definitions, Tactics</t>
  </si>
  <si>
    <t>Right-wing, Left-wing, Non-extremist</t>
  </si>
  <si>
    <t>Disinformation is purposely created false/misleading information that is meant to manipulate or harm people, places and institutions. It is created with malice or greed, typically in pursuit of political, social or financial agendas. One example is government-run propaganda campaigns.</t>
  </si>
  <si>
    <t>Malinformation</t>
  </si>
  <si>
    <t>https://extremismterms.adl.org/glossary/malinformation</t>
  </si>
  <si>
    <t>Malinformation is real information that is spread deliberately and with malice, such as doxing or revealing personal, private information without consent.</t>
  </si>
  <si>
    <t>Misinformation</t>
  </si>
  <si>
    <t>https://extremismterms.adl.org/glossary/misinformation</t>
  </si>
  <si>
    <t>Misinformation is false/misleading information that is spread by those who genuinely believe it to be true, without malice or coordination. One example is average social media users sharing anti-vax conspiracy theories they believe are factual and correct.</t>
  </si>
  <si>
    <t>Zoombombing</t>
  </si>
  <si>
    <t>https://extremismterms.adl.org/glossary/zoombombing</t>
  </si>
  <si>
    <t>Zoombombing, a reference to the popular video conferencing platform, occurs when online meetings are disrupted by graphic or threatening messages or activity. Incidences of zoombombing surged in 2020, at the start of the COVID pandemic. Online Jewish religious and cultural events were a particular target for extremists and antisemites in 2020 and 2021.</t>
  </si>
  <si>
    <t>https://www.adl.org/resources/article/what-zoombombing-and-who-behind-it</t>
  </si>
  <si>
    <t>Ten Days of Darkness</t>
  </si>
  <si>
    <t>https://extremismterms.adl.org/glossary/ten-days-darkness</t>
  </si>
  <si>
    <t>Key Concepts / Definitions, Slogans / Code words, Conspiracy Theories</t>
  </si>
  <si>
    <t>"Ten Days of Darkness" refers to QAnon's prophesized period of unrest that will correspond with The Storm, which has led to vivid speculation about any news story or event referencing 10 days. When former President Donald Trump contracted COVID-19, it was speculated that he needed to quarantine for 10 days; QAnon followers believed this was confirmation of upcoming mass arrests. See also: The Storm</t>
  </si>
  <si>
    <t>Phrase is not mentioned in the backgrounder</t>
  </si>
  <si>
    <t>Fakecel</t>
  </si>
  <si>
    <t>https://extremismterms.adl.org/glossary/fakecel</t>
  </si>
  <si>
    <t>Key Concepts / Definitions, Slogans / Code words</t>
  </si>
  <si>
    <t>Fakecel is a term that refers to men whose romantic histories preclude them from incel status; they are voluntarily celibate and therefore do not fulfill the criteria. A fakecel can also be known as a "Volcel," or voluntary celibate.</t>
  </si>
  <si>
    <t>Femcels</t>
  </si>
  <si>
    <t>https://extremismterms.adl.org/glossary/femcels</t>
  </si>
  <si>
    <t>A femcel is a woman who identifies with incel principles. However, the largely male incel community rejects the idea that women can be incels.</t>
  </si>
  <si>
    <t>Reverse dog pill</t>
  </si>
  <si>
    <t>https://extremismterms.adl.org/glossary/reverse-dog-pill</t>
  </si>
  <si>
    <t>The "reverse dog pill" is the response to the dog pill, which claims that women would rather sleep with dogs than incels, meaning that incels will start sleeping with dogs instead of women. There is debate over whether the term should be taken seriously.</t>
  </si>
  <si>
    <t>Ropefuel</t>
  </si>
  <si>
    <t>https://extremismterms.adl.org/glossary/ropefuel</t>
  </si>
  <si>
    <t>Ropefuel refers to topics that feed depressive or suicidal ideations among incels. The use of the word "rope" refers to the suicidal method of hanging oneself. The opposite of "ropefuel" is "lifefuel."</t>
  </si>
  <si>
    <t>Stacy/Stacey</t>
  </si>
  <si>
    <t>https://extremismterms.adl.org/glossary/stacystacey</t>
  </si>
  <si>
    <t>Stacy or Stacey is a term used within the incel community to describe beautiful, hyperfeminine women who can partner with any man they choose, but are only interested in Chads (attractive, hypermasculine men). This term is used to stereotype and dehumanize women.</t>
  </si>
  <si>
    <t>White supremacist prison gang</t>
  </si>
  <si>
    <t>https://extremismterms.adl.org/glossary/white-supremacist-prison-gang</t>
  </si>
  <si>
    <t>Key Concepts / Definitions, Groups / Movements</t>
  </si>
  <si>
    <t>White supremacist prison gangs are one of the main segments of the American white supremacist movement. Though most such gangs originate behind bars, today, white supremacist prison gangs are as active on the streets as they are in jails and prisons. Members of such gangs tend to have a less sophisticated understanding of white supremacy and their ideology is usually of secondary importance to criminal behavior.</t>
  </si>
  <si>
    <t>Islamist extremism</t>
  </si>
  <si>
    <t>https://extremismterms.adl.org/glossary/islamist-extremism</t>
  </si>
  <si>
    <t>Islamist extremism is a marginal and rigid interpretation of Islam which refuses to acknowledge the legitimacy of other faiths and secular forms of government. Instead, Islamist extremists declare anyone who does not adhere to their restrictive interpretation of Islam as an infidel. Islamist extremists believe that government should implement an extremely conservative interpretation of Sharia law in order to govern legitimately, and often advocate violence in order to shift society to this ideal. Islamist extremists tend to hold highly antisemitic, homophobic and misogynistic beliefs, and oppose modernity, tolerance, and diverse beliefs. While all Islamist terrorist groups are Islamist extremists, not all Islamist extremists are terrorists; many Islamists espouse these beliefs without taking real-world action.</t>
  </si>
  <si>
    <t>maybe this? https://www.adl.org/resources/article/islamist-terror-incidents-targeting-us-increase-2024</t>
  </si>
  <si>
    <t>Sovereign Citizen</t>
  </si>
  <si>
    <t>https://extremismterms.adl.org/glossary/sovereign-citizen</t>
  </si>
  <si>
    <t>The "sovereign citizen" movement is a loosely organized collection of groups, networks and individuals who have adopted a right-wing anti-government ideology originating in the theories of the 1970s group Posse Comitatus. Adherents believe that virtually all existing government in the United States is illegitimate and has no jurisdiction or authority over them. They seek to "restore" an idealized, minimalist government that never actually existed. To this end, sovereign citizens wage war against the government and other forms of authority using "paper terrorism" harassment and intimidation tactics, and occasionally resort to violence.</t>
  </si>
  <si>
    <t>https://adl.org/resources/backgrounder/sovereign-citizen-movement-united-states</t>
  </si>
  <si>
    <t>We have a backgrounder</t>
  </si>
  <si>
    <t>Adrenochrome</t>
  </si>
  <si>
    <t>https://extremismterms.adl.org/glossary/adrenochrome</t>
  </si>
  <si>
    <t>Key Concepts / Definitions, Conspiracy Theories</t>
  </si>
  <si>
    <t>Adrenochrome is a real chemical compound produced by the oxidation of adrenaline. It is also a fictionalized drug in works by authors like William Burroughs and Hunter S. Thompson. QAnon believers claim that the elite, particularly in Hollywood and in the Democratic party, harvest adrenochrome from the adrenal glands of trafficked children, using it as an elixir to stay youthful.</t>
  </si>
  <si>
    <t>Black Swan Event</t>
  </si>
  <si>
    <t>https://extremismterms.adl.org/glossary/black-swan-event</t>
  </si>
  <si>
    <t>A black swan event refers to an unforeseen event that results in severe and widespread negative consequences that seems avoidable in hindsight. The term is commonly used in the finance world and was popularized by former Wall Street trader Nassim Nicholas Taleb, who wrote about the concept in his 2001 book, ‚ÄúFooled by Randomness.‚Äù¬†¬†In recent years, some QAnon supporters and extremists have misappropriated the term to promote conspiratorial claims that the ‚ÄúDeep State‚Äù is orchestrating catastrophic ‚Äúblack swan‚Äù events to distract the masses, provoke change or maintain power.¬†</t>
  </si>
  <si>
    <t>Redemption Theory/Strawman Theory</t>
  </si>
  <si>
    <t>https://extremismterms.adl.org/glossary/redemption-theorystrawman-theory</t>
  </si>
  <si>
    <t>Redemption theory, also referred to as strawman theory, is a set of concepts within the sovereign citizen movement that became popular from 1999 onwards. Created by Roger Elvick, a long-time sovereign citizen guru, based on earlier ideas of his, the theory centers around the claim that the U.S. government created fictitious duplicates (called "strawmen") of flesh-and-blood human beings as part of an effort to change birth certificates into stock certificates and use them to pay off the country's international debt after the U.S. went off the gold standard in 1933.</t>
  </si>
  <si>
    <t>https://extremismterms.adl.org/glossary/accelerationism</t>
  </si>
  <si>
    <t>Key Concepts / Definitions</t>
  </si>
  <si>
    <t>White supremacist accelerationism is a school of thought within some segments of the white supremacist movement (primarily neo-Nazi and alt-right white supremacists) that argues that, because white supremacists seem unable to reform or reshape modern society to fit their desires, the only alternative is to use violence to destabilize and destroy society itself, with the hopes of building a white ethnostate in the chaotic aftermath.¬† Non-accelerationist white supremacists are divided on using violence as a tactic, but accelerationists wholeheartedly support it. The perpetrators of a number of recent white supremacist-related mass killings or attempted mass killings around the world have had links to accelerationism.¬† Some other right-wing extremists have occasionally used the term more generically, to describe destroying the status quo or established order. The term "accelerationist" can also be found in other contexts, such as left-wing social theory, where it has very different meanings.</t>
  </si>
  <si>
    <t>Alt right</t>
  </si>
  <si>
    <t>https://extremismterms.adl.org/glossary/alt-right</t>
  </si>
  <si>
    <t>The alt right (short for alternative right), is a loose movement that arose in the 2010s and by 2015 had become an important new segment of the white supremacist movement, bringing thousands of young, newly-radicalized white men into the fold. The more politically-oriented alt right adherents have typically sought to legitimize and expand racist and antisemitic views within the American right. The alt right is also partially based on a subculture heavily influenced by imageboard websites such as 4chan and 8chan.</t>
  </si>
  <si>
    <t>Fashwave</t>
  </si>
  <si>
    <t>https://extremismterms.adl.org/glossary/fashwave</t>
  </si>
  <si>
    <t>Fashwave is a genre of white supremacist music popular with the alt right that started around 2016. The style is similar to that of techno, frequently without lyrics. The song and artist names associated with the genre have white supremacist or Nazi themes to them.</t>
  </si>
  <si>
    <t>https://www.adl.org/resources/article/white-supremacist-music-prevalent-spotify-while-platform-largely-declines-act</t>
  </si>
  <si>
    <t>Optics debate</t>
  </si>
  <si>
    <t>https://extremismterms.adl.org/glossary/optics-debate</t>
  </si>
  <si>
    <t>The optics debate refers to a debate among white supremacists about whether it is better to promote their white supremacist ideology via overtly National Socialist symbolism (swastikas, for example), or with less overtly racist imagery (including American flags) favored by so-called American Nationalists.</t>
  </si>
  <si>
    <t>Phineas Priesthood (symbol)</t>
  </si>
  <si>
    <t>https://extremismterms.adl.org/glossary/phineas-priesthood-symbol</t>
  </si>
  <si>
    <t>The Phineas Priesthood (or Phinehas Priesthood) is a concept created in 1990 by Richard Kelly Hoskins, an influential figure within the racist and antisemitic religious sect Christian Identity. It refers to self-appointed "holy warriors" in the Christian Identity cause who commit to attacking targets that they perceive as enemies of God.</t>
  </si>
  <si>
    <t>https://www.adl.org/resources/hate-symbol/phineas-priesthood</t>
  </si>
  <si>
    <t>White genocide</t>
  </si>
  <si>
    <t>https://extremismterms.adl.org/glossary/white-genocide</t>
  </si>
  <si>
    <t>White genocide is the white supremacist belief that the white race is "dying" due to growing non-white populations and "forced assimilation" deliberately engineered and controlled by a Jewish conspiracy to destroy the white race.</t>
  </si>
  <si>
    <t>White nationalism</t>
  </si>
  <si>
    <t>https://extremismterms.adl.org/glossary/white-nationalism</t>
  </si>
  <si>
    <t>White nationalism is a term that originated among white supremacists as a euphemism for white supremacy. Eventually, some white supremacists tried to distinguish it further by using it to refer to a form of white supremacy that emphasizes defining a country or region by white racial identity and which seeks to promote the interests of whites exclusively, typically at the expense of people of other backgrounds.</t>
  </si>
  <si>
    <t>https://extremismterms.adl.org/glossary/white-supremacist</t>
  </si>
  <si>
    <t>A white supremacist is a person, group or movement with an ideology based on one or more of the following key tenets: 1) whites should have dominance over people of other backgrounds, especially where they may co-exist; 2) whites should live by themselves in a whites-only society; 3) white people have their own "culture" that is superior to other cultures; 4) white people are genetically superior to other people.</t>
  </si>
  <si>
    <t>Wotanism</t>
  </si>
  <si>
    <t>https://extremismterms.adl.org/glossary/wotanism</t>
  </si>
  <si>
    <t>Wotanism is a term sometimes given to a more racist form of the Norse pagan religion known as Asatru. Asatru is a religious sect that attempts to revive the ancient Norse religious beliefs and practices of pre-Christian Europe. Asatru is not in itself a racist religion, though some white supremacists consider themselves Asatruists. It is more frequently referred to as Odinism.</t>
  </si>
  <si>
    <t>This term is referenced in Blood Tribes backgrounder, however Wotanism is much broader than any one group: https://www.adl.org/resources/backgrounder/blood-tribe</t>
  </si>
  <si>
    <t>European Paganism</t>
  </si>
  <si>
    <t>https://extremismterms.adl.org/glossary/european-paganism</t>
  </si>
  <si>
    <t>European Paganism is a broad term used to describe a wide variety of religious and spiritual beliefs that originated in or were brought to different parts of Europe prior to the introduction of Christianity. Pagan beliefs can range from the druidic sects of western Europe to the ancient Norse religions of Scandinavia, and can have a variety of different orientations, including polytheism and animism. Some white supremacists exalt or even try to recreate certain types of paganism, typically because they view them as "native" or "indigenous" religions for Europeans, as opposed to the alien and "Jewish" Christianity. They also view some pagan cultures, such as Celtic and Norse cultures, as "warrior" cultures.</t>
  </si>
  <si>
    <t>Norse Paganism (Modern)</t>
  </si>
  <si>
    <t>https://extremismterms.adl.org/glossary/norse-paganism-modern</t>
  </si>
  <si>
    <t>Modern Norse paganism is a revival of ancient Norse religious practices and beliefs, sometimes in modified form, that has occurred in some European countries and countries with populations of European descent such as the United States and Canada. It is commonly referred to as Asatru. Although most adherents of Asatru are not racist or white supremacist, some white supremacists have adopted modern Norse pagan beliefs and symbols. These white supremacists like the fact that it is not a "Jewish" religion, like Christianity, and also claim that it is a warrior religion. White supremacist adherents may use the term Asatru but often refer to themselves as Odinists or Wotanists. Racist Norse pagans typically proclaim themselves to be "folkish" and consider their religion to be one for people of European descent only, while non-racist Norse pagans will accept people of any background into their ranks.</t>
  </si>
  <si>
    <t xml:space="preserve">See Note under "Odinism." </t>
  </si>
  <si>
    <t>Traditional White Supremacists</t>
  </si>
  <si>
    <t>https://extremismterms.adl.org/glossary/traditional-white-supremacists</t>
  </si>
  <si>
    <t>Traditional white supremacists are one of the major segments of the white supremacist movement in the United States, as well as the oldest. The term is used to refer to a variety of groups and individuals whose white supremacy centers around or originated from the struggle to deny equal rights to African-Americans. Ku Klux Klan groups are the most common type of traditional white supremacist, but the movement also includes other groups, such as the Council of Conservative Citizens, the League of the South, and others.</t>
  </si>
  <si>
    <t>White Separatism</t>
  </si>
  <si>
    <t>https://extremismterms.adl.org/glossary/white-separatism</t>
  </si>
  <si>
    <t>White separatism is a form of white supremacy that emphasizes the idea that white people should exist separately from all inferior, non-white races, whether by establishing an all-white community somewhere or removing non-whites from their midst. Some white supremacists also use the phrase because they believe it may be more benignly perceived by others than the term ‚Äúwhite supremacist.‚Äù</t>
  </si>
  <si>
    <t>White Supremacy</t>
  </si>
  <si>
    <t>https://extremismterms.adl.org/glossary/white-supremacy</t>
  </si>
  <si>
    <t>White supremacy is a term used to characterize various belief systems central to which are one or more of the following key tenets: 1) whites should have dominance over people of other backgrounds, especially where they may co-exist; 2) whites should live by themselves in a whites-only society; 3) white people have their own "culture" that is superior to other cultures; 4) white people are genetically superior to other people. As a full-fledged ideology, white supremacy is far more encompassing than simple racism or bigotry. Most white supremacists today further believe that the white race is in danger of extinction due to a rising "flood" of non-whites, who are controlled and manipulated by Jews, and that imminent action is need to "save" the white race.</t>
  </si>
  <si>
    <t>Hate Group</t>
  </si>
  <si>
    <t>https://adl.org/glossary/hate-group</t>
  </si>
  <si>
    <t>White supremacist, Antisemitism, Single-issue, Islamist, Non-extremist, Right-wing, Left-wing</t>
  </si>
  <si>
    <t>An organization whose goals and activities are primarily or substantially based on a shared antipathy towards people of one or more other different races, religions, ethnicities/nationalities/national origins, genders, and/or sexual identities. The mere presence of bigoted members in a group or organization is typically not enough to qualify it as a hate group; the group itself must have some hate-based orientation/purpose.</t>
  </si>
  <si>
    <t>Race realism / Racial realism</t>
  </si>
  <si>
    <t>https://extremismterms.adl.org/glossary/race-realism-racial-realism</t>
  </si>
  <si>
    <t>The term ‚Äúrace realism‚Äù (as well as variants such as ‚Äúracial realism‚Äù) originated in the 1990s as a euphemism for racist or white supremacist beliefs.¬† People who call themselves ‚Äúrace realists‚Äù typically claim there are observable differences between members of various races in areas such as intelligence and propensity for violence and that, rather than being racist, they are merely being ‚Äúrealistic‚Äù in acknowledging those purported (but false) racial differences.The term is often associated with scientific racism (the use of scientific techniques or language, as well as pseudoscience, to cloak racist convictions).¬† British psychologist Christopher Brand (1943-2017), for example, who became controversial in the 1990s for claiming that blacks were less intelligent than whites, described himself as a ‚Äúrace realist,‚Äù as has Jared Taylor, publisher of the white supremacist American Renaissance website and one of the most prominent American promoters of scientific racism. Over the years, usage of the term has spread to many other prominent white supremacists, from David Duke to Nick Fuentes, who use it when not wishing to acknowledge their explicitly racist views.</t>
  </si>
  <si>
    <t>Anti-LGBTQ+ Extremism</t>
  </si>
  <si>
    <t>https://extremismterms.adl.org/glossary/anti-lgbtq-extremism</t>
  </si>
  <si>
    <t>Anti-LGBTQ+ extremism is¬†a form of single-issue extremism whose adherents¬†focus on¬†demonizing, attacking or otherwise intentionally targeting individuals, communities or institutions based on their real or perceived identification with or support for a sexual orientation,¬†gender identity or gender expression included under the LGBTQ+ umbrella.¬†¬†
Anti-LGBTQ+ extremism includes people, groups,¬†organizations¬†and online networks that primarily or substantially promote or act on this ideology. ¬†It can also overlap to varying degrees with other extremist movements may hold similarly hateful views of the LGBTQ+ community. ¬†Anti-LGBTQ+ extremists may employ a range of tactics in service of their beliefs, both in-person and online, as well as both violent and non-violent measures. ¬†
Examples of common anti-LGBTQ+ extremist tactics include threatening or engaging in acts of violence against LGBTQ+ individuals, institutions, events or communities; vandalizing LGBTQ+ homes, businesses or institutions; doxxing¬†LGBTQ+ individuals; engaging in incitement and harassment campaigns against members of the LGBTQ+ community and allies, including educators, doctors who provide gender-affirming care and librarians who provide information about and services for the LGBTQ+ community; creating and propagating anti-LGBTQ+ propaganda, conspiracy theories and disinformation; and other acts of harassment, threats and violence.¬†
Not every instance of anti-LGBTQ+ bias or prejudice¬†is an example of anti-LGBTQ+ extremism. ADL considers expressions of anti-LGBTQ+ hate to be extremist when motivated in whole or part by an ideological commitment to marginalize, oppress or target LGBTQ+ individuals or communities.¬†
(Note: This is inclusive of perpetrators who themselves identify as LGBTQ+ when they act in accordance with the definition laid out for anti-LGBTQ+ extremism).¬†¬†¬†</t>
  </si>
  <si>
    <t>Ascend</t>
  </si>
  <si>
    <t>https://extremismterms.adl.org/glossary/ascend</t>
  </si>
  <si>
    <t>The term ascend (also known as "deincelification" or "deincelization") is used when an incel has sex or forms a romantic connection. There is also an existential connotation: incels rising above their former community and overcoming the traits that held them back from sex and/or love.</t>
  </si>
  <si>
    <t>Incels</t>
  </si>
  <si>
    <t>https://extremismterms.adl.org/glossary/incels</t>
  </si>
  <si>
    <t>Incels (a shortened term for "involuntary celibates") are heterosexual men who blame women and society for their lack of romantic success. They are part of the online "manosphere" of misogynists and men with a strong sense of grievance against women. Incels are the most violent community within the manosphere, having perpetrated a number of deadly attacks against women. The term "incel" was originally coined in 1993 by a young Canadian woman as a label for her own single status before it was used to define a community that is a majority males and posthumously assigns the tern to violent actors.</t>
  </si>
  <si>
    <t>https://adl.org/resources/backgrounder/incels-involuntary-celibates</t>
  </si>
  <si>
    <t>Remigration</t>
  </si>
  <si>
    <t>https://extremismterms.adl.org/glossary/remigration</t>
  </si>
  <si>
    <t>"Remigration" [sic] is an extremist and anti-immigrant term that arose in Europe in the mid-2010s, promoted by Identitarian groups such as Generation Identity.¬†"Remigration" refers to the concept of forced repatriation of immigrants, especially non-European and/or Muslim immigrants, from European countries back to their countries of origin or elsewhere. Though initially used among extremists, the term gained traction among far right and anti-immigrant/anti-Muslim groups in Europe during the second half of the 2010s and has started to spread in the U.S.</t>
  </si>
  <si>
    <t>Sharia/Shariah/Shari‚Äôa/Shari‚Äôah</t>
  </si>
  <si>
    <t>https://extremismterms.adl.org/glossary/shariashariahshariashariah</t>
  </si>
  <si>
    <t>Sharia is the term for Islamic religious law based on the Quran and hadiths. The term has become a catch-all phrase used by anti-Muslim bigots to stoke fear about the so-called Islamization of America, claiming that Sharia is infiltrating the U.S. judicial system and that Muslims want to replace American laws with Sharia law.</t>
  </si>
  <si>
    <t>Sharia/Shariah/Shari"a/Shari"ah</t>
  </si>
  <si>
    <t>https://extremismterms.adl.org/glossary/shariashariahshariashariah-1</t>
  </si>
  <si>
    <t>Sharia/Shariah/Sharia/Shariah</t>
  </si>
  <si>
    <t>https://extremismterms.adl.org/glossary/shariashariahshariashariah-0</t>
  </si>
  <si>
    <t>Neo-Confederate</t>
  </si>
  <si>
    <t>https://extremismterms.adl.org/glossary/neo-confederate</t>
  </si>
  <si>
    <t>Right-wing, Single-issue</t>
  </si>
  <si>
    <t>Neo Confederate, in its most serious incarnation, refers to a person or group seeking to create an independent Southern nation, like the original Confederates sought, and, in its lesser incarnation, those who glorify, whitewash and romanticize the Confederacy and the antebellum South. Not all neo-Confederates are white supremacists but many are. For example, the League of the South has evolved over the years from being a neo-Confederate group into an explicitly white supremacist, antisemitic organization. On the other hand, the Sons of Confederate Veterans is a neo-Confederate group that is not explicitly white supremacist although some members are racist or embrace white supremacy ideology.</t>
  </si>
  <si>
    <t>NO affiliated resources (MLM)</t>
  </si>
  <si>
    <t>These Taxonomies within the glossary (Traditional White Supremacist, Right-Wing Extremism, etc.) really do not have alternative sources.</t>
  </si>
  <si>
    <t>Alt lite</t>
  </si>
  <si>
    <t>https://extremismterms.adl.org/glossary/alt-lite</t>
  </si>
  <si>
    <t>The alt lite was a loosely connected movement that emerged around 2016, consisting of right-wing activists who rejected the overtly white supremacist ideology of the alt right, but whose hateful impact was more significant than their 'lite' name suggested. The alt lite embraced misogyny, bigotry and xenophobia as well as a hatred for the left while hiding behind the optic of civic nationalism. Today, majority of the once alt lite leaders and activists are increasingly more explicit in their bigotry and the term "alt lite" is largely viewed as defunct.</t>
  </si>
  <si>
    <t>Anti-Abortion Extremism</t>
  </si>
  <si>
    <t>https://extremismterms.adl.org/glossary/anti-abortion-extremism</t>
  </si>
  <si>
    <t>The radical wing of the anti-abortion movement emerged in the 1980s; its violence peaked in the early 1990s with dozens of serious crimes, including bombings, arsons, murders and attempted murders. The frequency of anti-abortion violence began to ebb in the mid-1990s, but never dissipated entirely. Anti-abortion violence has actually remained a consistent, if secondary, source of domestic terrorism and violence, manifesting itself most often in assaults and vandalism, with occasional arsons, bombings, drive-by shootings and assassination attempts.</t>
  </si>
  <si>
    <t>Black pill</t>
  </si>
  <si>
    <t>https://extremismterms.adl.org/glossary/black-pill</t>
  </si>
  <si>
    <t>The black pill represents nihilism to those on the extreme right -- a realization that the system is too far gone to change, and the powers that govern our lives are too deeply entrenched and too powerful.
 In the incel movement, a "Blackpilled" male believes that no matter what he does to improve himself, he will never find a romantic and/or sexual partner, and he is doomed to a life of unhappiness and rejection.</t>
  </si>
  <si>
    <t>Delta</t>
  </si>
  <si>
    <t>https://extremismterms.adl.org/glossary/delta</t>
  </si>
  <si>
    <t>Delta is a mathematical term used to denote the difference between two numerical values. It has been co-opted by QAnon followers to denote the amount of time that passes between a Q drop and a Trump social media post or world event.</t>
  </si>
  <si>
    <t>Far right</t>
  </si>
  <si>
    <t>https://extremismterms.adl.org/glossary/far-right</t>
  </si>
  <si>
    <t>"Far right" is an umbrella term used to refer to a variety of extreme movements with historical, intellectual, cultural, ideological and other connections to right-wing causes. It is mostly synonymous with "extreme right." However, some people may use the term "far right" to include some aspects of mainstream conservatism that border right-wing extremism.</t>
  </si>
  <si>
    <t>psyop</t>
  </si>
  <si>
    <t>https://extremismterms.adl.org/glossary/psyop</t>
  </si>
  <si>
    <t>Psyop, short for psychological operations, are military operations carried out to influence the emotions and behaviors of targeted individuals, organizations and governments. Conspiracy theorists have co-opted the term to suggest that various conspiracy theories and world events are fomented by the government and global elites to distract "truth seekers" and sow confusion.</t>
  </si>
  <si>
    <t>Red pill/Redpilling</t>
  </si>
  <si>
    <t>https://extremismterms.adl.org/glossary/red-pillredpilling</t>
  </si>
  <si>
    <t>The red pill, or redpilling, refers to almost any kind of political awakening. It is not always used in an extremist context, but when it is, it means one has bought into at least one trope of the far-right movement. Most "pill" references within right-wing and online spaces harken back to the 1999 blockbuster movie "The Matrix," in which Neo is offered a chance to see the world the way it really is by taking a "red pill."</t>
  </si>
  <si>
    <t>Right-wing extremism</t>
  </si>
  <si>
    <t>https://extremismterms.adl.org/glossary/right-wing-extremism</t>
  </si>
  <si>
    <t>Right-wing extremism is a term used to describe right-wing political, social and religious movements that exist outside of and are more radical than mainstream conservatism. In the United States, the extreme right consists primarily of white supremacist movements and anti-government extremist movements, but there are also single-issue right-wing extremist movements, or right-wing movements with an extremist wing, focusing on issues such as abortion or immigration. Statistically, right wing extremists within the last decade account for the majority of domestic extremist-related killings in the U.S.</t>
  </si>
  <si>
    <t xml:space="preserve">These Taxonomies within the glossary (Traditional White Supremacist, Right-Wing Extremism, etc.) really do not have alternative sources. </t>
  </si>
  <si>
    <t>Hate Symbol</t>
  </si>
  <si>
    <t>https://extremismterms.adl.org/glossary/hate-symbol-0</t>
  </si>
  <si>
    <t>A hate symbol is a symbol, logo, image or meme, acronym, number, coded word or term or short slogan or phrase intended to 1) invoke hatred, anger or fear towards people of certain racial, ethnic, religious or national backgrounds; or of specific genders or sexual orientations; 2) to portray such targeted groups of people negatively; and/or 3) to promote or support a movement, group or subculture with a belief system/ ideology centered around antipathy towards one or more such targeted groups. Because many symbols have multiple and different meanings or uses, a symbol may serve as a hate symbol in one context but have a very different meaning in other contexts.</t>
  </si>
  <si>
    <t>https://www.adl.org/resources/hate-symbols/search</t>
  </si>
  <si>
    <t xml:space="preserve">I'd just link to the Hate Symbols Database here. https://www.adl.org/resources/hate-symbols/search </t>
  </si>
  <si>
    <t>Anarchism</t>
  </si>
  <si>
    <t>https://extremismterms.adl.org/glossary/anarchism</t>
  </si>
  <si>
    <t>Anarchism is a social and political movement dating back to the 19th century that rejects government, authority and most society systems beyond local cooperation. There are also numeous subsets or variations of anarchism. Anarchists in the U.S. have a long history that includes bombings and assassinations, although in recent decades, its violence has primarily taken the form of rioting and violence at public events, vandalism and destruction of police-related targets (as well as banks and other symbolic targets). There have been a couple of anarchist-related bomb plots as well. Anarchists have also traditionally been a significant component of antifa, but the two movements are often conflated due to black bloc street fighting tactics used by both.</t>
  </si>
  <si>
    <t>Green Anarchy</t>
  </si>
  <si>
    <t>https://extremismterms.adl.org/glossary/green-anarchy</t>
  </si>
  <si>
    <t>Green anarchy is a brand of anarchism that opposes modernization and its effects on the natural environment, with which some eco-activists affiliate themselves. Green anarchists, also referred to as primitivists, contend that humans were better off thousands of years ago, before the advent of farming. Based on an ideology devised by John Zerzan, primitivism "views technology and civilization as an unnecessary evil and believes humanity would be much happier and healthier outside the modern industrial world."</t>
  </si>
  <si>
    <t>Jihad</t>
  </si>
  <si>
    <t>https://extremismterms.adl.org/glossary/jihad</t>
  </si>
  <si>
    <t>Jihad is an Arabic word meaning "struggle." Jihad is one of the five pillars of Islam, and many scholars have written about its meaning and application. In a moderate context, jihad can often refer to a personal struggle or crisis of faith, or to describe the historical battles of the Prophet Mohammed. Extremists use jihad to mean a fight against anyone they perceive to be an enemy of Islam ‚Äî including Christians, Jews, the West and even moderate Muslims.</t>
  </si>
  <si>
    <t>Mujahid/Mujahideen</t>
  </si>
  <si>
    <t>https://extremismterms.adl.org/glossary/mujahidmujahideen</t>
  </si>
  <si>
    <t>Mujahid is the Arabic term for someone undertaking jihad. Many Islamist extremists will refer to themselves as the mujahideen (the plural of mujahid) to evoke religious meaning to their violence. In particular, this term is used to refer to the Afghans who fought against the Soviets during the 1979 Soviet invasion of Afghanistan. The Afghan mujahideen are now legendary figures, and many of the most prominent Islamist terrorist group leaders originally became involved in jihad by traveling to Afghanistan to fight with them.</t>
  </si>
  <si>
    <t>Al Walaa' wal Baraa'</t>
  </si>
  <si>
    <t>https://extremismterms.adl.org/glossary/al-walaa-wal-baraa</t>
  </si>
  <si>
    <t>Al Walaa' wal Baraa' is an Arabic phrase which translates to "loyalty and disavowal" and is a key concept which jihadists use to justify violent attacks. It refers to what jihadists understand as their requirement to show absolute devotion to God, over all other concerns in their life. Conversely, they must "disavow" anything which seeks to detract from Allah's authority. Once a person or institution has been disavowed, it is considered a legitimate target for violent attacks. Though primarily used by extremists, the term is also associated with Salafi Islam, where it is applied more conceptually to promote orienting one's life towards positive influences.</t>
  </si>
  <si>
    <t>Justin: I cannot find a resource</t>
  </si>
  <si>
    <t>National Socialism</t>
  </si>
  <si>
    <t>https://extremismterms.adl.org/glossary/national-socialism</t>
  </si>
  <si>
    <t>National Socialism refers to the ideology of the Nazi Party of Germany from 1920-1945, centered around the primacy of a mythic Aryan people whose destiny would be secured by a unified authoritarian ethnostate. As envisioned by Adolf Hitler and the Nazi Party, the Aryan race did not include all white people, but rather those ‚Äòtribally related to the German blood,‚Äô rejecting Jews, Slavs and, to a lesser extent, southern Europeans.
Most contemporary uses of the term do not refer to the ideology of the original Nazi Party, but rather to various post-World War II neo-Nazi ideologies and movements.</t>
  </si>
  <si>
    <t>See notes for Neo-Nazi (MLM)</t>
  </si>
  <si>
    <t>white supremacist term/definition</t>
  </si>
  <si>
    <t>https://extremismterms.adl.org/glossary/antisemitism</t>
  </si>
  <si>
    <t>Antisemitism is a belief or behavior that is hostile towards Jews just because they are Jewish. For instance, antisemitism may take the form of religious teachings that proclaim the inferiority of Jews or political efforts to isolate, oppress, or otherwise injure them. It may also include prejudiced or stereotyped views about Jews.</t>
  </si>
  <si>
    <t>https://antisemitism.adl.org/</t>
  </si>
  <si>
    <t>If we need a resource for antisemitism at large, we could link to the landing page for the antisemitism uncovered resource?</t>
  </si>
  <si>
    <t>Anti-government extremism</t>
  </si>
  <si>
    <t>https://extremismterms.adl.org/glossary/anti-government-extremism</t>
  </si>
  <si>
    <t>The term "anti-government extremism" refers to a specific set of right-wing extremist movements and groups that emerged beginning in the 1960s and that share a conviction that part or all of the U.S. government is not legitimate. Collectively, these movements and groups are often referred to as the "Patriot" movement.</t>
  </si>
  <si>
    <t>There are many COE pieces that address anti-government extremism: Oath Keeper, Militia movement, Boogaloo movement but they are all very specific. Marilyn</t>
  </si>
  <si>
    <t>Bogus Liens</t>
  </si>
  <si>
    <t>https://extremismterms.adl.org/glossary/bogus-liens</t>
  </si>
  <si>
    <t>Bogus liens are one of the oldest and most common sovereign citizen "paper terrorism" tactics. They are designed to harass and retaliate against their perceived enemies. Whereas most legitimate liens are placed against property for nonpayment of a debt, a bogus lien is placed against a person's property simply because they have irritated the sovereign citizen who filed the lien. Even if the lien is bogus, it often takes time, effort and expense to get it removed, which is what makes it an effective tactic. A number of states (and the federal government) have passed laws to make removing such liens easier and/or filing them illegal, but the tactic continues.</t>
  </si>
  <si>
    <t>Boogaloo Bois, Boojihadeen</t>
  </si>
  <si>
    <t>https://extremismterms.adl.org/glossary/boogaloo-bois-boojihadeen</t>
  </si>
  <si>
    <t>Boogaloo bois and Boojihadeen are supporters of the Boogaloo movement, which promotes anti-government, anti-gun control and anti-police beliefs. See also: Boogaloo movement</t>
  </si>
  <si>
    <t>Citizens' grand jury/ common law grand jury / people's grand jury</t>
  </si>
  <si>
    <t>https://extremismterms.adl.org/glossary/citizens-grand-jury-common-law-grand-jury-peoples-grand-jury-0</t>
  </si>
  <si>
    <t>Citizens' grand juries (also known as common law grand juries and people's grand juries) are sham juries created primarily by adherents of the sovereign citizen movement, who have a fondness for creating fictitious judicial and governmental entities. Such bogus juries often issue threats, bogus liens or other forms of "paper terrorism." They may also be found as "jural societies," "common law courts," or other names. Independently, some Tea Party activists in the early 2010s also created their own "juries."</t>
  </si>
  <si>
    <t>Citizens‚Äô grand jury/ common law grand jury / people‚Äôs grand jury</t>
  </si>
  <si>
    <t>https://extremismterms.adl.org/glossary/citizens-grand-jury-common-law-grand-jury-peoples-grand-jury</t>
  </si>
  <si>
    <t>Citizens' grand juries (also known as common law grand juries and people's grand juries) are sham juries created primarily by adherents of the sovereign citizen movement, who have a fondness for creating fictitious judicial and governmental entities. Such bogus juries often issue threats, bogus liens or other forms of "paper terrorism."  They may also be found as "jural societies," "common law courts," or other names.  Independently, some Tea Party activists in the early 2010s also created their own "juries."</t>
  </si>
  <si>
    <t>Common law courts</t>
  </si>
  <si>
    <t>https://extremismterms.adl.org/glossary/common-law-courts</t>
  </si>
  <si>
    <t>"Common law courts" are bogus courts established by adherents of the sovereign citizen movement, who reject the legitimacy of actual courts. They are often used to render unenforceable judgments regarding genuine legal disputes and to issue phony legal documents, including bogus property liens and criminal indictments, in efforts to intimidate or retaliate against their enemies. So-called "Marshals" have sometimes served as the enforcement arm for common law courts and have their own uniforms, fake badges and identification cards. Similar entities include "jural societies" and "common law grand juries."</t>
  </si>
  <si>
    <t>Fictitious Financial Instruments</t>
  </si>
  <si>
    <t>https://extremismterms.adl.org/glossary/fictitious-financial-instruments</t>
  </si>
  <si>
    <t>Fictitious financial instruments are fraudulent, typically check-like documents that purport to transfer a sum of money like a check or money order. They are frequently created by adherents of the anti-government extremist sovereign citizen movement and used for a variety of purposes ranging from purchasing luxury automobiles to defrauding desperate homeowners facing foreclosure. Although some of these instruments look very realistic, most contain stylistic or linguistic identifiers that are common to the sovereign citizen movement.</t>
  </si>
  <si>
    <t>Militia movement</t>
  </si>
  <si>
    <t>https://extremismterms.adl.org/glossary/militia-movement</t>
  </si>
  <si>
    <t>The militia movement is a right-wing extremist movement consisting primarily of armed paramilitary groups possessing an anti-government, conspiracy-oriented ideology. The movement was originally formed in 1993-1994 in reaction to federal gun control measures and to deadly standoffs between civilians and federal agents. Militia supporters traditionally believe that the federal government is collaborating with a shadowy conspiracy (often referred to as the "New World Order") to strip Americans of their rights in order to ultimately enslave them. The movement has a long history of criminal activity, including murders, violent plots, armed standoffs, terroristic threats and illegal possession of weapons or explosives. The militia movement experienced two major surges in growth, one in the mid-1990s and another during the period 2008-2011. It has also experienced growth in the 2020s, although this has been hindered to some degree due to deplatforming from several social media platforms.</t>
  </si>
  <si>
    <t>https://adl.org/resources/backgrounder/militia-movement</t>
  </si>
  <si>
    <t>Skousenism</t>
  </si>
  <si>
    <t>https://extremismterms.adl.org/glossary/skousenism</t>
  </si>
  <si>
    <t>Skousenism is a term used to describe the political philosophy of ultraconservative political theorist W. Cleon Skousen (1913-2006). Skousen advocated a philosophy centered on advocacy for extremely limited federal government, anti-Communism, conspiracy theories and Mormon theology. Skousenites occasionally win public office in western states (controversial 1980s Arizona governor Evan Meacham was a Skousenite, for example) but exist primarily on the political fringes; at their most extreme, they merge with the anti-government extremist ‚ÄúPatriot‚Äù movement.</t>
  </si>
  <si>
    <t>Cleon Skousen of the John Birch Society (for whom Skousenism) is named is mentioned in the militia backgrounder, in the link in row G. Marilyn</t>
  </si>
  <si>
    <t>Conspiracy Theory</t>
  </si>
  <si>
    <t>https://extremismterms.adl.org/glossary/conspiracy-theory</t>
  </si>
  <si>
    <t>A conspiracy theory is a false interpretation of a matter that explains its subject as the result of a conspiratorial undertaking.</t>
  </si>
  <si>
    <t>definition</t>
  </si>
  <si>
    <t>Domestic extremism</t>
  </si>
  <si>
    <t>https://extremismterms.adl.org/glossary/domestic-extremism</t>
  </si>
  <si>
    <t>Domestic extremism refers to extremist movements, groups, networks and individuals originating in the United States (as opposed to operating in the U.S. at the behest of foreign extremist organizations), as well as criminal or violent acts they may commit. In the United States, there are a variety of right-wing, left-wing, religious, and other forms of domestic extremism, although most extremist violence in recent decades has come from various types of right-wing extremists.</t>
  </si>
  <si>
    <t>Domestic terrorism</t>
  </si>
  <si>
    <t>https://extremismterms.adl.org/glossary/domestic-terrorism</t>
  </si>
  <si>
    <t>Pre-planned act or attempted act of significant violence against the United States of America or US citizens by one or more domestic non-state actors in order to further an ideological, social or religious cause, or to harm perceived opponents of such causes.</t>
  </si>
  <si>
    <t>Extremism</t>
  </si>
  <si>
    <t>https://extremismterms.adl.org/glossary/extremism</t>
  </si>
  <si>
    <t>Extremism is a concept used to describe religious, social or political belief systems that exist substantially outside of belief systems more broadly accepted in society (i.e., "mainstream" beliefs). Extreme ideologies often seek radical changes in the nature of government, religion or society. Extremism can also be used to refer to the radical wings of broader movements, such as the anti-abortion movement or the environmental movement. Not every extremist movement is "bad," the abolitionist movement is one example of an extreme movement that had admirable goals, but most extremist movements exist outside of the mainstream because many of their views or tactics are objectionable.</t>
  </si>
  <si>
    <t>Hate crime</t>
  </si>
  <si>
    <t>https://extremismterms.adl.org/glossary/hate-crime</t>
  </si>
  <si>
    <t>Hate crimes are crimes in which a perpetrator targets an individual or institution because of race, religion, ethnicity, national origin, gender, sexual orientation, gender identity or disability. Only some hate crimes are related to extremism.</t>
  </si>
  <si>
    <t>Overton Window</t>
  </si>
  <si>
    <t>https://extremismterms.adl.org/glossary/overton-window</t>
  </si>
  <si>
    <t>The Overton Window, a concept originated by and named for policy analyst Joseph Overton, describes the degree of reception a society may have to certain opinions and ideas and thus the political viability of such concepts.. A shifting window may indicate an expanding (or decreasing, depending on the direction of shift) acceptance by mainstream society of certain extremist beliefs or ideologies.</t>
  </si>
  <si>
    <t>Murder of Seth Rich</t>
  </si>
  <si>
    <t>https://extremismterms.adl.org/glossary/murder-seth-rich</t>
  </si>
  <si>
    <t>Incidents / Events, Conspiracy Theories</t>
  </si>
  <si>
    <t>The murder of Seth Rich occurred on July 10, 2016 in Washington, D.C., when Democratic National Committee (DNC) staffer Seth Rich was shot and killed in what police believe was an attempted robbery; the case remains unsolved. Rich's murder spawned numerous far right conspiracy theories that he was killed for leaking DNC emails to Wikileaks, a theory that has been debunked by law enforcement.</t>
  </si>
  <si>
    <t>America First Political Action Conference (AFPAC)</t>
  </si>
  <si>
    <t>https://extremismterms.adl.org/glossary/america-first-political-action-conference-afpac</t>
  </si>
  <si>
    <t>Incidents / Events</t>
  </si>
  <si>
    <t>The America First Political Action Conference (AFPAC) is a conference held by Nick Fuentes and his supporters to coincide with the annual Conservative Political Action Conference (CPAC), to promote an "America First" agenda. Right-wing activists, including "groypers" and white supremacists attend the conference.</t>
  </si>
  <si>
    <t>I believe that this URL is a much better choice for AFPAC:  https://www.adl.org/resources/blog/afpac-iii-groyper-army-seeks-normalize-white-nationalism  Marilyn</t>
  </si>
  <si>
    <t>Chabad of Poway Shooting</t>
  </si>
  <si>
    <t>https://extremismterms.adl.org/glossary/chabad-poway-shooting</t>
  </si>
  <si>
    <t>On April 27, 2019, the Chabad of Poway, California was the site of a white supremacist shooting. White supremacist John T. Earnest, armed with a semiautomatic rifle and a handgun, opened fire on worshippers during the final day of Passover services. The rampage left one dead and three injured.</t>
  </si>
  <si>
    <t>Charleston church massacre</t>
  </si>
  <si>
    <t>https://extremismterms.adl.org/glossary/charleston-church-massacre</t>
  </si>
  <si>
    <t>The Charleston church massacre refers to the 2015 shooting at Emanuel AME Church in Charleston, South Carolina. White supremacist Dylann Roof, joined a prayer group meeting and opened fire, murdering nine parishioners and injuring one in the historic black church. Roof, who had written a racist and anti-Semitic manifesto prior to carrying out the attack, was found guilty of 33 federal charges and sentenced to death in 2016.</t>
  </si>
  <si>
    <t>https://www.adl.org/resources/report/hate-their-hearts-state-white-supremacy-united-states</t>
  </si>
  <si>
    <t>Cotswold Declaration</t>
  </si>
  <si>
    <t>https://extremismterms.adl.org/glossary/cotswold-declaration</t>
  </si>
  <si>
    <t>The Cotswold Declaration is a 1962 agreement that created an international umbrella group of National Socialist organizations to carry on Hitler's policies. The alliance faded after the assassination of one of the leaders, George Lincoln Rockwell, in 1967.</t>
  </si>
  <si>
    <t>Hammerfest</t>
  </si>
  <si>
    <t>https://extremismterms.adl.org/glossary/hammerfest</t>
  </si>
  <si>
    <t>Hammerfest is a longstanding annual white supremacist music concert and racist skinhead gathering organized by the Hammerskins skinhead gang in different locations around the United States. Attendance at Hammerfests has declined in the 2010s and 2020s as the racist skinhead subculture itself has declined in number.</t>
  </si>
  <si>
    <t>https://www.adl.org/resources/profile/hammerskin-nation</t>
  </si>
  <si>
    <t>Operation Kristallnacht</t>
  </si>
  <si>
    <t>https://extremismterms.adl.org/glossary/operation-kristallnacht</t>
  </si>
  <si>
    <t>Operation Kristallnacht was a multi-state vandalism ring organized in 2019 by white supremacist Richard Tobin and other members of The Base, an accelerationist white supremacist group. The plot involved targeting synagogues in the Michigan and Wisconsin area with antisemitic graffiti, including swastikas, other Nazi imagery and The Base's logo.</t>
  </si>
  <si>
    <t>Pittsburgh synagogue shooting</t>
  </si>
  <si>
    <t>https://extremismterms.adl.org/glossary/pittsburgh-synagogue-shooting</t>
  </si>
  <si>
    <t>The Pittsburgh synagogue shooting, also known as the Tree of Life shooting, took place on October 27, 2018, when white supremacist Robert Gregory Bowers opened fire inside the Tree of Life synagogue in Pittsburgh, Pennsylvania, killing 11 people and wounding seven more. Bowers appears to have been motivated by antisemitic and anti-immigrant convictions.</t>
  </si>
  <si>
    <t>on heatmap</t>
  </si>
  <si>
    <t>Unite the Right</t>
  </si>
  <si>
    <t>https://extremismterms.adl.org/glossary/unite-right</t>
  </si>
  <si>
    <t>Unite the Right was a two-day event in August 2017, where hundreds of white supremacists marched in Charlottesville, Virginia, to protest the removal of a statute of Confederate general Robert E. Lee from a local park. Violent skirmishes broke out and one counter-protester was killed when white supremacist, James A. Fields, rammed his car into the crowd.</t>
  </si>
  <si>
    <t>https://www.adl.org/unite-right-rallies</t>
  </si>
  <si>
    <t>We need to remove the Glossary link from this page. - EKA</t>
  </si>
  <si>
    <t>El Paso shooting</t>
  </si>
  <si>
    <t>https://extremismterms.adl.org/glossary/el-paso-shooting</t>
  </si>
  <si>
    <t>The El Paso Shooting took place on August 3, 2019, when white supremacist Patrick Crusius opened fire at a Walmart in El Paso, Texas, taking the lives of 23 people and injuring 23 more. It is one of the deadliest domestic terror attacks and deadliest hate crimes in U.S. history. It was also the most horrific attack against the Hispanic community in the U.S. in modern memory.</t>
  </si>
  <si>
    <t>on the HEAT MAP</t>
  </si>
  <si>
    <t>Oklahoma City bombing</t>
  </si>
  <si>
    <t>https://extremismterms.adl.org/glossary/oklahoma-city-bombing</t>
  </si>
  <si>
    <t>White supremacist, Anti-government, Right-wing</t>
  </si>
  <si>
    <t>On April 19, 1995, anti-government extremist Timothy McVeigh detonated a truck bomb in front of the Murrah Federal Building in Oklahoma City, Oklahoma to retaliate against the federal government for its handling of the Branch Davidian standoff in Waco, Texas in 1993. The blast destroyed the building, killing 168 men, women and children and injuring hundreds more. More than 20 years later, the attack remains the worst act of domestic terrorism in U.S. history and has inspired later extremist violence, with McVeigh hailed as a macabre hero for right-wing extremist causes. McVeigh was executed by lethal injection in 2001. Terry Nichols, a key co-conspirator, was sentenced to life in prison.</t>
  </si>
  <si>
    <t>https://www.adl.org/resources/news/significance-oklahoma-city-bombing</t>
  </si>
  <si>
    <t>major extremist event (HEAT MAP?)</t>
  </si>
  <si>
    <t>Buffalo shooting</t>
  </si>
  <si>
    <t>https://extremismterms.adl.org/glossary/buffalo-shooting</t>
  </si>
  <si>
    <t>The Buffalo, NY shooting took place on May 14, 2022, when a white supremacist gunman opened fire at a Tops supermarket, killing 10 people and injuring three more. Before the shooting, the gunman espoused violent racist and antisemitic views online. He also posted a 180-page manifesto detailing his reasons for the shooting, including the antisemitic Great Replacement conspiracy theory. He also attempted to stream the shooting on Twitch, but it was taken down. In court following his arrest, the alleged shooter, identified as 18-year-old Payton S. Gendron, from Southern Tier, New York, pleaded not guilty to first-degree murder and was ordered held without bail.</t>
  </si>
  <si>
    <t>Warsaw Independence Day March</t>
  </si>
  <si>
    <t>https://extremismterms.adl.org/glossary/warsaw-independence-day-march</t>
  </si>
  <si>
    <t>The Warsaw Independence Day March is an annual event organized by antisemitic Polish nationalist groups, The National-Radical Camp (Polish: Oboz Narodowo-Radykalny, ONR) and the All-Polish Youth (Polish: Mlodziez Wszechpolska, MW). It often attracts far-right and white supremacist individuals from Europe and the United States.</t>
  </si>
  <si>
    <t>Comet Ping Pong shooting</t>
  </si>
  <si>
    <t>https://extremismterms.adl.org/glossary/comet-ping-pong-shooting</t>
  </si>
  <si>
    <t>The Comet Ping Pong shooting took place on December 4, 2016 in Washington, D.C., when Edgar Welch walked into the restaurant carrying an AR-15 and opened fire; no one was injured. Welch told police that he had come to investigate claims that the pizzeria was harboring child sex slaves in its basement (the restuarant does not have a basement) as part of a global child sex trafficking ring after reading about such theories online. See also: Pizzagate</t>
  </si>
  <si>
    <t>https://www.adl.org/resources/article/online-harassment-extremists-ramp-trolling-doxxing-efforts</t>
  </si>
  <si>
    <t>Parkland shooting</t>
  </si>
  <si>
    <t>https://extremismterms.adl.org/glossary/parkland-shooting</t>
  </si>
  <si>
    <t>The Parkland shooting refers to a deadly February 14, 2018 shooting spree at Marjory Stoneman Douglas High School in Parkland, Florida, perpetrated by Nikolas Cruz. 17 people and 17 others were injured during the shooting. Cruz was a white supremacist sympathizer, although there is no evidence the attack itself was motivated by white supremacy. In October 2021, Cruz pleaded guilty to all charges, and he is expected to be sentenced in January 2022. Since the shooting, some right-wing conspiracy theorists have claimed that the event was staged and that the student survivors are "crisis actors" or were coached by others to make statements supporting gun control measures.</t>
  </si>
  <si>
    <t>https://notoleranceforantisemitism.adl.org/resources/tools-and-strategies/gun-violence-and-mass-shootings</t>
  </si>
  <si>
    <t>Reawaken America Tour</t>
  </si>
  <si>
    <t>https://extremismterms.adl.org/glossary/reawaken-america-tour</t>
  </si>
  <si>
    <t>The Reawaken America tour is a series of controversial far-right conferences held across the United States featuring prominent QAnon influencers, anti-vaxx activists, election fraud conspiracy theorists, Christian pastors, political candidates and elected officials. The conferences are organized by far right conspiracy theorist Clay Clark.</t>
  </si>
  <si>
    <t>Stop the Steal Rallies</t>
  </si>
  <si>
    <t>https://extremismterms.adl.org/glossary/stop-steal-rallies</t>
  </si>
  <si>
    <t>"Stop the Steal" rallies were a series of events, often attended by a range of right-wing extremists and Trump surrogates, which promoted baseless allegations that the 2020 presidential election was stolen from Donald Trump.</t>
  </si>
  <si>
    <t>Boston Marathon Bombing</t>
  </si>
  <si>
    <t>https://extremismterms.adl.org/glossary/boston-marathon-bombing</t>
  </si>
  <si>
    <t>The Boston Marathon Bombing was a domestic terrorist attack that occurred on April 15, 2013 in Boston, Massachusetts. Dzhokhar and Tamerlan Tsarnaev, two Kyrgyz-American brothers of Chechen descent, created two pressure cooker bombs using instructions published by Al Qaeda in the Arabian Peninsula. They placed the two bombs, which they had concealed in backpacks, close to the finish line of the Boston Marathon about 100 yards apart and left the area. The bombs detonated 12 seconds apart around 2:50 p.m. The attack killed three and injured hundreds of runners and spectators, leading to a manhunt for the two men during which they carjacked a man on MIT's campus and killed a police officer. Tamerlan himself subsequently died after he was shot by law enforcement and his brother ran him over with a stolen SUV while attempting to flee.</t>
  </si>
  <si>
    <t>major extremist incident</t>
  </si>
  <si>
    <t>Charlie Hebdo terror attack</t>
  </si>
  <si>
    <t>https://extremismterms.adl.org/glossary/charlie-hebdo-terror-attack</t>
  </si>
  <si>
    <t>The Charlie Hebdo terror attack occurred on January 7, 2015 in Paris, France, when two brothers forced their way into the offices of the French satirical newspaper Charlie Hebdo and opened fire, killing 12 people and injuring 11 others. The two men, Sa√Ød and Ch√©rif Kouachi, identified themselves as members of Al Qaeda in the Arabian Peninsula. The attack was motivated by the newspaper's anti-Muslim content, which included publishing cartoons of the Prophet Muhammad, a practice which some conservative sects of Islam consider forbidden. The brothers were killed two days later after exchanging gunfire with police.</t>
  </si>
  <si>
    <t>https://www.adl.org/resources/news/2015-begins-heinous-anti-semitic-attack</t>
  </si>
  <si>
    <t>Garland, TX Terrorist Plot, also known as the "Draw Mohammed Art Contest" Plot</t>
  </si>
  <si>
    <t>https://extremismterms.adl.org/glossary/garland-tx-terrorist-plot-also-known-draw-mohammed-art-contest-plot</t>
  </si>
  <si>
    <t>The Garland, Texas terrorist plot, also known as the "Draw Mohammed Art Contest" plot, refers to a May 3, 2015 incident in which two men ‚Äî Elton Simpson and Nadir Soofi ‚Äî entered the Curtis Culwell Center in Garland, Texas intending to commit a terrorist attack. They were motivated by a cartoon drawing competition hosted by the racist American Freedom Defense Initiative. The two men did not succeed in killing anyone in the attack, and law enforcement was aware of their radicalization and had been following them. Although ISIS claimed credit for the attack, the maps of the exhibit were posted online by Joshua Ryne Goldberg, an internet troll who pleaded guilty to inciting the attack in December 2017.</t>
  </si>
  <si>
    <t>Pulse Nightclub Shooting</t>
  </si>
  <si>
    <t>https://extremismterms.adl.org/glossary/pulse-nightclub-shooting</t>
  </si>
  <si>
    <t>The June 2016 shooting spree at the Pulse nightclub in Orlando, Florida, by Omar Mateen‚Äîwho killed 49 people and wounded 53 more‚Äîdwarfed in its lethality all other extremist-related murders in the decade. Mateen, who claimed his attack in the name of ISIS, though there were no known connections between him and that terror organization, achieved the dubious distinction of being the deadliest domestic terrorist since Timothy McVeigh bombed the Murrah Federal Building in Oklahoma City in 1995.</t>
  </si>
  <si>
    <t>https://www.adl.org/resources/article/orlando-shooters-many-paths-violence</t>
  </si>
  <si>
    <t>San Bernardino shooting</t>
  </si>
  <si>
    <t>https://extremismterms.adl.org/glossary/san-bernardino-shooting</t>
  </si>
  <si>
    <t>The San Bernardino, California shooting took place on December 2, 2015, when Syed Rizwan Farook and Tashfeen Malik opened fire at Farook's workplace, the Inland Regional Center targeting municipal health workers attending a Christmas party. Both perpetrators were killed, along with fourteen other people. Twenty-four others were injured. Farook also placed an explosive device at the scene but it was safely detonated by a bomb squad. The couple, who led police on a chase, wounded two officers during a gunfight. Farook and Malik appear to have been inspired by ISIS.</t>
  </si>
  <si>
    <t>https://www.adl.org/resources/news/murder-and-extremism-united-states-2015</t>
  </si>
  <si>
    <t>1993 World Trade Center Bombing</t>
  </si>
  <si>
    <t>https://extremismterms.adl.org/glossary/1993-world-trade-center-bombing</t>
  </si>
  <si>
    <t>On February 26, 1993, terrorists affiliated with Al Qaeda detonated a 1,336 lbs truck bomb underneath the North Tower of the World Trade Center in lower Manhattan. The bomb was intended to bring down the North Tower and send it crashing into the South Tower. Six men were involved in the plan, which was led by Ramzi Yousef, the nephew of Khalid Sheikh Mohammed, who would go on to plan and organize the 9/11/2001 terrorist attacks against the same target. Khalid Sheikh Mohammed also funded the 1993 attempt, which failed to bring down the tower but killed 6 people and injured more than 1,000.</t>
  </si>
  <si>
    <t>major extremist incident (HEAT MAP?)</t>
  </si>
  <si>
    <t>Colleyville Synagogue Attack</t>
  </si>
  <si>
    <t>https://extremismterms.adl.org/glossary/colleyville-synagogue-attack</t>
  </si>
  <si>
    <t>On January 15, 2022, a gunman entered Congregation Beth Israel in Colleyville, Texas, during services, taking three congregants and a rabbi as hostages. The standoff ended more than ten hours later with all hostages released, unharmed, and the alleged perpetrator, identified as 44-year-old British national Malik Faisal Akram, fatally shot by an FBI SWAT team. Akram allegedly demanded the release of Aafia Siddiqui, who is serving an 86-year prison sentence for assault and attempted murder of U.S. nationals in Afghanistan at the Federal Medical Center in Carswell in Fort Worth, Texas, roughly 20 miles from the synagogue.</t>
  </si>
  <si>
    <t>https://www.adl.org/resources/article/hostage-crisis-texas-highlights-decade-old-terror-case</t>
  </si>
  <si>
    <t>Name the Nose tour</t>
  </si>
  <si>
    <t>https://extremismterms.adl.org/glossary/name-nose-tour</t>
  </si>
  <si>
    <t>"Name the Nose" tour is an antisemitic phrase used by the Goyim Defense League (GDL) to describe the group's activities when they gather together to particpate in a series of antisemitic stunts designed to troll and harass the Jewish community.</t>
  </si>
  <si>
    <t>in the GDL backgrounder</t>
  </si>
  <si>
    <t>Holy Day of Atonement</t>
  </si>
  <si>
    <t>https://extremismterms.adl.org/glossary/holy-day-atonement</t>
  </si>
  <si>
    <t>The Holy Day of Atonement is an annual holiday observed by the Nation of Islam on October 16 (the anniversary of the Million Man March). Events on this day regularly showcase antisemitic speeches from NOI leader Louis Farrakhan.</t>
  </si>
  <si>
    <t>Jersey City Kosher Market Shooting</t>
  </si>
  <si>
    <t>https://extremismterms.adl.org/glossary/jersey-city-kosher-market-shooting</t>
  </si>
  <si>
    <t>The Jersey City Kosher Market Shooting took place on December 10, 2019. David Anderson and Francine Graham allegedly embarked upon an antisemitic attack that resulted in three murders and three injuries at a Kosher grocery store, JC Kosher Supermarket, in Jersey City, NJ. Anderson identified as a Black Hebrew Israelite, and his social media was replete with antisemitic rhetoric.</t>
  </si>
  <si>
    <t xml:space="preserve">
https://www.adl.org/resources/blog/evidence-extremist-ideology-emerges-jersey-city-attack</t>
  </si>
  <si>
    <t>https://www.adl.org/resources/blog/evidence-extremist-ideology-emerges-jersey-city-attack
or
https://www.adl.org/resources/blog/center-extremism-uncovers-more-disturbing-details-jersey-city-shooters-extremist</t>
  </si>
  <si>
    <t>Saviours Day</t>
  </si>
  <si>
    <t>https://extremismterms.adl.org/glossary/saviours-day-0</t>
  </si>
  <si>
    <t>Saviours' Day is the Nation of Islam's annual commemoration of the birth of its founder, W. Fard Muhammad. The multi-day annual conference which coincides with Saviours' Day regularly draws thousands of people and features antisemitic, bigoted commentary from Louis Farrakhan and other speakers.</t>
  </si>
  <si>
    <t>Saviours‚Äô Day</t>
  </si>
  <si>
    <t>https://extremismterms.adl.org/glossary/saviours-day</t>
  </si>
  <si>
    <t>Saviours" Day</t>
  </si>
  <si>
    <t>https://extremismterms.adl.org/glossary/saviours-day-1</t>
  </si>
  <si>
    <t>Branch Davidian Standoff</t>
  </si>
  <si>
    <t>https://extremismterms.adl.org/glossary/branch-davidian-standoff</t>
  </si>
  <si>
    <t>The Branch Davidian standoff, in the late winter and spring of 1993 in Waco, Texas, was a violent confrontation between federal law enforcmeent agencies (the ATF and FBI) and members of the Branch Davidian religious sect. The standoff started after an ATF raid on the Davidian compound caused a violent shootout that resulted in the deaths of four ATF agents. A 51-day standoff followed this initial encounter, after which the FBI used force to end the standoff. Approximately 80 Davidians, including a number of children, perished on that final day, either by fire or their own hand. The event galvanized the extreme right in the United States and helped spark the formation of the anti-government militia movement. The Branch Davidian standoff, or simply "Waco," has since been used by extremists to support the argument that the government is willing to kill those who oppose it.</t>
  </si>
  <si>
    <t>https://www.adl.org/resources/news/20-years-later-shadows-ruby-ridge-standoff-still-linger</t>
  </si>
  <si>
    <t>major extremist event
(solution create a list of major extremist events)</t>
  </si>
  <si>
    <t>Bundy Ranch</t>
  </si>
  <si>
    <t>https://extremismterms.adl.org/glossary/bundy-ranch</t>
  </si>
  <si>
    <t>The Bundy Ranch was the site of a large armed standoff between the federal government and extremist supporters of Nevada rancher Cliven Bundy in 2014. The dispute began over Bundy's longstanding refusal to pay grazing fees for his use of federally owned land. The standoff garnered significant attention and involved members of a number of anti-government extremist groups.</t>
  </si>
  <si>
    <t>Ruby Ridge</t>
  </si>
  <si>
    <t>https://extremismterms.adl.org/glossary/ruby-ridge</t>
  </si>
  <si>
    <t>Ruby Ridge was the site of an 11-day armed standoff in 1992 between Randy Weaver and federal agents. Weaver was wanted under a bench warrant after his failure to appear in court on firearms charges. The standoff culminated in the deaths of a U.S. Marshal and Weaver"s wife and son. The incident became a rallying issue for right-wing extremists and is frequently cited by extremists as an example of the government"s willingness to murder those who would oppose it.</t>
  </si>
  <si>
    <t>Resistance News Network (RNN)</t>
  </si>
  <si>
    <t>https://extremismterms.adl.org/glossary/resistance-news-network-rnn</t>
  </si>
  <si>
    <t>Groups / Movements, Platforms / Sites</t>
  </si>
  <si>
    <t>Resistance News Network (RNN) is a radical antisemitic, anti-Zionist English-language Telegram channel that promotes violence against Israel and anti-normalization with ‚ÄúZionists.‚Äù RNN first appeared on Telegram in October 2022. As of October 2023, RNN has claimed that they have been deplatformed from other social media sites, including Instagram and Twitter (now known as X). As of February 2024, RNN has over 130,000 subscribers on Telegram. RNN content is shared by many of the most radical anti-Israel activists and organizations.RNN‚Äôs posts include the explicit promotion of U.S. State Department-designated foreign terrorist organizations (FTOs), often providing English translations of communiques and propaganda from groups such as Hamas and its Al Qassam Brigades, the Popular Front for the Liberation of Palestine (PFLP), Ansar Allah (the Houthis), Palestine Islamic Jihad (PIJ), Al-Aqsa Martyrs‚Äô Brigades and Hezbollah. RNN also posts their own graphics of individuals with guns and of rockets being fired at Israel. ¬†While most of the dissemination of RNN propaganda occurs online, in February 2024, RNN materials appeared offline, posted on a bulletin board at the Auraria Campus in Denver, Colorado. In October 2024, an RNN poster was hung up at the University of Washington by its SJP chapter, SUPER UW. Individuals and groups that have shared and/or promoted RNN content online include: Students for Justice in Palestine (SJP) chapters at Wellesley College, University of Washington, University of Illinois Urbana-Champaign, University of California-Irvine, John Jay College and Brandeis University; The Mapping Project, Samidoun and Jewish Voice for Peace (JVP) Metro DC.¬†</t>
  </si>
  <si>
    <t>mentioned here in the NSJP backgrounder: https://www.adl.org/resources/backgrounder/students-justice-palestine-sjp</t>
  </si>
  <si>
    <t>I don't think we have anything else on this specifically though we do mention RNN in other resources: https://www.adl.org/resources/article/who-are-primary-groups-behind-us-anti-israel-rallies  https://www.adl.org/resources/article/time-escalate-anti-israel-activists-intensify-protests-violent-direct-actions https://www.adl.org/resources/article/anti-israel-activists-celebrate-hamas-attacks-have-killed-hundreds-israelis</t>
  </si>
  <si>
    <t>Creativity</t>
  </si>
  <si>
    <t>https://extremismterms.adl.org/glossary/creativity</t>
  </si>
  <si>
    <t>Groups / Movements, Key Concepts / Definitions</t>
  </si>
  <si>
    <t>Creativity, sometimes known as the Creativity Movement, is a fake religion created by white supremacist Ben Klassen in the 1970s as a different way to spread common white supremacist concepts. It is based on the claim that the white race is "nature"s highest creation." Creativity originally took form as a group started by Klassen, the Church of the Creator, which was revived as the World Church of the Creator by Matt Hale several years after Klassen"s death. After Hale lost a trademark lawsuit over the group"s name, it was changed to the Creativity Movement in the early 2000s.</t>
  </si>
  <si>
    <t>https://www.adl.org/resources/profile/creativity-movement-formerly-world-church-creator</t>
  </si>
  <si>
    <t>Skinhead</t>
  </si>
  <si>
    <t>https://extremismterms.adl.org/glossary/skinhead</t>
  </si>
  <si>
    <t>The skinhead subculture includes both racists and non-racists (see SHARP entry). They share many common elements, such as head shaving, clothing, tattoos and symbols, rituals and music. However - racist skinheads have come to compose one of the major segments of the white supremacist movement in the United States, adopting white supremacist and neo-Nazi beliefs and trappings.</t>
  </si>
  <si>
    <t>No Alternative Resource (MLM)...How do we not have a backgrounder on the Skinhead Movement? Perhaps there is an old resource from the old website.</t>
  </si>
  <si>
    <t>ISIS</t>
  </si>
  <si>
    <t>https://extremismterms.adl.org/glossary/isis</t>
  </si>
  <si>
    <t>ISIS (also known as ISIL, Islamic State or IS, and Daesh in Arabic) is a Salafi-jihadist group that founded an unrecognized ‚Äúcaliphate,‚Äù a quasi-state in Iraq and Syria in 2014 capturing large swaths of territory in a bloody sweep amid the Syrian civil war. By 2019, the group had lost most of the territory it had taken over.ISIS garnered global attention for terror propaganda videos, including gruesome beheadings of foreign nationals abducted by the group over the course of its rise in 2014. The group was also behind a series of deadly terror attacks worldwide including the 2015 Paris attacks and the 2016 Nice truck attack. Its violent rhetoric and propaganda continue to inspire terror plots and criminal activity linked to domestic Islamist extremism across the world. It operates branches globally.¬†Its precursor organization, Al Qaeda in Iraq, was founded by Abu Musab al Zarqawi in 2004.</t>
  </si>
  <si>
    <t>https://www.adl.org/resources/article/islamist-terror-incidents-targeting-us-increase-2024</t>
  </si>
  <si>
    <t>https://extremismterms.adl.org/glossary/tax-protest-movement</t>
  </si>
  <si>
    <t>The tax protest movement is the oldest wing of the anti-government extremist "Patriot" movement, dating back to the mid-1960s. In contrast to people who merely dislike taxes, adherents of the tax protest movement use pseudo-legal arguments to assert that they have a constitutional or legal right to not pay income taxes. They allege that there is a conspiracy to hide the fact that Americans do not need to pay taxes.</t>
  </si>
  <si>
    <t>https://adl.org/resources/backgrounder/tax-protest-movement</t>
  </si>
  <si>
    <t>14 First Foundation</t>
  </si>
  <si>
    <t>https://extremismterms.adl.org/glossary/14-first-foundation</t>
  </si>
  <si>
    <t>Groups / Movements</t>
  </si>
  <si>
    <t>Founded in 2019, 14 First Foundation (14 First) was a small neo-Nazi group whose membership was absorbed by the National Socialist Movement in 2021. Best known for distributing propaganda and holding occasional flash demonstrations, the bulk of the group's membership was in the state of Washington, but they also had a small presence in states such as Texas and Kentucky.</t>
  </si>
  <si>
    <t>For this entry, I'm linking out to the National Socialist Movement backgrounder, however, the absorption/reference of this group is very brief and hidden down in the "activity" section. Would we want to add a blurb pulling from the glossary and highlight it better in the backgrounder?                                                                   Don't know who wrote the above comment but I agree that it should be highlighted in a better way. Marilyn</t>
  </si>
  <si>
    <t>21-2-12</t>
  </si>
  <si>
    <t>https://extremismterms.adl.org/glossary/21-2-12</t>
  </si>
  <si>
    <t>21-2-12 is the numeric code for the slogan for members of the Unforgiven, a white supremacist prison gang based in Florida. The 21 is for the letter U - Unity, the 2 is for the letter B - Brotherhood, and the 12 is for the letter L - Loyalty.</t>
  </si>
  <si>
    <t>https://www.adl.org/resources/hate-symbol/21-2-12</t>
  </si>
  <si>
    <t>211 Bootboys</t>
  </si>
  <si>
    <t>https://extremismterms.adl.org/glossary/211-bootboys</t>
  </si>
  <si>
    <t>211 Bootboys are an extreme right-wing, ultranationalist skinhead group which is active mostly in the hardcore punk and Oi! music scene in the metropolitan New York City region. They also claim to have members and associates elsewhere in the Northeast and Mid-Atlantic states. Many 211 Bootboys are white supremacists, but not all: the group has some members of Asian, Latino and African descent.</t>
  </si>
  <si>
    <t>211 Crew</t>
  </si>
  <si>
    <t>https://extremismterms.adl.org/glossary/211-crew</t>
  </si>
  <si>
    <t>211 Crew is a large white supremacist prison gang based in Colorado. They are also known as Aryan Empire, Aryan Alliance or Brotherhood of Aryan Alliance. Authorities believe the name originated in the California penal code for robbery, but members claim 211 is a numeric code for BAA, which stands for Brotherhood of Aryan Alliance. The group's patch is a complex triangular symbol of interlocking arms, with hands grasping lightning bolts and the number 211 in the center.</t>
  </si>
  <si>
    <t>https://www.adl.org/resources/hate-symbol/211-crew</t>
  </si>
  <si>
    <t>Active Clubs</t>
  </si>
  <si>
    <t>https://extremismterms.adl.org/glossary/active-clubs</t>
  </si>
  <si>
    <t>Rise Above Movement (R.A.M.)-inspired "Active Clubs" are geographically dispersed, loosely connected, localized white supremacist fight clubs that consider themselves vigilante soldiers standing guard against a perceived existential threat to their "white future." Although not officially linked to R.A.M., the groups distribute R.A.M. propaganda in their individual regions and share a common recruitment strategy of developing a decentralized fraternal white brotherhood.</t>
  </si>
  <si>
    <t>Alabama Aryan Brotherhood</t>
  </si>
  <si>
    <t>https://extremismterms.adl.org/glossary/alabama-aryan-brotherhood</t>
  </si>
  <si>
    <t>Alabama Aryan Brotherhood is a white supremacist prison gang that was established in the Alabama Department of Corrections. The group's patch is usually a shield with four images, which could include the initials AB, SS lightning bolts, a swastika, an Iron Cross or a shamrock. Sometimes the numbers 14 and 88 (a reference to 14/88) appear flanking the shield. The gang has no connection, other than by name alone, to the Aryan Brotherhood that operates in California and the Federal Bureau of Prisons.</t>
  </si>
  <si>
    <t>https://www.adl.org/resources/hate-symbol/alabama-aryan-brotherhood</t>
  </si>
  <si>
    <t>America First Students</t>
  </si>
  <si>
    <t>https://extremismterms.adl.org/glossary/america-first-students</t>
  </si>
  <si>
    <t>America First Students is a self-described "campus conservative organization" created by Nick Fuentes surrogates and "groyper" activists, some of whom are white supremacists.</t>
  </si>
  <si>
    <t>America First Students are not mentioned as an actual term in the Groyper or Nick Fuentes backgrounders. It would have to be added and explained. Marilyn</t>
  </si>
  <si>
    <t>American Christian Dixie Knights</t>
  </si>
  <si>
    <t>https://extremismterms.adl.org/glossary/american-christian-dixie-knights</t>
  </si>
  <si>
    <t>Founded in 2014, American Christian Dixie Knights are a Tennessee-based Klan group with members in multiple states.</t>
  </si>
  <si>
    <t>American Defense Skinheads</t>
  </si>
  <si>
    <t>https://extremismterms.adl.org/glossary/american-defense-skinheads</t>
  </si>
  <si>
    <t>Created in 2020, the American Defense Skinheads (ADS) are a Pittsburgh, Pennsylvania-based racist skinhead crew. ADS is heavily involved in the white power music scene and hold several such concerts throughout the year. They are allied with the Keystone State Skinheads/Keystone United. The group's logo consists of a Celtic Cross with "A.D.S." in front.</t>
  </si>
  <si>
    <t>No additional associated resources (MLM).</t>
  </si>
  <si>
    <t>American Freedom Party</t>
  </si>
  <si>
    <t>https://extremismterms.adl.org/glossary/american-freedom-party</t>
  </si>
  <si>
    <t>The American Freedom Party (AFP) is white supremacist group originally founded in 2009 as American Third Position. The group, headed by California lawyer William Johnson, also has a number of other white supremacists in leadership positions, including Kevin MacDonald and James Edwards.</t>
  </si>
  <si>
    <t>American Front</t>
  </si>
  <si>
    <t>https://extremismterms.adl.org/glossary/american-front</t>
  </si>
  <si>
    <t>Founded in the 1980s, American Front is one of the oldest racist skinhead groups in the United States. In recent years, most of its members were from California and Florida. The group's logo consisted of stylized letters "A" and "F" inside of a Celtic Cross.</t>
  </si>
  <si>
    <t>https://www.adl.org/resources/news/extremism-america-american-front</t>
  </si>
  <si>
    <t>American Identity Movement</t>
  </si>
  <si>
    <t>https://extremismterms.adl.org/glossary/american-identity-movement</t>
  </si>
  <si>
    <t>The American Identity Movement (AIM) was a white supremacist group that began in 2019 as a rebranding of Identity Evropa. Before disbanding in November 2020, AIM was best known for its numerous propaganda distributions. See also: Identity Evropa</t>
  </si>
  <si>
    <t>American Nazi Party</t>
  </si>
  <si>
    <t>https://extremismterms.adl.org/glossary/american-nazi-party</t>
  </si>
  <si>
    <t>The American Nazi Party (ANP) was the first well-established neo-Nazi organization in the United States. It was founded by George Lincoln Rockwell in 1959. Several other groups formed from its remnants after Rockwell's assassination in 1967.</t>
  </si>
  <si>
    <t>Though the NSM backgrounder has little info on the American Nazi Party, it does explain what it is and NSM's connection to it. Marilyn</t>
  </si>
  <si>
    <t>Aryan Brotherhood of Texas</t>
  </si>
  <si>
    <t>https://extremismterms.adl.org/glossary/aryan-brotherhood-texas</t>
  </si>
  <si>
    <t>The Aryan Brotherhood of Texas is the largest white supremacist prison gang in the state, and quite possibly in the entire United States. Formed in the 1980s, the group has a lengthy criminal history involving murder and drugs, among other things. They have no connection, other than by name alone, to the Aryan Brotherhood based in California and the Federal Bureau of Prisons. The group's patch is frequently made up of a shield-like image with a sword and a swastika inside the shield and the gang's initials on the outside. See also: Aryan Brotherhood of Texas hand sign.</t>
  </si>
  <si>
    <t>https://www.adl.org/resources/hate-symbol/aryan-brotherhood-texas</t>
  </si>
  <si>
    <t>Aryan Circle</t>
  </si>
  <si>
    <t>https://extremismterms.adl.org/glossary/aryan-circle</t>
  </si>
  <si>
    <t>The second largest white supremacist prison gang in Texas (just behind Aryan Brotherhood of Texas), the Aryan Circle are also one of the largest prison gangs in the country. Members, active both in prisons and on the streets, have a long track record of murder, including against law enforcement. The group's patch consists of a square oriented to a diamond shape. Inside the diamond is typically a swastika and the initials AC; it can also include SS lightning bolts. See also: Aryan Circle hand sign.</t>
  </si>
  <si>
    <t>https://www.adl.org/resources/hate-symbol/aryan-circle</t>
  </si>
  <si>
    <t>Aryan Nations</t>
  </si>
  <si>
    <t>https://extremismterms.adl.org/glossary/aryan-nations</t>
  </si>
  <si>
    <t>Aryan Nations was one of the most active neo-Nazi groups in the 1980s and 1990s but went into a substantial period of disintegration and factional fighting after the 2004 death of its founder, Richard Butler. Since 2004, a number of Aryan Nations factions have emerged, only to fall apart after a few years. This group's logo consists of a Wolfsangel symbol where the vertical line in the middle is a sword.</t>
  </si>
  <si>
    <t>https://www.adl.org/resources/hate-symbol/aryan-nations</t>
  </si>
  <si>
    <t>Aryan Strikeforce</t>
  </si>
  <si>
    <t>https://extremismterms.adl.org/glossary/aryan-strikeforce</t>
  </si>
  <si>
    <t>The Aryan Strikeforce was a racist skinhead group founded in 2013 by New Jersey racist skinhead Josh "Hatchet" Steever. He established the group after being kicked out of Aryan Terror Brigade, another racist skinhead group he created. From its inception, Aryan Strikeforce quickly amassed members and associates in the U.S. and abroad. The group folded following the April 2017 arrests and subsequest convictions of several of key members in a federal sting operation. The group"s logo was a Waffen SS divisional insignia outline, with a Deathshead skull wearing a face covering with the letters "AS" on it, along with 2 M# submachine guns superimposed over a Celtci Cross. The shield has black, white, and red stripes (the colors of the Nazi flag).</t>
  </si>
  <si>
    <t>https://www.adl.org/resources/article/racist-skinhead-crew-aryan-strikeforce-88-stands-8-arrests-8-months</t>
  </si>
  <si>
    <t>Aryan Terror Brigade</t>
  </si>
  <si>
    <t>https://extremismterms.adl.org/glossary/aryan-terror-brigade</t>
  </si>
  <si>
    <t>The Aryan Terror Brigade was a racist skinhead group, started in 2009 by longtime white supremacist Josh "Hatchet" Steever. The group was active in the United States, South America, and Europe. In 2013, Steever was removed as the group's leader and the group dissolved a few years later. The group"s logo was a Waffen SS divisional insignia outline, with a man's head and a gun, a wreath, and the initials "ATB" inside the outline. The shield has black, white, and red stripes (the colors of the Nazi flag).</t>
  </si>
  <si>
    <t>https://www.adl.org/resources/hate-symbol/aryan-terror-brigade</t>
  </si>
  <si>
    <t>Atomwaffen Division</t>
  </si>
  <si>
    <t>https://extremismterms.adl.org/glossary/atomwaffen-division</t>
  </si>
  <si>
    <t>Atomwaffen Division is a violent neo-Nazi group founded in 2016 whose members are preparing for a race war against what they consider to be the cultural and racial displacement of the white race. Following multiple arrests, the group disbanded in July 2020 and formed a new group, the National Socialist Order. The Atomwaffen Division logo consists of a radiation warning symbol on an SS divisional shield.</t>
  </si>
  <si>
    <t>https://adl.org/resources/backgrounder/atomwaffen-division-awd-national-socialist-order-nso</t>
  </si>
  <si>
    <t>Blood &amp; Honour</t>
  </si>
  <si>
    <t>https://extremismterms.adl.org/glossary/blood-honour</t>
  </si>
  <si>
    <t>Blood &amp; Honour is an international racist skinhead umbrella group founded by British white supremacist and singer Ian Stuart Donaldson. It has chapters or associated groups around the world, primarily in Europe.</t>
  </si>
  <si>
    <t>https://www.adl.org/resources/hate-symbol/blood-honour</t>
  </si>
  <si>
    <t>Bound for Glory</t>
  </si>
  <si>
    <t>https://extremismterms.adl.org/glossary/bound-glory</t>
  </si>
  <si>
    <t>Bound For Glory (BFG) is a longstanding white power music band from Minneapolis, dating back to 1989. It is popular among white supremacists. The main symbol associated with the band is a Thor's Hammer with their initials inside. Also common is the band's initials over or in an Iron Cross. Both images are from Bound for Glory albums.</t>
  </si>
  <si>
    <t>https://www.adl.org/resources/hate-symbol/bound-glory</t>
  </si>
  <si>
    <t>Brotherhood Forever</t>
  </si>
  <si>
    <t>https://extremismterms.adl.org/glossary/brotherhood-forever</t>
  </si>
  <si>
    <t>Brotherhood Forever is a racist prison gang based in Tennessee. According to prison officials, the gang is also known as the Tennessee Aryan Brotherhood. The group's parch consists of its name above and below SS lighting bolts. Sometimes these may appear within an Iron Cross symbol or shield symbol.</t>
  </si>
  <si>
    <t>https://www.adl.org/resources/hate-symbol/brotherhood-forever</t>
  </si>
  <si>
    <t>Brothers of White Warriors</t>
  </si>
  <si>
    <t>https://extremismterms.adl.org/glossary/brothers-white-warriors</t>
  </si>
  <si>
    <t>Brothers of White Warriors is a New Hampshire-based white supremacist prison gang started in 2005. Its most common symbol is an Iron Cross inside of which usually appear the group's initials, jail bars, and a swastika, although the swastika can also appear below the Iron Cross and there are other variations.</t>
  </si>
  <si>
    <t>https://www.adl.org/resources/hate-symbol/brothers-white-warriors</t>
  </si>
  <si>
    <t>https://extremismterms.adl.org/glossary/christian-identity-movement</t>
  </si>
  <si>
    <t>Christian Identity is a religious sect and one of the longstanding segments of the white supremacist movement in the United States. It emerged in its modern form in the 1960s. Its beliefs center on a racist and antisemitic variation of British-Israelism or Anglo-Israelism, which teaches that people of European ancestry are actually descended from the so-called "Lost Tribes" of ancient Israel and are thus the chosen people of God. Identity believers claim that non-whites were created by God not when God made "man," but rather when he created the "beasts of the field," and they refer to non-whites as "mud peoples." Many Identity adherents furthermore believe that Jews are descended from Satan through a sexual liaison between Eve and the serpent. They are not Christian fundamentalists, who strongly oppose their views.</t>
  </si>
  <si>
    <t>Church of Creativity</t>
  </si>
  <si>
    <t>https://extremismterms.adl.org/glossary/church-creativity</t>
  </si>
  <si>
    <t>The Church of Creativity is a group that promotes "Creativity," the virulently white supremacist pseudo-religion that proclaims the white race as "nature"s highest creation" and white people as "creators of all worthwhile culture and civilization." See also: Creativity, Matt Hale.</t>
  </si>
  <si>
    <t>Church of Jesus Christ Christian-Aryan Nations</t>
  </si>
  <si>
    <t>https://extremismterms.adl.org/glossary/church-jesus-christ-christian-aryan-nations</t>
  </si>
  <si>
    <t>Founded in 2018 by David J. Miner, the Church of Jesus Christ Christian - Aryan Nations, is an Arizona-based faction of Richard Butler's Aryan Nations. See also: Aryan Nations.</t>
  </si>
  <si>
    <t>https://www.adl.org/resources/profiles/aryan-nationschurch-jesus-christ-christian</t>
  </si>
  <si>
    <t>Combat 18</t>
  </si>
  <si>
    <t>https://extremismterms.adl.org/glossary/combat-18</t>
  </si>
  <si>
    <t>Combat 18 is a British terrorist neo-Nazi organization founded in the early 1990s. The group was inspired by The Turner Diaries and claims to follow the philosophy of leaderless resistance. The "18" in their name references the letters A and H for Adolf Hitler. They aim to start a race war in the service of building an Aryan homeland. Over the years, several American white supremacist groups have been associated with Combat 18.</t>
  </si>
  <si>
    <t>COORS Family Skins</t>
  </si>
  <si>
    <t>https://extremismterms.adl.org/glossary/coors-family-skins</t>
  </si>
  <si>
    <t>COORS Family Skins (the word COORS is an acronym for "Comrades Of Our Racial Struggle") was a racist skinhead group primarily based in southern California. Their logo consisted of an Othala rune combined with a runic symbol, but they also occasionally appropriated the logo for Coors Beer.</t>
  </si>
  <si>
    <t>https://www.adl.org/resources/hate-symbol/coors-family-skins</t>
  </si>
  <si>
    <t>Council of Conservative Citizens</t>
  </si>
  <si>
    <t>https://extremismterms.adl.org/glossary/council-conservative-citizens</t>
  </si>
  <si>
    <t>The Council of Conservative Citizens is a longstanding white supremacist group most prominent from the 1980s through the 2000s. For most of this period, it was headquartered in Missouri, but had chapters in a number of primarily Southern states. The Council is descended from the segregationist White Citizens Councils of the Civil Rights Era in the 1950s and 60s.</t>
  </si>
  <si>
    <t>https://www.adl.org/resources/news/council-conservative-citizens-declining-bastion-hate</t>
  </si>
  <si>
    <t>Crew 1488</t>
  </si>
  <si>
    <t>https://extremismterms.adl.org/glossary/crew-1488</t>
  </si>
  <si>
    <t>Crew 1488 is a small racist prison gang based primarily in Alaska, though it has a small presence in Colorado. They are sometime also called Organization 1488 or the 1488s. The gang's patch consists of a swastika intertwined with an Iron Cross, with 14, 88 and SS lightning bolts inside the Iron Cross.</t>
  </si>
  <si>
    <t>https://www.adl.org/resources/hate-symbol/crew-1488</t>
  </si>
  <si>
    <t>Crew 38</t>
  </si>
  <si>
    <t>https://extremismterms.adl.org/glossary/crew-38</t>
  </si>
  <si>
    <t>Crew 38 is a support group created for associates and supporters of the Hammerskins, a racist skinhead group. This includes female associates as well as men seeking to become recruits or "prospects" in the group. The number "38" signifies the 3rd and 8th letters of the alphabet, C and H, which stands for "Crossed Hammers," a reference to the crossed hammers appearing in the Hammerskins"s logo.</t>
  </si>
  <si>
    <t>https://extremismterms.adl.org/glossary/daily-stormer-book-clubs-sbc</t>
  </si>
  <si>
    <t>Daily Stormer Books Clubs were small, localized crews of young white men who followed and supported Andrew Anglin and his neo-Nazi website, The Daily Stormer. They often spread antisemitic propaganda, targeting college campuses and Jewish institutions with crude language and graphics.</t>
  </si>
  <si>
    <t>https://adl.org/resources/backgrounder/daily-stormer-book-clubs-sbc</t>
  </si>
  <si>
    <t>DIY Division</t>
  </si>
  <si>
    <t>https://extremismterms.adl.org/glossary/diy-division</t>
  </si>
  <si>
    <t>DIY Division is the former name of Rise Above Movement (R.A.M.). The group was originally composed of fewer than 20 loosely affiliated neo-Nazis and racist skinheads. They rebranded and changed their name to R.A.M. in the spring of 2017.</t>
  </si>
  <si>
    <t>East Coast Knights</t>
  </si>
  <si>
    <t>https://extremismterms.adl.org/glossary/east-coast-knights</t>
  </si>
  <si>
    <t>East Coast Knights is a Pennsylvania-based Klan group claiming to have realms/chapters in several states across the country. They have been active in Pennsylvania, Ohio, Kentucky and Indiana.</t>
  </si>
  <si>
    <t>Ecofascism</t>
  </si>
  <si>
    <t>https://extremismterms.adl.org/glossary/ecofascism</t>
  </si>
  <si>
    <t>Ecofascists core beliefs center around the idea that environmental degradation is reaching a pinnacle caused by overpopulation and policies that are pro-immigration and/or promote multiculturalism. Adherents weave white supremacy, anti-multiculturalism, antisemitism and xenophobia into these beliefs. They also believe that mounting environmental issues can only be mitigated by a fascist regime that imposes strict population control and environmental decrees. Mass shooters have used tenets of ecofascism as rationale for their attacks and have included mentions of ecofascism in their manifestos.</t>
  </si>
  <si>
    <t>Esoteric Hitlerism</t>
  </si>
  <si>
    <t>https://extremismterms.adl.org/glossary/esoteric-hitlerism</t>
  </si>
  <si>
    <t>Esoteric Hitlerism is a pseudo-scholarly take on Nazi doctrine that injects mysticism and synthesizes Nazism with Hinduism. A cornerstone of this belief is that Adolf Hitler was an incarnation of the Hindu god Vishnu. One of the forerunners of this belief was "Savitri Devi," an antisemite and Hitler devotee who wrote extensively on this belief.</t>
  </si>
  <si>
    <t>European Kindred</t>
  </si>
  <si>
    <t>https://extremismterms.adl.org/glossary/european-kindred</t>
  </si>
  <si>
    <t>The European Kindred is a large white supremacist prison gang based primarily in Oregon and founded in 1998. There is an European Kindred presence in Washington and Idaho as well. The group's patch is a "shield" tattoo containing the initials EK, often displayed on the calf.</t>
  </si>
  <si>
    <t>https://extremismterms.adl.org/glossary/feuerkrieg-division-fkd</t>
  </si>
  <si>
    <t>Feuerkreig Division (FKD) is a small international neo-Nazi group that advocates for a race war, along with other extreme white supremacist views. FKD calls for violence against their perceived enemies and destruction of "the system," or society at large, which they believe is controlled by Jews. Established in late 2018, FKD is an international organization whose leader is based in Estonia. At its height, FKD attracted approximately 30 members from across the globe, including the U.S. While the bulk of their activity is in encrypted chats, members have also been arrested on serious felony charges.</t>
  </si>
  <si>
    <t>https://adl.org/resources/backgrounder/feuerkrieg-division-fkd</t>
  </si>
  <si>
    <t>Folkish Resistance Movement (FRM)</t>
  </si>
  <si>
    <t>https://extremismterms.adl.org/glossary/folkish-resistance-movement-frm</t>
  </si>
  <si>
    <t>The Folkish Resistance Movement (FRM) is a small neo-Nazi group that was founded in 2019 as Folksfront and rebranded as FRM in late 2021. FRM distributes propaganda that features crossed runes that resemble a swastika and explicit white supremacist slogans such as ‚ÄúOur blood is our faith, our race is our nation‚Äù and ‚ÄúBlood and soil.‚Äù The group‚Äôs beliefs are pro-Hitler and include antisemitism, Holocaust denial, racism and homophobia.</t>
  </si>
  <si>
    <t>https://www.adl.org/resources/report/us-white-supremacist-propaganda-remained-historic-levels-2021-27-percent-rise</t>
  </si>
  <si>
    <t>Free America Rally</t>
  </si>
  <si>
    <t>https://extremismterms.adl.org/glossary/free-america-rally</t>
  </si>
  <si>
    <t>Free America Rally is a loosely-coordinated network of white supremacists who hold protests and rallies on white supremacist-related themes. The logo for Free America Rally is an amalgam of several runic symbols in the center of a laurel wreath.</t>
  </si>
  <si>
    <t>Georgia Aryan Brotherhood</t>
  </si>
  <si>
    <t>https://extremismterms.adl.org/glossary/georgia-aryan-brotherhood</t>
  </si>
  <si>
    <t>The Georgia Aryan Brotherhood is a white supremacist prison gang that began in the Georgia prison system. It has no connection to the "original" Aryan Brotherhood other than having borrowed its name. The gang is also present in the California and federal prison systems. Similar to other Aryan Brotherhood patches, the Georgia Aryan Brotherhood patch is comprised of a shield with a swastika on it along with a sword, the initials "AB" above the shield and a banner reading "Georgia" at the bottom.</t>
  </si>
  <si>
    <t>https://www.adl.org/resources/hate-symbol/georgia-aryan-brotherhood</t>
  </si>
  <si>
    <t>Ghost Face Gangster</t>
  </si>
  <si>
    <t>https://extremismterms.adl.org/glossary/ghost-face-gangster</t>
  </si>
  <si>
    <t>Ghost Face Gangster is a large white supremacist prison gang based in Georgia. The gang originated in California in the 1970s, but the Georgia offshoot began in 1998. Members of the gang have broad criminal activity ranging from murder to narcotics to sexual assault. Members use the alpha-numerica code, 767, representing the letters GFG for Ghost Face Gangsters.</t>
  </si>
  <si>
    <t>Golden State Solidarity (symbol)</t>
  </si>
  <si>
    <t>https://extremismterms.adl.org/glossary/golden-state-solidarity-symbol</t>
  </si>
  <si>
    <t>Golden State Solidarity (also known as Golden State Skinheads) is a California-based racist skinhead group. Their most common symbol consists of a red-and-white Waffen SS divisional shield containing an Iron Cross and a red star. Sometimes instead of appearing in a shield, these items appear in an image in the shape of California.</t>
  </si>
  <si>
    <t>https://www.adl.org/resources/hate-symbol/golden-state-solidarity</t>
  </si>
  <si>
    <t>Groyper Army</t>
  </si>
  <si>
    <t>https://extremismterms.adl.org/glossary/groyper-army</t>
  </si>
  <si>
    <t>The Groyper Army, formed in 2019, is a loose network of alt right figures who are vocal supporters of white supremacist and "America First" podcaster Nick Fuentes. Many members hold racist and antisemitic views, but some attempt to hide them under the veil of Christian and family values.</t>
  </si>
  <si>
    <t>Hakenkreuz Skinheads</t>
  </si>
  <si>
    <t>https://extremismterms.adl.org/glossary/hakenkreuz-skinheads</t>
  </si>
  <si>
    <t>Hakenkreuz Skinheads (HSH) are a white supremacist prison gang that formed in 2000 in the Washington corrections system. The gang has subsequently developed an active street presence. Hakenkreuz is the German term for swastika. The gang's patch consists of the HSH acronym above a swastika with a shield knot in the center. HSH colors are that of Nazi Germany"s flag: red, white, and black.</t>
  </si>
  <si>
    <t>Hakenkreuz Skinheads is mentioned in the link but only briefly</t>
  </si>
  <si>
    <t>Hammerskin Nation/Hammerskins</t>
  </si>
  <si>
    <t>https://extremismterms.adl.org/glossary/hammerskin-nationhammerskins</t>
  </si>
  <si>
    <t>The Hammerskin Nation is a racist skinhead gang that formed in 1988 with regional chapters in the U.S. and Europe. The Hammerskins have had longstanding ties to the white supremacist music scene, organizing many white power music concerts and forming or joining a number of white power bands. A number of its members have been convicted of harassing, beating or murdering minorities.</t>
  </si>
  <si>
    <t>Hate Edge</t>
  </si>
  <si>
    <t>https://extremismterms.adl.org/glossary/hate-edge</t>
  </si>
  <si>
    <t>Hate Edge, also known as NS or National Socialist Straight Edge, is a small white supremacist offshoot of the non-racist Straight Edge movement, which emerged from the punk subculture in the 1980s. Straight Edgers eschew drugs, alcohol, meat and often casual sex. Hate Edgers typically use common Straight Edge symbols with white supremacist twists or additions.</t>
  </si>
  <si>
    <t>https://www.adl.org/resources/hate-symbol/hate-edge</t>
  </si>
  <si>
    <t>Honorable Sacred Knights of the Ku Klux Klan (HSK)</t>
  </si>
  <si>
    <t>https://extremismterms.adl.org/glossary/honorable-sacred-knights-ku-klux-klan-hsk</t>
  </si>
  <si>
    <t>The Honorable Sacred Knights of the Ku Klux Klan (HSK) is a small, Indiana-based Klan group that has gained media attention for holding small public rallies in Indiana and Ohio.</t>
  </si>
  <si>
    <t>https://www.adl.org/resources/article/white-supremacists-plan-rally-dayton-ohio</t>
  </si>
  <si>
    <t>Hundred Handers</t>
  </si>
  <si>
    <t>https://extremismterms.adl.org/glossary/hundred-handers</t>
  </si>
  <si>
    <t>Hundred Handers is an international network of anonymous white supremacist activists who post white supremacist, antisemitic and bigoted propaganda material. The group has claimed responsibility for distributions in the United States since 2019, created Coronavirus stickers in 2020 and peddled anti-immigrant sentiments.</t>
  </si>
  <si>
    <t>https://www.adl.org/resources/report/white-supremacist-propaganda-spikes-2020</t>
  </si>
  <si>
    <t>Identitarianism</t>
  </si>
  <si>
    <t>https://extremismterms.adl.org/glossary/identitarianism</t>
  </si>
  <si>
    <t>Identitarianism is a racist, anti-Muslim and anti-immigrant movement that originated in France and spread to other countries in Europe and, eventually, the United States. It is roughly analogous to the alt-right segment of the white supremacist movement in the United States.</t>
  </si>
  <si>
    <t>Identity Dixie</t>
  </si>
  <si>
    <t>https://extremismterms.adl.org/glossary/identity-dixie</t>
  </si>
  <si>
    <t>Identity Dixie is a neo-Confederate group that formed in 2015 in response to the removal of the Confederate flag from state buildings around the south. The group has served as a bridge between southern nationalists and the alt-right.</t>
  </si>
  <si>
    <t>Identity Evropa</t>
  </si>
  <si>
    <t>https://extremismterms.adl.org/glossary/identity-evropa</t>
  </si>
  <si>
    <t>Identity Evropa is a white supremacist group that was active under that name from 2016 to 2019. The group ostensibly focused on the preservation of "white American culture" and white European identity. It rebranded as the American Identity Movement (AIM) in March 2019, moving away from Europe-centric propaganda in favor of promoting the preservation of America's "white culture" under the guise of patriotism before disbanding in late 2020. See also: American Identity Movement</t>
  </si>
  <si>
    <t>https://www.adl.org/resources/profile/identity-evropaamerican-identity-movement</t>
  </si>
  <si>
    <t>Imperial Klans of America</t>
  </si>
  <si>
    <t>https://extremismterms.adl.org/glossary/imperial-klans-america</t>
  </si>
  <si>
    <t>The Imperial Klans of America (IKA) was a Dawson Springs, Kentucky-based nazified Klan group founded by Ron Edwards in 1996. IKA was one of the largest Klan groups in the U.S. until 2008 when they lost a civil law suit filed by the Southern Poverty Law Center on behalf of a young-teen who was beaten by two IKA members.</t>
  </si>
  <si>
    <t>https://www.adl.org/resources/article/while-vying-attention-small-california-klan-encounters-conflict</t>
  </si>
  <si>
    <t>Indiana Aryan Brotherhood</t>
  </si>
  <si>
    <t>https://extremismterms.adl.org/glossary/indiana-aryan-brotherhood</t>
  </si>
  <si>
    <t>The Indiana Aryan Brotherhood is a large white supremacist prison gang based in Indiana. It is active both in Indiana prisons and on the streets. The group's patch consists of a stylized letter "A" inside a circular emblem that has the words "Aryan Brotherhood" as well as SS bolts and a swastika. Despite its name, it has no connection to the "original" Aryan Brotherhood, which is based in the California and federal prison systems.</t>
  </si>
  <si>
    <t>https://www.adl.org/resources/hate-symbol/indiana-aryan-brotherhood</t>
  </si>
  <si>
    <t>Inland Empire Skinheads</t>
  </si>
  <si>
    <t>https://extremismterms.adl.org/glossary/inland-empire-skinheads</t>
  </si>
  <si>
    <t>The Inland Empire Skinheads (IES) are a racist skinhead group based in southern California. Their logo consists of a red circle containing two crossed battleaxes.</t>
  </si>
  <si>
    <t>https://www.adl.org/resources/hate-symbol/inland-empire-skinheads</t>
  </si>
  <si>
    <t>International Keystone Knights</t>
  </si>
  <si>
    <t>https://extremismterms.adl.org/glossary/international-keystone-knights</t>
  </si>
  <si>
    <t>The International Keystone Knights of the Ku Klux Klan are a longstanding Klan group that for years was based in Pennsylvania but which for some time has been headquartered in Arkansas.</t>
  </si>
  <si>
    <t>Group is mentioned in the article but we don't explain who they are, just that they're a KKK group. - EKA</t>
  </si>
  <si>
    <t>Iron Youth</t>
  </si>
  <si>
    <t>https://extremismterms.adl.org/glossary/iron-youth</t>
  </si>
  <si>
    <t>Iron Youth is a neo-Nazi organization active in Texas and California. The organization embraces extreme white supremacist beliefs held by the most radical adherents within the movement. The group describes itself as a "European ethnic nationalist, traditionalist, and environmentalist youth organization dedicated to the preservation of our race and the world around us." Rooted in a bastardized version of Christianity, members use religion to justify their deeply held antisemitic and white supremacist beliefs. They believe they have a duty to arm young followers for the system"s impending collapse and inevitable race war.</t>
  </si>
  <si>
    <t>https://www.adl.org/resources/article/two-neo-nazis-including-jew-slayer-arrested-weapons-charges</t>
  </si>
  <si>
    <t>Joplin Honkys</t>
  </si>
  <si>
    <t>https://extremismterms.adl.org/glossary/joplin-honkys</t>
  </si>
  <si>
    <t>The Joplin Honkys are a white supremacist prison/street gang located primarily in southwest Missouri. There is an offshoot known as the Southwest Honkys, also based in Missouri.</t>
  </si>
  <si>
    <t>Southwest Honkys only mentioned in this resource</t>
  </si>
  <si>
    <t>Keysone State Skinheads/Keystone United</t>
  </si>
  <si>
    <t>https://extremismterms.adl.org/glossary/keysone-state-skinheadskeystone-united</t>
  </si>
  <si>
    <t>The Keystone State Skinheads, also known as Keystone United, are a Pennsylvania-based racist skinhead group that formed in 2001. Members have been involved in violent attacks including assaults and murder. They are closely alligned with Atlantic City Skinheads and American Defense Skinheads. The group's logo consists of an image of the head of a pitbull superimposed over a keystone colored red, white, and black (the colors of the Nazi flag).</t>
  </si>
  <si>
    <t>https://adl.org/resources/backgrounder/keystone-state-skinheadskeystone-united</t>
  </si>
  <si>
    <t>Knights Party</t>
  </si>
  <si>
    <t>https://extremismterms.adl.org/glossary/knights-party</t>
  </si>
  <si>
    <t>The Knights Party, also known as the Knights of the Ku Klux Klan, is a longstanding Arkansas-based Klan group led by Thomas Robb, a Christian Identity preacher. See also: Christian Identity</t>
  </si>
  <si>
    <t>Article mentions the term but doesn't explain what it is. - EKA</t>
  </si>
  <si>
    <t>Ku Klux Klan (KKK)</t>
  </si>
  <si>
    <t>https://extremismterms.adl.org/glossary/ku-klux-klan-kkk</t>
  </si>
  <si>
    <t>The Ku Klux Klan (KKK) is an American white supremacist movement that dates in its original form back to 1865. The first Ku Klux Klan, active in during the Reconstruction era, engaged in widespread terrorist and hate crime activities in its opposition to Reconstruction state governments. Decades later, in the early 20th century, the Klan was revived as a nativist, antisemitic and anti-Catholic organization with many elements borrowed from fraternal organizations. The Second Klan grew to millions by the early 1920s and was very influential, but infighting and scandals caused a decline in the 1930s and it fell apart by the 1940s. After World War II, the Ku Klux Klan was revived once more--though as a number of independent Klan groups rather than a single group--in opposition to the civil rights movement and desegregation efforts. Its failure to stop integration, combined with the rise of other types of white supremacist groups that acted as competition, began a long, slow decline of Ku Klux Klan groups that has lasted from the 1970s through the 2020s. In the 2020s, there aren't many Klan groups and the ones that do exist are quite small and often shortlived.</t>
  </si>
  <si>
    <t>https://www.adl.org/resources/report/tattered-robes-state-ku-klux-klan-united-states</t>
  </si>
  <si>
    <t>https://extremismterms.adl.org/glossary/league-south-los</t>
  </si>
  <si>
    <t>The League of the South (LoS) is a white supremacist group with a neo-Confederate orientation founded in 1994 by Michael Hill. It advocates for southern secession and an independent, white-dominated South. Originally cloaking its racism with code words and phrases, the group became more extreme and explicitly white supremacist after 2008. The LoS espouses racist and antisemitic rhetoric; organizes white supremacist rallies, conferences and flash demonstrations; and attends events organized by other white supremacist groups.</t>
  </si>
  <si>
    <t>https://adl.org/resources/backgrounder/league-south-los</t>
  </si>
  <si>
    <t xml:space="preserve">https://adl.org/resources/backgrounder/league-south-los </t>
  </si>
  <si>
    <t>https://extremismterms.adl.org/glossary/legion-saint-ambrose-losa</t>
  </si>
  <si>
    <t>Legion of Saint Ambrose (LoSA) is a now-defunct white supremacist group founded by former members of the Traditionalist Worker Party. The group hoped to rebuild America as a white Christian nation.</t>
  </si>
  <si>
    <t>https://adl.org/resources/backgrounder/legion-saint-ambrose-losa</t>
  </si>
  <si>
    <t>https://extremismterms.adl.org/glossary/loyal-white-knights-ku-klux-klan</t>
  </si>
  <si>
    <t>Loyal White Knights (LWK) is a North Carolina-based Klan group whose members follow a version of traditional Klan ideology infused with neo-Nazi beliefs. They are best known for their distribution of racist, antisemitic, anti-immigrant, homophobic and Islamophobic propaganda.</t>
  </si>
  <si>
    <t>Mississippi Aryan Brotherhood</t>
  </si>
  <si>
    <t>https://extremismterms.adl.org/glossary/mississippi-aryan-brotherhood</t>
  </si>
  <si>
    <t>The Mississippi Aryan Brotherhood is a large racist prison gang based in the Mississippi state prison system. Despite the similarity of its name, it has no connection to the "original" Aryan Brotherhood, based in California and the federal prison systems. The group's patch consists of a highly-stylized rendition of a combined A and B. Typically SS bolts appear within the AB and a swastika is next to it. Also, part of the symbol is the number 13 (standing for M or Mississippi) and one or more other numbers, which can vary.</t>
  </si>
  <si>
    <t>https://www.adl.org/resources/hate-symbol/mississippi-aryan-brotherhood</t>
  </si>
  <si>
    <t>National Alliance</t>
  </si>
  <si>
    <t>https://extremismterms.adl.org/glossary/national-alliance</t>
  </si>
  <si>
    <t>The National Alliance was founded in 1974 by William Pierce, an associate of the American Nazi Party; it had ties to Germany's National Democratic Party in the 1990s. Once the largest neo-Nazi party in the United States, the group has been in decline since Pierce's death in 2002.</t>
  </si>
  <si>
    <t>https://adl.org/resources/backgrounder/national-alliance-backgrounder</t>
  </si>
  <si>
    <t>National Democratic Party (NPD)</t>
  </si>
  <si>
    <t>https://extremismterms.adl.org/glossary/national-democratic-party-npd</t>
  </si>
  <si>
    <t>The National Democratic Party is a neo-Nazi party in Germany with ties to other white supremacist groups, including groups in the US.</t>
  </si>
  <si>
    <t>https://extremismterms.adl.org/glossary/national-justice-party</t>
  </si>
  <si>
    <t>Formed in August 2020, the National Justice Party is a a virulently antisemitic white supremacist group formed by a number of well-known white supremacists including Mike Peinovich, Joseph Jordan and Tony Hovater.</t>
  </si>
  <si>
    <t>National Policy Institute</t>
  </si>
  <si>
    <t>https://extremismterms.adl.org/glossary/national-policy-institute</t>
  </si>
  <si>
    <t>National Policy Institute is a white supremacist organization, once headed by Richard Spencer, that held annual conferences attracting many young people to hear white supremacist speakers. The organization has been largely inactive since 2018.</t>
  </si>
  <si>
    <t>National Rebirth of Poland</t>
  </si>
  <si>
    <t>https://extremismterms.adl.org/glossary/national-rebirth-poland</t>
  </si>
  <si>
    <t>The National Rebirth of Poland (Polish: Narodowe Odrodzenie Polski) is a Nazi-like, right-wing extremist group based in Poland that has some followers in the United States.</t>
  </si>
  <si>
    <t>National Socialist Legion</t>
  </si>
  <si>
    <t>https://extremismterms.adl.org/glossary/national-socialist-legion</t>
  </si>
  <si>
    <t>The National Socialist Legion is a small, now defunct neo-Nazi group that was founded in 2018 as a breakaway faction of Vanguard America. The group's primary activity was the distribution of propaganda. The group's logo featured a red, black and white shield with stripes and a Wolfsangel.</t>
  </si>
  <si>
    <t>https://www.adl.org/resources/hate-symbol/national-socialist-legion</t>
  </si>
  <si>
    <t>National Socialist Liberation Front</t>
  </si>
  <si>
    <t>https://extremismterms.adl.org/glossary/national-socialist-liberation-front</t>
  </si>
  <si>
    <t>National Socialist Liberation Front is a neo-Nazi group that originally formed in California in the 1970s; it reemerged in Pennsylvania in 2018, initiated by long-time white supremacist Steve "Bowers" Nastasi.</t>
  </si>
  <si>
    <t>https://extremismterms.adl.org/glossary/national-socialist-movement</t>
  </si>
  <si>
    <t>The National Socialist Movement (NSM) is a Florida-based neo-Nazi group led by Burt Colucci. The group, which has been in decline for years, is known for holding public rallies and protests dressed in Nazi-style uniforms. The NSM, originally named National Socialist American Workers Freedom Movement, was formed in 1974 by Robert Brannen and Cliff Herrington, two former members of George Lincoln Rockwell's American Nazi Party.</t>
  </si>
  <si>
    <t>https://adl.org/resources/backgrounder/national-socialist-movement</t>
  </si>
  <si>
    <t>National Socialist Order (NSO)</t>
  </si>
  <si>
    <t>https://extremismterms.adl.org/glossary/national-socialist-order-nso</t>
  </si>
  <si>
    <t>The National Socialist Order is a neo-Nazi group that emerged in July 2020 after Atomwaffen Division (AWD) disbanded, under the remaining AWD leadership. The group embraces accelerationist ideals and maintains The American Futurist website to promote their beliefs.</t>
  </si>
  <si>
    <t>National Vanguard</t>
  </si>
  <si>
    <t>https://extremismterms.adl.org/glossary/national-vanguard</t>
  </si>
  <si>
    <t>The National Vanguard was a short-lived neo-Nazi group founded in 2005 by Kevin Strom and other former members of the National Alliance, which had dissolved into acrimony and factionalism in the years following the 2002 death of National Alliance"s founder, William Pierce. The National Vanguard's name was derived from the title of a magazine published by the National Alliance.</t>
  </si>
  <si>
    <t>https://www.adl.org/resources/profile/national-alliance</t>
  </si>
  <si>
    <t>Nationalist Front</t>
  </si>
  <si>
    <t>https://extremismterms.adl.org/glossary/nationalist-front</t>
  </si>
  <si>
    <t>Nationalist Front, previously called the Aryan Nationalist Alliance, was an umbrella organization led by the National Socialist Movement (NSM), formed to unite various facets of the white supremacist movement. Its ultimate goal was to create a white ethnostate in America. Nationalist Front fell apart in late 2017-early 2018.</t>
  </si>
  <si>
    <t>https://adl.org/resources/backgrounder/nationalist-front-formerly-known-aryan-nationalist-alliance</t>
  </si>
  <si>
    <t>Nationalist Social Club (NSC)</t>
  </si>
  <si>
    <t>https://extremismterms.adl.org/glossary/nationalist-social-club-nsc</t>
  </si>
  <si>
    <t>Nationalist Social Club (NSC) is a New England-based neo-Nazi group with chapters in New Hampshire, Massachusetts, Rhode Island, Maine, Connecticut and Vermont. Its members see themselves as soldiers at war with a hostile, Jewish-controlled system that is deliberately plotting the extinction of the white race. The group regularly distributes propaganda and holds small, localized flash demonstrations.</t>
  </si>
  <si>
    <t>Nazi Low Riders</t>
  </si>
  <si>
    <t>https://extremismterms.adl.org/glossary/nazi-low-riders</t>
  </si>
  <si>
    <t>The Nazi Low Riders are a racist prison and street gang based primarily in California; they also have a presence in Arizona and Nevada. Their most commonly used symbol is simply the initials NLR, often displayed in an Old English-style script.</t>
  </si>
  <si>
    <t>https://www.adl.org/resources/hate-symbol/nazi-low-riders</t>
  </si>
  <si>
    <t>Neo-Nazi</t>
  </si>
  <si>
    <t>https://extremismterms.adl.org/glossary/neo-nazi</t>
  </si>
  <si>
    <t>Neo-Nazis are one of the main segments of the white supremacist movement in the United States and many other countries. They revere Adolf Hitler and Nazi Germany and sometimes try to adopt Nazi principles to their own times and geographic locations, though many neo-Nazis primarily adopt the trappings, symbology and mythology of the Third Reich.</t>
  </si>
  <si>
    <t>Neo-reactionaries</t>
  </si>
  <si>
    <t>https://extremismterms.adl.org/glossary/neo-reactionaries</t>
  </si>
  <si>
    <t>Neo-reactionaries are a segment of the alt right who reject liberal democracy and ideas associated with the Enlightenment. Some neo-reactionaries refer to their theories as the "Dark Enlightenment."</t>
  </si>
  <si>
    <t>New Aryan Empire</t>
  </si>
  <si>
    <t>https://extremismterms.adl.org/glossary/new-aryan-empire</t>
  </si>
  <si>
    <t>The New Aryan Empire is an Arkansas-based white supremacist prison gang. The group's patch usually consists of the letters "NAE" with a swastika and sword as well as the numbers 2, 3 and 4 (in either Latin or Roman numerals). The numbers 2-3-4 correspond to the number of letters in the words of the group's slogan: "To The Dirt."</t>
  </si>
  <si>
    <t>https://www.adl.org/resources/hate-symbol/new-aryan-empire</t>
  </si>
  <si>
    <t>https://extremismterms.adl.org/glossary/new-jersey-european-heritage-association-njeha</t>
  </si>
  <si>
    <t>Founded in 2018, the New Jersey European Heritage Association (NJEHA) is a small, New Jersey-based white supremacist group that espouses racism, antisemitism and intolerance under the guise of "saving" white European peoples from purported imminent extinction.</t>
  </si>
  <si>
    <t>https://adl.org/resources/backgrounder/new-jersey-european-heritage-association-njeha</t>
  </si>
  <si>
    <t>Nordic Resistance Movement (NRM)</t>
  </si>
  <si>
    <t>https://extremismterms.adl.org/glossary/nordic-resistance-movement-nrm</t>
  </si>
  <si>
    <t>The Nordic Resistance Movement (NRM) is a neo-Nazi group active in Nordic countries, particularly Sweden. The group has initiated a number of antisemitic actions targeting the Jewish community. In 2019, members of the American white supremacist group Patriot Front distributed literature with the NRM in Sweden.</t>
  </si>
  <si>
    <t>https://www.adl.org/resources/report/nordic-resistance-movement</t>
  </si>
  <si>
    <t>Occidental Templars</t>
  </si>
  <si>
    <t>https://extremismterms.adl.org/glossary/occidental-templars</t>
  </si>
  <si>
    <t>Formed in July 2020, Occidental Templars, also referred to as Ordo Milites Templi Occidentis (OMTO) is a Kentucky-based white supremacist group. OMTO is led by Aaron Chapman, a former member of the Traditionalist Worker Party, who has described the group as a "civil rights group for white people."</t>
  </si>
  <si>
    <t>Odinism</t>
  </si>
  <si>
    <t>https://extremismterms.adl.org/glossary/odinism</t>
  </si>
  <si>
    <t>Odinism is a term frequently given to a racist variant of the Norse pagan religion known as Asatru. Asatru is a religious sect that attempts to revive ancient Norse religious beliefs and practices of pre-Christian Europe. Asatru is not in itself a racist religion, though some white supremacists consider themselves Asatruists. Odinism is sometimes referred to as Wotanism. It tends to be popular among white supremacist inmates.</t>
  </si>
  <si>
    <t xml:space="preserve">There are several odinist groups/terms on this list. I'd love for us to have a larger explainer article on Odinism and Asatruism. </t>
  </si>
  <si>
    <t>Ohio Aryan Brotherhood</t>
  </si>
  <si>
    <t>https://extremismterms.adl.org/glossary/ohio-aryan-brotherhood</t>
  </si>
  <si>
    <t>The Ohio Aryan Brotherhood is a long-standing white supremacist prison gang based in the Ohio prison system. Members frequently use a variety of generic Aryan Brotherhood symbols. Despite its name, it is an independent group and has no connection to the "original" Aryan Brotherhood, which is based primarily in the California and federal prison systems.</t>
  </si>
  <si>
    <t>https://www.adl.org/resources/hate-symbol/ohio-aryan-brotherhood</t>
  </si>
  <si>
    <t>Oklahoma Aryan Brotherhood</t>
  </si>
  <si>
    <t>https://extremismterms.adl.org/glossary/oklahoma-aryan-brotherhood</t>
  </si>
  <si>
    <t>The Oklahoma Aryan Brotherhood is one of several white supremacist prison gangs in the Oklahoma prison system; its name is derived from the unrelated "original" Aryan Brotherhood, which is based in the California and federal prison systems. Its patch is a shield on top of two lightning bolts and a sword, with a clover, swastika and SS lightning bolts inside the shield.</t>
  </si>
  <si>
    <t>https://www.adl.org/resources/hate-symbol/oklahoma-aryan-brotherhood</t>
  </si>
  <si>
    <t>Operation Homeland</t>
  </si>
  <si>
    <t>https://extremismterms.adl.org/glossary/operation-homeland</t>
  </si>
  <si>
    <t>Operation Homeland was an organization formed in December 2017 by Elliot Kline and Richard Spencer, who described it as a core "professional" group of alt right leaders and activists poised to lead the movement as a whole. The group held one demonstration in Washington, D.C. and then fell apart.</t>
  </si>
  <si>
    <t>https://extremismterms.adl.org/glossary/patriot-front</t>
  </si>
  <si>
    <t>Patriot Front is a white supremacist group whose members maintain that their ancestors conquered America and bequeathed it solely to them. The group was founded in 2017 after it broke off from Vanguard America in the aftermath of the "Unite the Right Rally" in Charlottesville, Virginia. Patriot Front espouses racism, antisemitism and intolerance under the guise of preserving the "ethnic and cultural origins" of their European ancestors. The organization is best known for distributing white supremacist propaganda. Patriot Front's logo features an upright fasces, often surrounded by a circle of 13 stars or placed on the breast of an eagle similar to bald eagle imagery associated with the U.S. government.</t>
  </si>
  <si>
    <t>backgrounder and in hate symbols</t>
  </si>
  <si>
    <t>Peckerwood Midwest</t>
  </si>
  <si>
    <t>https://extremismterms.adl.org/glossary/peckerwood-midwest</t>
  </si>
  <si>
    <t>Peckerwood Midwest is a white supremacist gang based primarily in Missouri, active both in prisons and on the streets. The gang's patch is a diamond-shaped swastika inside a larger Iron Cross. Inside the swastika are SS bolts; outside the Iron Cross are the numbers 23/16, which stand for "White Power."</t>
  </si>
  <si>
    <t>https://www.adl.org/resources/hate-symbol/peckerwood-midwest</t>
  </si>
  <si>
    <t>PENI</t>
  </si>
  <si>
    <t>https://extremismterms.adl.org/glossary/peni</t>
  </si>
  <si>
    <t>Started in 1990, Public Enemy Number 1 (PENI) is a large, violent white supremacist gang based in the prisons and on the streets of California. Members may also refer to the gang as the Peni Death Squad or PDS. Its most common symbol is simply a shortened version of its own name, such as PENI or PEN1.</t>
  </si>
  <si>
    <t>https://www.adl.org/resources/hate-symbol/peni</t>
  </si>
  <si>
    <t>Racist skinhead</t>
  </si>
  <si>
    <t>https://extremismterms.adl.org/glossary/racist-skinhead</t>
  </si>
  <si>
    <t>Racist skinheads are a variation of the skinhead subculture that arose in Great Britain the late 1960s and early 1970s and have come to compose one of the major segments of the white supremacist movement in the United States. In contrast to "traditional" skinheads or anti-racist skinheads, racist or "white power" skinheads adopt many neo-Nazi beliefs and trappings. At the same time, they share many common elements of the skinhead subculture, such as head shaving, clothing, tattoos and symbols, rituals and music.</t>
  </si>
  <si>
    <t xml:space="preserve">Like my note under "Skinhead," how does ADL not have a backgrounder on the racist Skinhead movement? Perhaps there is an old ADL article from the old website? </t>
  </si>
  <si>
    <t>Revolt Through Tradition</t>
  </si>
  <si>
    <t>https://extremismterms.adl.org/glossary/revolt-through-tradition</t>
  </si>
  <si>
    <t>Revolt Through Tradition is a small alt right group formed in June 2019. The group is patterned after the Rise Above Movement (R.A.M.), which focuses on fitness, training, and activism. Revolt Through Tradition is aligned with R.A.M. and propaganda for both groups is often distributed at the same times and locations, signaling some membership or leadership cross over.</t>
  </si>
  <si>
    <t>https://www.adl.org/resources/article/white-supremacists-double-down-propaganda-2019</t>
  </si>
  <si>
    <t>Revolt through Tradition is cited in numerous White Supremacist Propaganda reports but none really go in-depth on who the group is. (MLM)</t>
  </si>
  <si>
    <t>Rise Above Movement (RAM)</t>
  </si>
  <si>
    <t>https://extremismterms.adl.org/glossary/rise-above-movement-ram</t>
  </si>
  <si>
    <t>Rise Above Movement is a Southern California-based alt right white supremacist group founded in 2017. The group is led by Robert Rundo and its members believe they are fighting against a "modern world" corrupted by the "destructive cultural influences" of liberals, Jews, Muslims and non-white immigrants. The group maintains a focus on fitness and martial arts - members train for physical battle against perceived enemies and have been convicted of perpetrating violent acts during political rallies.</t>
  </si>
  <si>
    <t>Russia Imperial Movement (RIM)</t>
  </si>
  <si>
    <t>https://extremismterms.adl.org/glossary/russia-imperial-movement-rim</t>
  </si>
  <si>
    <t>Russia Imperial Movement is an ultra-nationalist group in Russia that invited American white supremacists to Russia for paramilitary training. The United States designated RIM as a terrorist group in April 2020.</t>
  </si>
  <si>
    <t>Sacred Separatist Group</t>
  </si>
  <si>
    <t>https://extremismterms.adl.org/glossary/sacred-separatist-group</t>
  </si>
  <si>
    <t>Sacred Separatist Group is a Missouri-based white supremacist prison gang with an increasing street presence. The group's patch consists of a shield over a crossed sword and battleaxe, with the initials SSG inside. Typically, the letters SS in those initials are rendered as lightning bolts.</t>
  </si>
  <si>
    <t>https://www.adl.org/resources/hate-symbol/sacred-separatist-group</t>
  </si>
  <si>
    <t>Sadistic Souls Symbol</t>
  </si>
  <si>
    <t>https://extremismterms.adl.org/glossary/sadistic-souls-symbol</t>
  </si>
  <si>
    <t>Sadistic Souls is a small white supremacist biker gang active primarily in the Midwest, and a faction of the neo-Nazi group Aryan Nations. Sadistic Souls members may sport Aryan Nations symbology, as well as biker jackets that depict a Totenkopf image and the group's name, with the first "S" in each word of its name rendered as lightning bolts.</t>
  </si>
  <si>
    <t>https://www.adl.org/resources/hate-symbol/sadistic-souls</t>
  </si>
  <si>
    <t>Saxon Knights</t>
  </si>
  <si>
    <t>https://extremismterms.adl.org/glossary/saxon-knights</t>
  </si>
  <si>
    <t>The Saxon Knights is a large, Indiana-based white supremacist prison gang formed in 1995. Their patch is a shield tattoo superimposed over a sword, warhammer and battleaxe. The shield has four sections, two of which include the letters "S" and "K." A third section usually contains a knight's helmet. The fourth section is sometimes left blank and sometimes contains one of a number of other symbols.</t>
  </si>
  <si>
    <t>https://www.adl.org/resources/hate-symbol/saxon-knights</t>
  </si>
  <si>
    <t>https://extremismterms.adl.org/glossary/shield-wall-network-swn</t>
  </si>
  <si>
    <t>Formed in 2018 by Billy Roper, Shield Wall Network (SWN) is a small Arkansas-based neo-Nazi group whose primary goal is to build a white ethnostate. SWN uses a Greek lambda (an upside-down V) as its symbol.</t>
  </si>
  <si>
    <t>https://adl.org/resources/backgrounder/shield-wall-network-swn</t>
  </si>
  <si>
    <t>Silent Aryan Warriors</t>
  </si>
  <si>
    <t>https://extremismterms.adl.org/glossary/silent-aryan-warriors</t>
  </si>
  <si>
    <t>The Silent Aryan Warriors are a large white supremacist prison gang based in Utah (they have a street presence as well). The group's patch consists of an Iron Cross with SS lightning bolts and a curved swastika at the center. Four Totenkopfs surround the Iron Cross, while around the image are the German phrases "f√ºr immer weiss" and "f√ºr immer stolz," which translate to "forever white" and "forever proud."</t>
  </si>
  <si>
    <t>https://www.adl.org/resources/hate-symbol/silent-aryan-warriors</t>
  </si>
  <si>
    <t>Skrewdriver</t>
  </si>
  <si>
    <t>https://extremismterms.adl.org/glossary/skrewdriver</t>
  </si>
  <si>
    <t>Skrewdriver is a defunct British white power music/Rock Against Communism (RAC) band that essentially created the white power music genre. The band, and its deceased leader, Ian Stuart Donaldson, are highly regarded by white supremacists. The band's distinctive eagle and "S" logo frequently appear on white supremacist merchandise and in the form of tattoos.</t>
  </si>
  <si>
    <t>Soldiers of Aryan Culture</t>
  </si>
  <si>
    <t>https://extremismterms.adl.org/glossary/soldiers-aryan-culture</t>
  </si>
  <si>
    <t>The Soldiers of Aryan Culture are a large, Utah-based white supremacist prison gang. The gang also has a presence in the Federal Bureau of Prisons. The two symbols most commonly used by the gang are the group's initials, "SAC," and a swastika interwoven with an Iron Cross.</t>
  </si>
  <si>
    <t>https://www.adl.org/resources/hate-symbol/soldiers-aryan-culture</t>
  </si>
  <si>
    <t>Solid Wood Soldiers</t>
  </si>
  <si>
    <t>https://extremismterms.adl.org/glossary/solid-wood-soldiers</t>
  </si>
  <si>
    <t>The Solid Wood Soldiers are a small Texas-based white supremacist prison gang originally known as the Stupid Woods. The group's patch consists of the initials "SWS," with the two S's represented by SS lightning bolts. Above the initials is the image of a bear claw, with the number four in the middle and sometimes the letters HCRL, which stand for "Honor," "Courage," "Respect" and "Loyalty."</t>
  </si>
  <si>
    <t>https://www.adl.org/resources/hate-symbol/solid-wood-soldiers</t>
  </si>
  <si>
    <t>Sonnenkrieg Division</t>
  </si>
  <si>
    <t>https://extremismterms.adl.org/glossary/sonnenkrieg-division</t>
  </si>
  <si>
    <t>The Sonnenkrieg Division (SKD) is a white supremacist organization that launched online in 2018; it has strong ties to the Atomwaffen Division (AWD). SKD is predominantly focused on political and social issues in Europe, specifically the UK and Eastern Europe, and its members take a nihilistic view of the world, which they seek to destroy. There is significant overlap in SKD and AWD's core ideologies, use of graphics and imagery, rhetoric, cross-promotion and communication. Like Atomwaffen, Sonnenkrieg rails against a perceived cultural and racial obliteration of the white race and glorifies the teachings of Siege author James Mason.</t>
  </si>
  <si>
    <t>Southern Brotherhood</t>
  </si>
  <si>
    <t>https://extremismterms.adl.org/glossary/southern-brotherhood</t>
  </si>
  <si>
    <t>The Southern Brotherhood is a large, Alabama-based white supremacist prison gang. Gang members use a variety of different symbols and tattoos, but the most common is their "patch" or shield tattoo. This tattoo consists of a shield emblem (often superimposed over axes or swords) divided into four sections, each with a different symbol inside. These symbols can include the letters "SB," swastikas, SS lightning bolts, the number 23 (or 14/23), the Confederate flag or other symbols.</t>
  </si>
  <si>
    <t>https://www.adl.org/resources/hate-symbol/southern-brotherhood</t>
  </si>
  <si>
    <t>SS Divisional Insignia Symbol</t>
  </si>
  <si>
    <t>https://extremismterms.adl.org/glossary/ss-divisional-insignia-symbol</t>
  </si>
  <si>
    <t>During World War II, Nazi Germany's SS fielded a private army of nearly 40 divisions that fought on every front, often committing war crimes and other atrocities. Following the war, neo-Nazis and other white supremacists began to use the various divisional insignia of these military formations as hate symbols.</t>
  </si>
  <si>
    <t>https://www.adl.org/resources/hate-symbol/ss-divisional-insignia</t>
  </si>
  <si>
    <t>Supreme White Alliance</t>
  </si>
  <si>
    <t>https://extremismterms.adl.org/glossary/supreme-white-alliance</t>
  </si>
  <si>
    <t>Supreme White Alliance was a hardcore racist skinhead gang based primarily in the Midwest until it died out in the late 2010s. The gang used 43 as a numeric symbol because the alphanumeric equivalents of the gang's initials (19 for S, 23 for W, and 1 for A), when added together, equals 43. Members also used a two-handed hand sign in which four fingers from one hand and three fingers from the other hand are used to represent the number 43.</t>
  </si>
  <si>
    <t>https://adl.org/resources/backgrounder/supreme-white-alliance-adl-backgrounder</t>
  </si>
  <si>
    <t>Uhhhh this has no text? - EKA</t>
  </si>
  <si>
    <t>https://extremismterms.adl.org/glossary/base</t>
  </si>
  <si>
    <t>The Base is a small, militant neo-Nazi white supremacist organization that emerged in mid-2018 and is primarily active in the U.S. The group promotes accelerationism and holds real-world events that hone adherents' survivalist skills. The Base's founder, Rinaldo Nazzaro, is based in Russia. Following multiple arrests in 2020, The Base is attempting to rebuild its following.</t>
  </si>
  <si>
    <t>https://adl.org/resources/backgrounder/base</t>
  </si>
  <si>
    <t>The Creativity Movement (TCM)</t>
  </si>
  <si>
    <t>https://extremismterms.adl.org/glossary/creativity-movement-tcm</t>
  </si>
  <si>
    <t>The Creativity Movement is a term used to refer the beliefs originating with the Church of the Creator, a white supremacist group created by Ben Klassen in 1973, as well as to groups in subsequent decades descended from the original group. The Creativity Movement is notable in it was organized as a fake religion by Ben Klassen, who hoped to deflect criticism of the group by cloaking its traditional white supremacist beliefs in the trappings of religion. The name Creativity Movement was used after adherents lost the right to use the term "Church of the Creator" in a trademark lawsuit in the early 2000s.</t>
  </si>
  <si>
    <t>https://www.adl.org/resources/hate-symbol/creativity-movement</t>
  </si>
  <si>
    <t>The Hated</t>
  </si>
  <si>
    <t>https://extremismterms.adl.org/glossary/hated</t>
  </si>
  <si>
    <t>The Hated is a racist skinhead group active in New Jersey, Florida, and elsewhere. Members use a variety of symbols, codes and phrases such as a white fist inside a cogwheel, with the number 14 and the words "The Hated" on the outside; "LHDH" for Live Hated, Die Hated; and "8668" for the alph-numeric code HFFH - "Hated Forever, Forever Hated."</t>
  </si>
  <si>
    <t>https://www.adl.org/resources/hate-symbol/hated</t>
  </si>
  <si>
    <t>The Order</t>
  </si>
  <si>
    <t>https://extremismterms.adl.org/glossary/order</t>
  </si>
  <si>
    <t>The Order was a white supremacist terrorist group led by Robert Jay Mathews that carried out armed robberies, bombings and murders in the early 1980s in order to fund white supremacist groups and activity, and spark a white revolution. It is also sometimes known as Br√ºder Schweigen or The Silent Brotherhood. Mathews died in a shootout with the FBI, while most of his followers eventually received long prison sentences. For decades afterwards, white supremacists considered the imprisoned Order members to be martyrs to the white supremacist cause.</t>
  </si>
  <si>
    <t>The Order of Nine Angles (O9A, ONA)</t>
  </si>
  <si>
    <t>https://extremismterms.adl.org/glossary/order-nine-angles-o9a-ona</t>
  </si>
  <si>
    <t>The Order of Nine Angles is a Satanic occult group created in the early 1970s by Anton Long, a name commonly thought to be a pseudonym for British neo-Nazi David Myatt. The O9A is an accelerationist organization that promotes violence and infiltration of government to foster the end of modern society.</t>
  </si>
  <si>
    <t xml:space="preserve">I don't think this is an accelerationist term. - EKA </t>
  </si>
  <si>
    <t>Traditionalist American Knights (TAK)</t>
  </si>
  <si>
    <t>https://extremismterms.adl.org/glossary/traditionalist-american-knights-tak</t>
  </si>
  <si>
    <t>The Traditionalist American Knights (TAK) was a Missouri-based Klan group. The group fell apart after it's leader, Frank Ancona, was murdered by his stepson in 2017.</t>
  </si>
  <si>
    <t>https://www.adl.org/resources/news/flood-racist-fliers-masks-shrinking-klan-membership</t>
  </si>
  <si>
    <t>Traditionalist Worker Party</t>
  </si>
  <si>
    <t>https://extremismterms.adl.org/glossary/traditionalist-worker-party</t>
  </si>
  <si>
    <t>The Traditionalist Worker Party (TWP) was a neo-Nazi group founded in 2015 as the "political arm" of the white supremacist group, Traditionalist Youth Network, whose goal was to build a national socialist ethnostate for white people. Led by Matthew Heimbach, TWP participated in white supremacist rallies and protests across the United States, including the 2017 "Unite the Right" rally in Charlottesville, Virginia. The group fell apart in 2018 after Heimbach was arrested for domestic battery for allegedly assaulting his wife and father-in-law.</t>
  </si>
  <si>
    <t>https://adl.org/resources/backgrounder/traditionalist-worker-party-twp</t>
  </si>
  <si>
    <t>https://extremismterms.adl.org/glossary/traditionalist-youth-network</t>
  </si>
  <si>
    <t>The Traditionalist Youth Network, founded in 2013 by Matt Heimbach and Matt Parrott, was a small white supremacist group that attempted to recruit high school and college students and carry out white supremacist activities on college campuses. Its logo consists of five arrows pointing up and outwards from a single spot.</t>
  </si>
  <si>
    <t>https://www.adl.org/resources/backgrounder/traditionalist-youth-network</t>
  </si>
  <si>
    <t>True Cascadia</t>
  </si>
  <si>
    <t>https://extremismterms.adl.org/glossary/true-cascadia</t>
  </si>
  <si>
    <t>True Cascadia is an Oregon-based white supremacist group that emerged during the rise of the alt-right movement with the goal of creating a separate society for whites.</t>
  </si>
  <si>
    <t>Unforgiven/The Unforgiven</t>
  </si>
  <si>
    <t>https://extremismterms.adl.org/glossary/unforgiventhe-unforgiven</t>
  </si>
  <si>
    <t>Unforgiven is a large white supremacist prison gang based in the Florida prison system. Their main symbol consists of an interlocking Iron Cross and swastika, with SS lightning bolts in the center. Members and associates of the group have faced mounting legal issues in 2021.</t>
  </si>
  <si>
    <t>https://www.adl.org/resources/hate-symbol/unforgiven</t>
  </si>
  <si>
    <t>United Northern and Southern Knights</t>
  </si>
  <si>
    <t>https://extremismterms.adl.org/glossary/united-northern-and-southern-knights</t>
  </si>
  <si>
    <t>United Northern and Southern Knights (UNSK) is a Georgia-based Klan group with membership spread thinly across the U.S.</t>
  </si>
  <si>
    <t>United Skinhead Nation</t>
  </si>
  <si>
    <t>https://extremismterms.adl.org/glossary/united-skinhead-nation</t>
  </si>
  <si>
    <t>United Skinhead Nation (USN) is a Florida-based racist skinhead crew that was formed by John Kopko in mid-2018. USN has a small national presence and is structured with regional crews.</t>
  </si>
  <si>
    <t>United Society of Aryan Skinheads (USAS)</t>
  </si>
  <si>
    <t>https://extremismterms.adl.org/glossary/united-society-aryan-skinheads-usas</t>
  </si>
  <si>
    <t>The United Society of Aryan Skinheads (USAS) is a white supremacist gang active in prisons and on the streets. Although it originated in Oregon, it is essentially based in California. USAS members primarily use one or more of three symbols: the white power fist, the Valknot and bindrunes.</t>
  </si>
  <si>
    <t>https://www.adl.org/resources/hate-symbol/usas</t>
  </si>
  <si>
    <t>United White Circle</t>
  </si>
  <si>
    <t>https://extremismterms.adl.org/glossary/united-white-circle</t>
  </si>
  <si>
    <t>United White Circle is a whites-only prison and street gang that started in the Georgia Department of Corrections in 2012. They sometimes go by the alternate name "Chain Gang Crackers." Many, but not all, members are white supremacists. The gang's patch consists of two battle axes behind an Iron Cross along with the initials "UWC," "GA," "373" (numeric code for CGC " Chain Gang Crackers), and their hometown in Georgia.</t>
  </si>
  <si>
    <t>Universal Aryan Brotherhood (UAB)</t>
  </si>
  <si>
    <t>https://extremismterms.adl.org/glossary/universal-aryan-brotherhood-uab</t>
  </si>
  <si>
    <t>Universal Aryan Brotherhood (UAB) is a white supremacist prison gang based in the Oklahoma prison system and is one of several such gangs that has used "brotherhood" in their title. The gang's patch consists of a circle containing stylized SS lightning bolts. Despite the gang's name, it has no connection to the original Aryan Brotherhood, which is based in the California and federal prison systems.</t>
  </si>
  <si>
    <t>https://www.adl.org/resources/hate-symbol/universal-aryan-brotherhood</t>
  </si>
  <si>
    <t>https://extremismterms.adl.org/glossary/vanguard-america</t>
  </si>
  <si>
    <t>Vanguard America was a neo-Nazi group that distributed propaganda and attended white supremacist rallies from 2016 through 2018. The group splintered, forming Patriot Front, and unltimately fell apart after their participation in the "Unite the Right" rally in Charlottesville, Virginia, when James Alex Fields Jr., the man who later plowed his car into a group of counter-protesters and killed Heather Heyer, was pictured with Vanguard America members and carried a shield bearing the group's symbol. See also: Patriot Front</t>
  </si>
  <si>
    <t>https://adl.org/resources/backgrounder/vanguard-america</t>
  </si>
  <si>
    <t>Vinlanders Social Club</t>
  </si>
  <si>
    <t>https://extremismterms.adl.org/glossary/vinlanders-social-club</t>
  </si>
  <si>
    <t>The Vinlanders Social Club is a hardcore racist skinhead gang that originated in the Midwest in the mid-2000s, originally as a breakaway faction of the Hammerskins. It has a high association with violence, including multiple murders. Their hand sign consists of holding up the first, second, and fourth fingers of one hand. The group's logo consists of a shield emblem patterned after the Waffen SS divisional insignia, containing a laurel wreath and red, white and blue stripes.</t>
  </si>
  <si>
    <t>https://www.adl.org/resources/hate-symbol/vinlanders-social-club</t>
  </si>
  <si>
    <t>There will be a backgrounder on this.</t>
  </si>
  <si>
    <t>we are writing backgrounder</t>
  </si>
  <si>
    <t>Volksfront</t>
  </si>
  <si>
    <t>https://extremismterms.adl.org/glossary/volksfront</t>
  </si>
  <si>
    <t>Volksfront is a combination racist skinhead gang and neo-Nazi group created by four prison inmates in 1994. It disbanded in the 2010s. Members used several hand signs to represent their gang. A common one-handed sign featured the fingers of the right hand divided into a "V" shape, often held over the chest. A two handed sign used one hand to make a "V" shape (using two or four fingers) and the other hand to make the shape of the letter "F." The group's flag consisted of a life rune superimposed on black, white and red rectangles (the colors of the Nazi flag).</t>
  </si>
  <si>
    <t>https://www.adl.org/resources/profile/volksfront</t>
  </si>
  <si>
    <t>Vorherrschaft Division</t>
  </si>
  <si>
    <t>https://extremismterms.adl.org/glossary/vorherrschaft-division</t>
  </si>
  <si>
    <t>Vorherrschaft Division is a white supremacist group that has embraced Siege culture and is mostly active online. "Vorherrschaft" is German for supremacy.</t>
  </si>
  <si>
    <t>https://www.adl.org/resources/article/white-supremacists-respond-coronavirus-violent-plots-and-online-hate</t>
  </si>
  <si>
    <t>White Aryan Resistance (prison gang)</t>
  </si>
  <si>
    <t>https://extremismterms.adl.org/glossary/white-aryan-resistance-prison-gang</t>
  </si>
  <si>
    <t>White Aryan Resistance is a large, Arkansas-based white supremacist prison gang, which borrowed the name from California white supremacist Tom Metzger. Their main symbol is an elaborate pyramid-shaped tattoo that contains symbols representing rank and other meanings. Prison gangs using the same name can be found in Florida, California and Tennessee (they are not necessarily linked to each other).</t>
  </si>
  <si>
    <t>https://www.adl.org/resources/hate-symbol/war-arkansas-prison-gang</t>
  </si>
  <si>
    <t>White Aryan Resistance (WAR)</t>
  </si>
  <si>
    <t>https://extremismterms.adl.org/glossary/white-aryan-resistance-war</t>
  </si>
  <si>
    <t>White Aryan Resistance, or WAR, was the creation of long-time white supremacist Tom Metzger, who tried to build up a network of racist skinheads in the 1980s. It is also the name of white supremacist prison gangs in Arkansas, Florida, California and Tennessee (they are not necessarily linked to each other).</t>
  </si>
  <si>
    <t>https://www.adl.org/resources/hate-symbol/white-aryan-resistance</t>
  </si>
  <si>
    <t>White Knights</t>
  </si>
  <si>
    <t>https://extremismterms.adl.org/glossary/white-knights</t>
  </si>
  <si>
    <t>The White Knights are a Texas-based white supremacist prison gang (they have also been active in Arizona in recent years). Their main symbol consists of a knight's helmet containing a skull. Behind the skull are two crossed swords, with the words "white" and "knight" appearing on "rockers" above and beneath the skull.</t>
  </si>
  <si>
    <t>https://www.adl.org/resources/hate-symbol/white-knights</t>
  </si>
  <si>
    <t>Women for Aryan Unity (WAU)</t>
  </si>
  <si>
    <t>https://extremismterms.adl.org/glossary/women-aryan-unity-wau</t>
  </si>
  <si>
    <t>Women for Aryan Unity (WAU) is a white supremacist group founded in 1990 that is notable for being one of the only female-only white supremacist groups of recent decades. WAU promotes and supports women in the white supremacist movement, typically from a traditionalist vantage point, with content in its newsletters and websites focusing on "women"s" issues, such as raising children.</t>
  </si>
  <si>
    <t>https://www.adl.org/resources/hate-symbol/women-aryan-unity</t>
  </si>
  <si>
    <t>Wotan Nation</t>
  </si>
  <si>
    <t>https://extremismterms.adl.org/glossary/wotan-nation</t>
  </si>
  <si>
    <t>Wotan Nation is a Tennessee-based Odinist white supremacist group started in 2018 by Eric Meadows, a former member of the National Socialist Movement and League of the South.</t>
  </si>
  <si>
    <t xml:space="preserve">No alternative resource available (MLM) </t>
  </si>
  <si>
    <t>https://extremismterms.adl.org/glossary/blood-tribe</t>
  </si>
  <si>
    <t>Blood Tribe is a neo-Nazi group with semi-autonomous chapters in the United States and Canada. Blood Tribe promotes hardline white supremacist views and openly directs its vitriol at Jews, "non-whites" and the LGBTQ+ community. Blood Tribe formed online in 2021, when neo-Nazi Christopher Pohlhaus began referring to his followers as the ‚Äúblood tribe.‚Äù As his following grew, Pohlhaus began holding and attending private white supremacist gatherings which eventually led to formal ‚ÄúBlood Tribe‚Äù membership ceremonies. In 2023, members of the Blood Tribe began participating in anti-LGBTQ+ protests. During those protests, dozens of members, dressed uniformly in red shirts, black masks and black pants, shouted racial and anti-LGBTQ+ slurs, waved swastika flags and gave Hitler salutes.</t>
  </si>
  <si>
    <t>California Blackshirts</t>
  </si>
  <si>
    <t>https://extremismterms.adl.org/glossary/california-blackshirts</t>
  </si>
  <si>
    <t>Formed in June 2023, the California Blackshirts are a small white supremacist crew that have held small roadside demonstrations and distributed propaganda in south-central California. The group‚Äôs banners and fliers include white supremacist and anti-LGBTQ+ messaging while their online propaganda claims elected officials, schools, media and liberal capitalism have destroyed America, i.e. White man‚Äôs country and culture.</t>
  </si>
  <si>
    <t>Dixieland Nationalists Club</t>
  </si>
  <si>
    <t>https://extremismterms.adl.org/glossary/dixieland-nationalists-club</t>
  </si>
  <si>
    <t>Formed in June 2023, Dixieland Nationalists Club (DNC) is a small white supremacist group whose membership is primarily in East Central Florida. DNC distributes propaganda and participates in white supremacist events along with other groups such as White Lives Matter, Order of the Black Sun, Goyim Defense League and Blood Tribe.</t>
  </si>
  <si>
    <t>https://www.adl.org/resources/report/white-supremacist-propaganda-incidents-soar-record-high-2023</t>
  </si>
  <si>
    <t>group is mentioned briefly in resource but not in-depth</t>
  </si>
  <si>
    <t>National Socialist Resistance Front (NSRF)</t>
  </si>
  <si>
    <t>https://extremismterms.adl.org/glossary/national-socialist-resistance-front-nsrf</t>
  </si>
  <si>
    <t>White supremacist, Neo-Nazism</t>
  </si>
  <si>
    <t>The National Socialist Resistance Front (NSRF) was a short-lived neo-Nazi accelerationist group that was formed in September 2022, and officially dissolved in November 2024. NSRF was founded as an offshoot of the National Socialist Organization (NSO), with the NSO itself being an offshoot of the now-defunct Atomwaffen Division. The group saw very little offline activity during its existence but was responsible for a banner drop in Moore County, North Carolina in December 2022. In its dissolution statement, the group said it "never really got off the ground," and didn‚Äôt "see a point in trying to revive something that was never particularly active in the first place."</t>
  </si>
  <si>
    <t>Atlantic Nationalist Club (ANC)</t>
  </si>
  <si>
    <t>https://extremismterms.adl.org/glossary/atlantic-nationalist-club-anc</t>
  </si>
  <si>
    <t>White supremacist, Antisemitism, Right Wing (White Supremacist)</t>
  </si>
  <si>
    <t>The Atlantic Nationalist Club (ANC) is a small white supremacist group active in the northeastern United States, primarily in Pennsylvania, New York, Connecticut and New Jersey. Like other contemporary white supremacist groups, ANC is intensely antisemitic and anti-immigrant and views in-person activism as necessary to ‚Äúsave‚Äù and ‚Äúdefend‚Äù White people from ‚Äúdemographic replacement.‚ÄùSince it first started conducting on-the-ground activities in October 2023, ANC has committed numerous acts of vandalism, spray-painting white supremacist phrases and symbols onto buildings. The group also frequently distributes anti-immigrant and white supremacist propaganda, and members have staged several demonstrations at locations they believed were housing migrants. Members also regularly engage in mixed martial arts training and sparring events in preparation for potential conflicts with perceived enemies.</t>
  </si>
  <si>
    <t>https://www.adl.org/resources/article/summer-hate-white-supremacist-activity-memorial-labor-day</t>
  </si>
  <si>
    <t>Nationalist Network</t>
  </si>
  <si>
    <t>https://extremismterms.adl.org/glossary/nationalist-network</t>
  </si>
  <si>
    <t>White supremacist, Antisemitism</t>
  </si>
  <si>
    <t>The Nationalist Network is a small, Arizona-based white supremacist group. Formed in the spring of 2022, the group‚Äôs primary activities include livestreaming and soliciting donations from followers while their members speak about and engage with bystanders on a variety of topics, with the aim of promoting white supremacy and antisemitism. The Nationalist Network also maintains close relationships with other white supremacist groups including the Groyper movement, Patriot Front, and the Active Club network.</t>
  </si>
  <si>
    <t>2119 Crew</t>
  </si>
  <si>
    <t>https://extremismterms.adl.org/glossary/2119-crew</t>
  </si>
  <si>
    <t>2119 Crew (aka Blood and Soil Crew, 2=B 1=A 19=S) is a white supremacist group that was formed in Florida in 2022. Previous iterations of the group have also gone by Revolutionary White Brotherhood (RWB). The group claims to have members in multiple states across the country, including Florida, Georgia, New Hampshire, California, Kentucky, Missouri, New York, Oregon, Idaho, South Dakota, Illinois, North Carolina, Michigan, Pennsylvania, Tennessee, Alabama and Mississippi. The organization is decentralized and loosely connected online through Telegram, and members often engage in methods of activism such as stickering, fliering and graffiti. On August 7, 2023, four members of¬†2119 Crew were arrested for their alleged role in a string of antisemitic incidents in Pensacola, FL.¬†</t>
  </si>
  <si>
    <t>https://www.adl.org/resources/article/raised-reich-white-supremacists-are-recruiting-teens-ground-action</t>
  </si>
  <si>
    <t>The Raised for the Reich backgrounder has this term in it.</t>
  </si>
  <si>
    <t>Aryan Cowboy Brotherhood</t>
  </si>
  <si>
    <t>https://extremismterms.adl.org/glossary/aryan-cowboy-brotherhood</t>
  </si>
  <si>
    <t>The Aryan Cowboy Brotherhood is a fairly smal white supremacist prison and street gang in Minnesota and Kentucky. Its symbol consists of a winged skull wearing a helmet that has the initials "ACB" on it.</t>
  </si>
  <si>
    <t>https://www.adl.org/resources/hate-symbol/aryan-cowboy-brotherhood</t>
  </si>
  <si>
    <t>Aryan Knights</t>
  </si>
  <si>
    <t>https://extremismterms.adl.org/glossary/aryan-knights</t>
  </si>
  <si>
    <t>The Aryan Knights are Idaho's largest white supremacist prison gang. They also have a presense in Washington and Oregon corrections departments. The group's patch consists of a simple "AK."</t>
  </si>
  <si>
    <t>https://www.adl.org/resources/hate-symbol/aryan-knights</t>
  </si>
  <si>
    <t>Aryan Nationalist Alliance</t>
  </si>
  <si>
    <t>https://extremismterms.adl.org/glossary/aryan-nationalist-alliance</t>
  </si>
  <si>
    <t>Aryan Nationalist Alliance was the original name of the Nationalist Front, an umbrella organization created in 2016 and led by the neo-Nazi National Socialist Movement. The organization was formed to unite various facets of the white supremacist movement with the goal of creating a white ethnostate in America. The Nationalist Front fell apart in late 2017-early 2018.</t>
  </si>
  <si>
    <t>Aryan Nations (prison gang)</t>
  </si>
  <si>
    <t>https://extremismterms.adl.org/glossary/aryan-nations-prison-gang</t>
  </si>
  <si>
    <t>The Aryan Nations is a large Tennessee-based white supremacist prison gang, not to be confused with the Neo-Nazi group of the same name. The main patch for the prison gang consists of a rounded Celtic Cross image with different symbols in each of the quadrants formed by the circle and the cross. See also: Aryan Nations Prison Gang Hand Sign.</t>
  </si>
  <si>
    <t>https://www.adl.org/resources/hate-symbol/aryan-nations-tennessee-prison-gang</t>
  </si>
  <si>
    <t>Aryan Nations Worldwide</t>
  </si>
  <si>
    <t>https://extremismterms.adl.org/glossary/aryan-nations-worldwide</t>
  </si>
  <si>
    <t>Aryan Nations Worldwide was a small Villa Rica, Georgia-based, faction of the Aryan Nations that was active in 2015-2016. See also: Aryan Nations.</t>
  </si>
  <si>
    <t>Aryan Renaissance Society</t>
  </si>
  <si>
    <t>https://extremismterms.adl.org/glossary/aryan-renaissance-society</t>
  </si>
  <si>
    <t>A small white supremacist group resembling a racist skinhead group or a prison clique. The group's logo is the Phoenix with a lightning bolt and a runic symbol.</t>
  </si>
  <si>
    <t>https://www.adl.org/resources/hate-symbol/aryan-renaissance-society</t>
  </si>
  <si>
    <t>Aryan Warriors</t>
  </si>
  <si>
    <t>https://extremismterms.adl.org/glossary/aryan-warriors</t>
  </si>
  <si>
    <t>The Aryan Warriors is a Nevada-based white supremacist prison gang that has been around since the 1980s. The gang uses Viking-related imagery including shields and runic symbols.</t>
  </si>
  <si>
    <t>https://www.adl.org/resources/hate-symbol/aryan-warriors</t>
  </si>
  <si>
    <t>Asatru Folk Assembly (AFA)</t>
  </si>
  <si>
    <t>https://extremismterms.adl.org/glossary/asatru-folk-assembly-afa</t>
  </si>
  <si>
    <t>The Asatru Folk Assembly is a largely California-based neo-Volkish hate group with chapters in various states. Asatru is a Norse pagan religious sect, and while it is not a racist religion in itself, it has been adopted by some white supremacists. The AFA has adopted a racial version of Asatru which is more frequently called "Odinism." AFA emphasizes white identity, claiming white ethnic Europeans are superior to other races, and proclaims the need to protect the pure white race from extinction.</t>
  </si>
  <si>
    <t>https://atlanta.adl.org/news/adl-strongly-concerned-by-jailers-ties-to-white-supremacy/</t>
  </si>
  <si>
    <t>Atlantic City Skinheads</t>
  </si>
  <si>
    <t>https://extremismterms.adl.org/glossary/atlantic-city-skinheads</t>
  </si>
  <si>
    <t>Also called the "AC Skins" or "Atlantic City Skins," the Atlantic City Skinheads is one of the longest running skinhead crews in the country. Based in New Jersey, membership has fluctuated over the years and they are not as active as they have been in the past. The AC Skins's logo is a Celtic cross with five skulls at the bottom and the letters "ACS" in the middle three skulls.</t>
  </si>
  <si>
    <t>https://www.adl.org/resources/hate-symbol/atlantic-city-skins</t>
  </si>
  <si>
    <t>Bullion State Nationalists (BSN)</t>
  </si>
  <si>
    <t>https://extremismterms.adl.org/glossary/bullion-state-nationalists-bsn</t>
  </si>
  <si>
    <t>Formed in 2023, Bullion State Nationalists (BSN) is a small white supremacist group mainly active in the St. Louis, Missouri metropolitan area. The group claims to have members in multiple states, including Missouri, Illinois and eastern Kansas. BSN frequently distributes white supremacist propaganda and has vandalized public structures with white supremacist graffiti.¬†</t>
  </si>
  <si>
    <t>Dirty White Boys</t>
  </si>
  <si>
    <t>https://extremismterms.adl.org/glossary/dirty-white-boys</t>
  </si>
  <si>
    <t>There are several prison gangs in the U.S. with the name "Dirty White Boys." Only some are related to each other. The best known is the Dirty White Boys gang in the Federal Bureau of Prisons. It is large but loosely organized and dates back to the 1980s. Not all members of it are white supremacist.</t>
  </si>
  <si>
    <t>Fresnecks</t>
  </si>
  <si>
    <t>https://extremismterms.adl.org/glossary/fresnecks</t>
  </si>
  <si>
    <t>The Fresnecks are a white supremacist street gang primarily based in Fresno, California. They have a strong presence in the California prison system and are heavily influenced by and aligned with the Aryan Brotherhood. One possible identifier of gang membership is having the word ‚ÄúFresneck‚Äù tattooed either on one‚Äôs neck or the back of one‚Äôs head. Members have also been known to get tattoos of the ‚ÄúF‚Äù logo appropriated from the Famous Stars &amp; Straps clothing company. Originally called the Highly Insane Criminals, the gang started as a street tagging (graffiti) crew which included both white and Latino men. However, the Aryan Brotherhood sent out a directive condemning this inter-racial group, prompting the two races to split and form individual groups: the Fresnecks (whites) and the Bulldogs (Latino). Members of the Fresnecks have been involved in wide variety of criminal activity including robberies, drug offenses, witness intimidation, identity theft and murder. Of the 29 extremist-related killings in 2021, one murder was committed by a member of the Fresnecks.</t>
  </si>
  <si>
    <t>suggested resource does not mention "fresnecks"</t>
  </si>
  <si>
    <t>Injekt Division</t>
  </si>
  <si>
    <t>https://extremismterms.adl.org/glossary/injekt-division</t>
  </si>
  <si>
    <t>Injekt Division is a decentralized white supremacist accelerationist group with small, localized cells that spread their hateful propaganda online and through the distribution of stickers and flyers. In 2024, activity from the group has been largely confined to Pennsylvania.The group was inactive for a few years following the 2021 arrest of alleged founder Coleman Blevins of Kerrville, Texas and reemerged online in April 2023. In 2024, Blevins was sentenced to five years in prison after pleading guilty to a firearm charge following a federal investigation into his online posts [circa 2021] which included threats to carry out a mass shooting at Walmart.Since 2021, through various Injekt Division Telegram channels, followers have shared a melting pot of extremist concepts including accelerationism, fascism, misogyny, antisemitism, occasional support for violent Islamic jihad and now cult-like praise for Blevins.</t>
  </si>
  <si>
    <t>Irminfolk</t>
  </si>
  <si>
    <t>https://extremismterms.adl.org/glossary/irminfolk</t>
  </si>
  <si>
    <t>Irminfolk is a small neo-Volkish/Norse pagan white supremacist group based in New York with members in the New York, New Jersey and Pennsylvania region. Started in 2007, the group was incorporated in 2010 and eventually became a 501(c)3, non-profit organization. Irminfolk mints their own coins and paper currency called ‚ÄúFuthmark‚Äù which the group claims is an effort to ‚Äútrade within our community rather with than strangers and far-flung corporate enterprises.‚Äù Using an antisemitic dog whistle, Irminfolk claims ‚ÄúThe Futhmark currency system does the opposite of what globalist central banks do though.‚ÄùIn earlier iterations of the group‚Äôs website, membership eligibility stated: ‚Äúapplicants, and their dependents, must be ‚ÄòEthnic European,‚Äô‚Äù meaning Caucasian. Many physical items associated with Irminfolk, such as flags/banners, medals, knives and symbols have been co-opted from Nazi-era flags, medals, knives and symbols.</t>
  </si>
  <si>
    <t>https://www.adl.org/resources/report/hate-keystone-state-extremism-antisemitism-pennsylvania</t>
  </si>
  <si>
    <t>National Organization for Vital Action (NOVA)</t>
  </si>
  <si>
    <t>https://extremismterms.adl.org/glossary/national-organization-vital-action-nova</t>
  </si>
  <si>
    <t>The National Organization for Vital Action (NOVA) is a relatively small, but growing, white supremacist group that seeks to serve as a networking hub for white supremacists to build a more unified movement. NOVA shares many of the same beliefs as other modern white supremacist groups, including antisemitism, belief in the ‚ÄúGreat Replacement‚Äù conspiracy theory and opposition to what they perceive to be the propagation of ‚Äúwhite guilt, pornography, and LGBTQ propaganda‚Äù in media.NOVA formed in 2024 following the December 2023 dissolution of the National Justice Party (NJP), with former NJP members now serving on its executive board. NOVA has participated in public demonstrations organized by both itself and other white supremacist groups in Texas and has distributed propaganda in multiple other states.¬†</t>
  </si>
  <si>
    <t>Can we add the longer NOVA glossary blurb to the top of the NJP backgrounder? Right now the NJP backgrounder "update" section just links to the glossary. (MLM)</t>
  </si>
  <si>
    <t>New England White Network</t>
  </si>
  <si>
    <t>https://extremismterms.adl.org/glossary/new-england-white-network</t>
  </si>
  <si>
    <t>The New England White Network (NEWN) is a small white supremacist group created in 2022 by New Hampshire-based white supremacist, Ryan J. Murdough. Claiming to be a symbol of white rebellion and freedom, NEWN focuses on those in the public spotlight that they deem ‚Äúanti-White.‚Äù They are best known for writing letters, emails or online posts directed at various Democratic politicians, Jewish people, minorities, the LGBTQ+ community and educators of diversity curricula among others.</t>
  </si>
  <si>
    <t>Northwest Nationalist Network (3N)</t>
  </si>
  <si>
    <t>https://extremismterms.adl.org/glossary/northwest-nationalist-network-3n</t>
  </si>
  <si>
    <t>The Northwest Nationalist Network (3N) is a coalition of white supremacist groups and networks based in the Pacific Northwest that was founded in early 2023. The coalition distributes propaganda and holds in-person demonstrations to spread their white supremacist ideology. Since its formation, 3N has also often targeted the LGBTQ+ community. By working together as a coalition, these small groups and networks bolster their propaganda distribution efforts and attendance at demonstrations. The 3N coalition is made up of a range of white supremacist groups and networks, including the Oregon-based Rose City Nationalists and Vinland Rebels, and Pacific Northwest-based chapters of the Active Club network and the White Lives Matter (WLM) network.</t>
  </si>
  <si>
    <t>Old Glory Knights</t>
  </si>
  <si>
    <t>https://extremismterms.adl.org/glossary/old-glory-knights</t>
  </si>
  <si>
    <t>Old Glory Knights of the Ku Klux Klan (OGK) of Maury, Tennessee is a small Klan group lead by Daniel Walls. This iteration of OGK has been active since 2021, holding private gatherings and distributing propaganda in states such as Georgia, Illinois, Louisiana, Mississippi and Tennessee.</t>
  </si>
  <si>
    <t>Peoples Initiative of New England</t>
  </si>
  <si>
    <t>https://extremismterms.adl.org/glossary/peoples-initiative-new-england</t>
  </si>
  <si>
    <t>"The People's Initiative of New England‚Äù (PINE) is a white supremacist group focused on engaging in local political activism. The group formed in April 2023 as an extension of the neo-Nazi Nationalist Social Club. PINE advocates for its five-point plan for New England, a more sanitized version of NSC-131's agenda that includes seceding from the U.S. to create a "white homeland" and ending all non-white immigration. Since their inception, members have held group meetups across New England, including Rhode Island, New Hampshire and Massachusetts.</t>
  </si>
  <si>
    <t>Raven Folk United</t>
  </si>
  <si>
    <t>https://extremismterms.adl.org/glossary/raven-folk-united</t>
  </si>
  <si>
    <t>Raven Folk United (RFU) is a neo-Volkish/Norse pagan white supremacist group based primarily in the western United States. RFU was formed by several former members of the Asatru Folk Assembly in 2023. Although the group claims to be a confederation of Asatruists, RFU has adopted a racial version of Asatru which is frequently called "Odinism." Membership in the group requires one to be of ethnic European ancestry (Caucasian), explicitly bans miscegenation and encourages violence as part of the code members must abide by.</t>
  </si>
  <si>
    <t>Suidlanders</t>
  </si>
  <si>
    <t>https://extremismterms.adl.org/glossary/suidlanders</t>
  </si>
  <si>
    <t>Suidlanders is a far-right South African survivalist group that stresses the need to prepare for an impending racial civil war.</t>
  </si>
  <si>
    <t>Trinity White Knights</t>
  </si>
  <si>
    <t>https://extremismterms.adl.org/glossary/trinity-white-knights</t>
  </si>
  <si>
    <t>Trinity White Knights of the Ku Klux Klan (TWK) is a small Kentucky-based Klan group founded by William Marcus Bader in 2012. In 2023, the group reemerged after several years of inactivity, gaining media attention after distributing propaganda in Kentucky and Indiana. TWK was previously active in 2014 and 2015, participating in protests and demonstrations along with other white supremacist groups such as the Loyal White Knights of the Ku Klux Klan and neo-Nazi National Socialist Movement.</t>
  </si>
  <si>
    <t xml:space="preserve">Trinity White Knights is the most active Klan group in the U.S. today - I've love for us to either update our Tattered Robes Klan backgrounder or to do a short backgrounder on this group since it does get cited farily often with TWK propaganda. </t>
  </si>
  <si>
    <t>in HATE SYMBOLS DATABASE (or add), group is mentioned briefly in resource but not in-depth</t>
  </si>
  <si>
    <t>Vinland Rebels</t>
  </si>
  <si>
    <t>https://extremismterms.adl.org/glossary/vinland-rebels</t>
  </si>
  <si>
    <t>Vinland Rebels is a white supremacist group that formed in February 2022 with chapters in Tennessee, Texas, Hawaii and the Pacific Northwest. The group primarily distributes white supremacist propaganda and holds small demonstrations, often in collaboration with the Active Club and White Lives Matter networks. Vinland Rebels uses ‚Äú2218‚Äù as a numeric reference to ‚ÄúV‚Äù and ‚ÄúR." The group‚Äôs symbol consists of 4 bolts that represent faith, duty, honor and brotherhood and that these "4 bolts are what holds our movement and our race together.‚Äù</t>
  </si>
  <si>
    <t>This group may be worth a backgrounder - they are still active and been around for some time (2022).   group is mentioned briefly in this link, but not in-depth.</t>
  </si>
  <si>
    <t>Wolves of Vinland</t>
  </si>
  <si>
    <t>https://extremismterms.adl.org/glossary/wolves-vinland</t>
  </si>
  <si>
    <t>Wolves of Vinland (WoV) is a white supremacist, Norse Pagan¬†group based outside of Lynchburg, Virginia. WoV members, known as ‚Äúwolves,‚Äù combine worship of Norse gods with their belief in inherent Aryan superiority. The group was founded by brothers Paul and Matthias Waggener in the early 2000s. WoV emphasizes neo-Pagan practices, including ritualistic animal sacrifices, and also focuses on physical fitness and combat sport training. Around 2018, WoV founders opened a brick-and-mortar Jiu-Jitsu academy, where they hold private tournaments that attract a range of white supremacist groups and individuals from across the country.</t>
  </si>
  <si>
    <t xml:space="preserve">I'd reccomend adding a resource on Wolves on Vinland at some point. We reference it in the link for 2024 white supremacist activity, but do not have an in-depth backgrounder/article. </t>
  </si>
  <si>
    <t>The Animal Liberation Front (ALF)</t>
  </si>
  <si>
    <t>https://extremismterms.adl.org/glossary/animal-liberation-front-alf</t>
  </si>
  <si>
    <t>The Animal Liberation Front (ALF) is the United States' most active extreme animal rights movement. Composed of anonymous underground cells that oppose any form of animal experimentation and perceived mistreatment, ALF aims to rescue animals from "places of abuse" and to "inflict economic damage to those who profit from the misery and exploitation of animals." ALF cells have claimed responsibility for hundreds of "direct actions," a euphemism for crimes that include freeing animals from their owners and property destruction. The movement originated in England in the late 1960s, with early activities in the United States beginning in 1979. While the movement is less active today than it was in the 1990s and early 2000s, criminal incidents associated with the movement still occur sporadically.</t>
  </si>
  <si>
    <t>Medium</t>
  </si>
  <si>
    <t xml:space="preserve">Left-wing terms/symbols </t>
  </si>
  <si>
    <t>ACT for America</t>
  </si>
  <si>
    <t>https://extremismterms.adl.org/glossary/act-america</t>
  </si>
  <si>
    <t>ACT for America is the largest anti-Muslim group in the United States. It stokes irrational fear of and spreads hateful conspiracy theories about Muslims. The group is led by its founder, Brigitte Gabriel, and has local chapters across the country. ACT's hateful stance on Islam and immigration has attracted a number of conservative lawmakers as well as far-right extremists, including white supremacists and militia group members.</t>
  </si>
  <si>
    <t>https://www.adl.org/resources/profile/act-america</t>
  </si>
  <si>
    <t>Men Going Their Own Way (MGTOWs)</t>
  </si>
  <si>
    <t>https://extremismterms.adl.org/glossary/men-going-their-own-way-mgtows</t>
  </si>
  <si>
    <t>MGTOWs are gender separatists who generally do not pose a direct physical threat to most women.¬† The primary threat posed by MGTOWs comes from their dangerous and disingenuous antifeminist rhetoric, including lies about the nature and consequences of feminism, the reality of discrimination faced by women and the impact of cultural feminism on men. This vitriolic and separatist position reinforces men's existing misogynist beliefs, which have real-world ramifications. MGTOWs isolate themselves from all women as well as anyone else who advocates for or defends feminism.</t>
  </si>
  <si>
    <t>https://www.adl.org/resources/article/men-going-their-own-way-mgtow-what-you-need-know</t>
  </si>
  <si>
    <t>Men's Rights Activist (MRA)</t>
  </si>
  <si>
    <t>https://extremismterms.adl.org/glossary/mens-rights-activist-mra</t>
  </si>
  <si>
    <t>Men's Rights Activists or MRAs are a subset of extremist misogynist culture that thrives in the online "manosphere." The movement initially emerged as a reaction to second-wave feminism and the belief that men are being victimized by employment and family law, among other things. In recent years MRAs have adopted a victimhood mentality similar to incels and have committed targeted attacks. In June 2020, Roy Den Hollander, a self-described "anti-feminist lawyer" and MRA, carried out a fatal shooting at a New Jersey federal judge"s home before killing himself.</t>
  </si>
  <si>
    <t>Clockwork Crew</t>
  </si>
  <si>
    <t>https://extremismterms.adl.org/glossary/clockwork-crew</t>
  </si>
  <si>
    <t>Clockwork Crew, formerly the Crew 562 Active Club, is a fitness focused neo-Nazi group based in Southern California. The group, which formed in 2022, organizes small, localized events and has also participated in events organized by White Lives Matter and the Goyim Defense League.</t>
  </si>
  <si>
    <t>https://www.adl.org/resources/report/hate-golden-state-extremism-antisemitism-california-2021-2022</t>
  </si>
  <si>
    <t>Order of the Black Sun</t>
  </si>
  <si>
    <t>https://extremismterms.adl.org/glossary/order-black-sun</t>
  </si>
  <si>
    <t>Order of the Black Sun (OBS) is a small neo-Nazi network primarily based in the state of Florida. The group distributes propaganda and holds in-person demonstrations to spread their white supremacist ideology. OBS was formed in early 2023 by long time affiliates of Florida's overlapping white supremacist network.</t>
  </si>
  <si>
    <t>Terrorgram</t>
  </si>
  <si>
    <t>https://extremismterms.adl.org/glossary/terrorgram</t>
  </si>
  <si>
    <t>Terrorgram is a decentralized network of white supremacist, neo-Nazi and accelerationist groups, influencers and meme pages with the collective goal of promoting stochastic terrorism and inspiring individuals to conduct either group-oriented or ‚Äúlone wolf‚Äù terror attacks. The network exists largely on the encrypted social networking app, Telegram, from which it derives its name. An inner circle of Terrorgram propagandists, self-referred to as the Terrorgram collective, create and disseminate zine-style digital publications called the Terrorgram publications, which contain instructional manuals and creative works of fiction designed to inspire acts of violence against individuals and acts of sabotage against critical infrastructure. Juraj Krajcik, a white supremacist who killed one man and one non-binary person outside of a gay bar in Slovakia in 2022, credited the Terrorgram collective in his manifesto. One of the most influential aspects of Terrorgram is its propagation of accelerationist ‚ÄúSaints culture,‚Äù in which white supremacist terrorists are hailed as ‚ÄúSaints‚Äù and their actions are glorified by the community.In September 2024, federal authorities arrested Matthew Allison of Boise, Idaho and Dallas Humber of Elk Grove, California for their alleged leadership in the Terrorgram Collective. In January 2025, the United States designated the Terrorgram Collective and three of its foreign-based leaders as Specially Designated Global Terrorists.</t>
  </si>
  <si>
    <t>we have backgrounder</t>
  </si>
  <si>
    <t>Minuteman Project</t>
  </si>
  <si>
    <t>https://extremismterms.adl.org/glossary/minuteman-project</t>
  </si>
  <si>
    <t>The Minuteman Project was an anti-immigrant border vigilante group founded in August 2004 by Jim Gilchrist and Chris Simcox. Its members took it upon themselves to monitor the U.S.-Mexico border for illegal immigrants, including conducting armed "patrols." The group split into two factions due to rancor between the founders; both factions eventually disintegrated. In the mid-2000s, though, it was the most important border vigilante group and even attracted support from some mainstream politicians.</t>
  </si>
  <si>
    <t>https://extremismterms.adl.org/glossary/764</t>
  </si>
  <si>
    <t>764 is a decentralized, global network of online communities that glorify violence and engage in a variety of criminal activities, including sextortion, the distribution of child sex abuse material (CSAM), swatting, SIM swapping and doxing. The network is particularly known for targeting and exploiting vulnerable individuals on social media, especially children. 764 emerged in 2021 out of ‚ÄúThe Com‚Äù (short for ‚ÄúThe Community‚Äù), a loosely organized network of extortionists, hackers and other cyber criminals.764‚Äôs core ideology is rooted in nihilism and misanthropy, although it also draws influence‚Äîboth ideologically and visually‚Äîfrom extremist movements, most notably the Satanic neo-Nazi organization, Order of Nine Angles. 764 embodies a dangerous, multifaceted threat by blending violent extremism, nihilism and the exploitation of minors.Internal conflicts and the arrests of key 764 leaders have led to the emergence of multiple splinter groups and offshoots over the years, such as Harm Nation, Court, Kaskar, H3ll and Leak Society.Since 2023, at least 19 individuals linked to 764 have been arrested for various crimes, including violent attacks, the possession of CSAM, sextortion and swatting.</t>
  </si>
  <si>
    <t>NVE terms phrases</t>
  </si>
  <si>
    <t>backgrounder</t>
  </si>
  <si>
    <t>‚ÄúParents‚Äô Rights Movement‚Äù</t>
  </si>
  <si>
    <t>https://extremismterms.adl.org/glossary/parents-rights-movement</t>
  </si>
  <si>
    <t>The ‚Äúparents‚Äô rights movement‚Äù (also known as ‚Äúparental rights‚Äù) is a loose coalition of right-wing and far-right-wing organizations and interest groups that advocate for right-wing causes in schools. ‚ÄúParental rights groups‚Äù often promote policies, ideas and language that are inspired by or otherwise intersect with intolerance or even extremism or hate. The movement has existed for several decades, shifting its focus several times over that span, including opposition to LGBTQ+ rights, educational curricula on racial justice and racism, and immigration. While not all adherents of the movement are extremist, ‚Äúparental rights‚Äù groups and activists have often overlapped with a variety of extremist figures. Many have also regularly employed rhetoric or tropes originating in extremist spaces or advocated for policies championed by extremists.</t>
  </si>
  <si>
    <t>17th Special Operations Group</t>
  </si>
  <si>
    <t>https://extremismterms.adl.org/glossary/17th-special-operations-group</t>
  </si>
  <si>
    <t>The 17th Special Operations Group (17 SOG) is an anonymous group of writers behind the QAnon-linked "reconstitution" theory, which outlines how former President Trump allegedly attempted to dismantle the Deep State during his presidency. See also: reconstitution theory</t>
  </si>
  <si>
    <t>This term is not in the QAnon backgrounder and needs to be integrated. Marilyn</t>
  </si>
  <si>
    <t>American Guard</t>
  </si>
  <si>
    <t>https://extremismterms.adl.org/glossary/american-guard</t>
  </si>
  <si>
    <t>American Guard is an extreme right-wing group that started in 2016 with an ideology it calls "American Constitutional Nationalism." Although founded by white supremacists, American Guard is not a white supremacist group, having several members of different ethnicities. It is aligned with the Proud Boys, another extreme right-wing group.</t>
  </si>
  <si>
    <t>Anti-Public Lands Movement</t>
  </si>
  <si>
    <t>https://adl.org/glossary/anti-public-lands-movement</t>
  </si>
  <si>
    <t>The anti-public lands movement is a conservative political movement based primarily in the western United States that opposes federal stewardship of publicly-owned lands and seeks for public land to be turned over to private ownership to be exploited for ranching, mining, logging and other pursuits. The movement has been known by many names since the 1970s, including the Sagebrush Rebellion, the Wise Use movement, and the country rule movement. The more moderate wing of the anti-public lands movement includes prominent business owners and officeholders in western states, but its extreme wing has been responsible for bombings and standoffs and sometimes allies itself with the¬†‚ÄúPatriot‚Äù movement.</t>
  </si>
  <si>
    <t>Fraternal Order of Alt-Knights (FOAK)</t>
  </si>
  <si>
    <t>https://extremismterms.adl.org/glossary/fraternal-order-alt-knights-foak</t>
  </si>
  <si>
    <t>The Fraternal Order of Alt-Knights (FOAK) is a now-defunct sub-group of the Proud Boys that was formed in 2017 to serve as the "tactical defense arm" of the organization. FOAK was led by Kyle Chapman, aka Based Stickman, who has a criminal history that includes felony assault with a deadly weapon. Chapman earned his nickname "Based Stickman" after a rally in Berkeley, California in March 2017 where he was photographed attacking a counter-protester with a large stick. Chapman advocated for a more overtly white supremacist Proud Boys organization and violent opposition to counter-protesters, clashing with the group's national leadership. Chapman left the Proud Boys in 2017 and with his departure, FOAK also ceased.</t>
  </si>
  <si>
    <t>John Birch Society</t>
  </si>
  <si>
    <t>https://extremismterms.adl.org/glossary/john-birch-society</t>
  </si>
  <si>
    <t>The John Birch Society is a long-standing right-wing extremist group started in the 1950s. It is highly conspiratorial in nature and has focused on anti-communist conspiracy theories for much of its existence.</t>
  </si>
  <si>
    <t xml:space="preserve">No additional associated resources (MLM) </t>
  </si>
  <si>
    <t>National Bolshevism</t>
  </si>
  <si>
    <t>https://extremismterms.adl.org/glossary/national-bolshevism</t>
  </si>
  <si>
    <t>National Bolshevism, abreviated online as Nasbol, is a political ideology that combines the extremes of nationalism and communism. Economically, National Bolsheviks promote far left ideology, drawing from many Leninist themes of the bourgeoise. Culturally, National Bolsheviks are on the far right and advocate for ultra-nationalist values. The movement's symbol uses the hammer and sickle from Soviet communism in a white circle on a red background (replacing the swastika of the traditional Nazi flag).</t>
  </si>
  <si>
    <t>Patriot Prayer</t>
  </si>
  <si>
    <t>https://extremismterms.adl.org/glossary/patriot-prayer</t>
  </si>
  <si>
    <t>Patriot Prayer is a putatively religious far-right group claiming to promote free speech while primarily agitating against left-wing/progressive activists. Members are often involved in confrontations with left-wing protesters. The group was founded by Joey Gibson and is most active in the Pacific Northwest. Patriot Prayer often allies with the Proud Boys for event organization and participation. Founder Joey Gibson ran for Senate as a Republican in 2018 and was defeated in the primary, earning only 2.3 percent of votes. Gibson was indicted on felony riot charges for his participation in a riot between Patriot Prayer and antifa adherents in May 2019.</t>
  </si>
  <si>
    <t>https://extremismterms.adl.org/glossary/proud-boys</t>
  </si>
  <si>
    <t>The Proud Boys are a right-wing extremist group with a violent agenda. Founded by Gavin McInnes in 2016, the Proud Boys have chapters in most U.S. states and several international locations. The group frequently participates in right-wing events to provide "security" and often clashes violently with counter-protesters. Their ideology is primarily misogynistic, Islamophobic, transphobic and anti-immigrant. Some members espouse white supremacist and antisemitic ideologies and/or engage with white supremacist groups. Members of the Proud Boys account for one of the highest number of extremist arrestees in relation to the January 6 Capitol insurrection. In 2021, Proud Boys latched onto anti-mask and anti-vaccine activism, showing up at school board meetings as well as related protests and rallies.</t>
  </si>
  <si>
    <t>True The Vote</t>
  </si>
  <si>
    <t>https://extremismterms.adl.org/glossary/true-vote</t>
  </si>
  <si>
    <t>True The Vote (TTV) is a conservative, Texas-based "election integrity" group founded by Catherine Engelbrecht in 2009. Since 2020, TTV has become known for promoting false claims that the 2020 presidential election was "rigged." TTV was the primary source for the data used in the widely debunked election fraud documentary, 2000 Mules. See also: Gregg Phillips, 2000 Mules, The Pit</t>
  </si>
  <si>
    <t>We The Media</t>
  </si>
  <si>
    <t>https://extremismterms.adl.org/glossary/we-media</t>
  </si>
  <si>
    <t>We The Media is a popular Telegram channel run by a collective of QAnon influencers. It was created in January 2021 as a way for QAnon influencers to quickly rebuild their followings after Twitter banned thousands of QAnon users from its platform following the January 6 Capitol insurrection.</t>
  </si>
  <si>
    <t>Maniac Murder Cult (MKY, MKU, MMC)</t>
  </si>
  <si>
    <t>https://extremismterms.adl.org/glossary/maniac-murder-cult-mky-mku-mmc</t>
  </si>
  <si>
    <t>Right Wing (White Supremacy), Neo-Nazism</t>
  </si>
  <si>
    <t>Maniac Murder Cult (also known as MKY, MKU and MMC) is a violent, neo-Nazi accelerationist group based in Russia and Ukraine. Founded by Ukrainian national Yegor Krasnov (also known as ‚ÄúManiac‚Äù) around 2017-2018, the group is known for its highly stylized propaganda videos and images of its members attacking homeless individuals. While MKY has claimed responsibility for more than 50 murders, its claims remain unverified.¬†Following Krasnov‚Äôs arrest by Ukrainian authorities in 2020, Georgian national Michail Chkhikvishvili, known as ‚ÄúCommander Butcher‚Äù online, emerged as MKY‚Äôs new leader. Chkhikvishvili has authored a series of instructional and ideological guides, including various editions of the ‚ÄúHaters Handbook,‚Äù which are frequently circulated in 764 and accelerationist spaces online. MKY and Commander Butcher‚Äôs violent propaganda have inspired multiple attacks around the globe, including the 2025 Antioch High School shooting, the 2024 Eski≈üehir mosque stabbing and a 2022 stabbing attack in Romania.Chkhikvishvili was arrested in Moldova in July 2024 on U.S. charges related to soliciting hate crimes and acts of mass violence in New York City. He was extradited to the United States in May 2025, where he is currently awaiting trial. Since Chkhikvishvili‚Äôs arrest, several copycat groups mimicking MKY‚Äôs aesthetics have emerged on Telegram.</t>
  </si>
  <si>
    <t>Hate Club</t>
  </si>
  <si>
    <t>https://extremismterms.adl.org/glossary/hate-club</t>
  </si>
  <si>
    <t>Hate Club is a white supremacist group that is active primarily in Missouri and Ohio. The group was founded in October 2024 by former Blood Tribe member and Goyim Defense League (GDL) associate Anthony Altick following a dispute with Blood Tribe Ohio‚Äôs leadership. Like Blood Tribe and GDL, Hate Club falls within the ‚Äúhardcore‚Äù segment of the white supremacist movement, which rejects white supremacists who call for softer ‚Äúoptics,‚Äù instead opting to openly use neo-Nazi imagery like swastikas and Hitler salutes. The group is recognizable by their distinctive black clothing with red ‚Äúsiege‚Äù skull masks, often wielding black flags with red swastikas.Hate Club has held small but highly visible public demonstrations in Cincinnati, Columbus and St. Louis, during which members have violently clashed with counter-protestors, using megaphones to hurl antisemitic and racist slurs as well as other obscenities at community members.</t>
  </si>
  <si>
    <t>This group probably deserves its own backgrounder - very active, significant media attention, etc. (MLM)</t>
  </si>
  <si>
    <t>Hate Symbol??</t>
  </si>
  <si>
    <t>Sacred White Knights of the Ku Klux Klan (SWK)</t>
  </si>
  <si>
    <t>https://extremismterms.adl.org/glossary/sacred-white-knights-ku-klux-klan-swk</t>
  </si>
  <si>
    <t>The Sacred White Knights of the Ku Klux Klan (SWK) formed in September 2024, as an offshoot of the largely defunct Loyal White Nights of the Ku Klux Klan (LWK). Once one of the most active Klan groups in the United States, LWK has declined in both membership and activity in recent years due to leadership issues.¬†The group rebranding as SWK is likely an attempt to reenergize its membership, although SWK has had limited activity since its founding.</t>
  </si>
  <si>
    <t>Can we add this longer glossary entry of SWK to the top of the LWK backgrounder? I added this update to the LWK backgrounder in the spring, linking out to the glossary, but I think we could just add the SWK summary to the "update" section as well. (MLM)</t>
  </si>
  <si>
    <t>American Blackshirts</t>
  </si>
  <si>
    <t>https://extremismterms.adl.org/glossary/american-blackshirts</t>
  </si>
  <si>
    <t>Right Wing (White Supremacist)</t>
  </si>
  <si>
    <t>The American Blackshirts Movement is a white supremacist group active in the southern United States, primarily in Florida and Texas. Named after the paramilitary wing of the Italian fascist party of the 20th century, the group advocates for ‚ÄúAmerican fascism‚Äù and a strictly white Christian nation. Like their namesake, the American Blackshirts are intensely anti-immigrant, anti-LGBTQ+ and antisemitic.Since officially forming in October 2023, the group has held numerous demonstrations and distributed white supremacist propaganda. Members of the group have also engaged in ‚Äúcombative training drills‚Äù and committed acts of vandalism, spray painting white supremacist phrases and symbols onto buildings. The group‚Äôs logo, a fasces embedded in a stump, is meant to symbolize chopping ‚Äúthe tree of liberty back to its roots‚Äù to restore ‚Äúorder‚Äù and ‚Äúunity.‚Äù</t>
  </si>
  <si>
    <t>Pacific Northwest Wolfpack</t>
  </si>
  <si>
    <t>https://extremismterms.adl.org/glossary/pacific-northwest-wolfpack</t>
  </si>
  <si>
    <t>The Pacific Northwest (PNW) Wolfpack is the most active white supremacist, Norse paganist group in Washington State. Formed in 2016, PNW Wolfpack is a self-proclaimed ‚Äúconfederation of independent and local kindreds/clans‚Äù active primarily in the western part of the state. The group claims to offer ‚Äúregional support and structure‚Äù for Odinists in Washington, Idaho and Oregon. Since 2023, PNW Wolfpack has held regular fundraisers online to raise money for the construction of the group‚Äôs hof ‚Äì a meeting hall used for gatherings and rituals ‚Äì on private property in Elma, Washington. The PNW Wolfpack‚Äôs logo includes the Wolfsangel and a wolf‚Äôs head on a shield held by an eagle flanked by two more wolves. On the bottom banner are the words ‚ÄúFaith, Family, Folk‚Äù written in runic letters.</t>
  </si>
  <si>
    <t>may be defunct check</t>
  </si>
  <si>
    <t>Oath Keepers USA</t>
  </si>
  <si>
    <t>https://extremismterms.adl.org/glossary/oath-keepers-usa</t>
  </si>
  <si>
    <t>Right Wing (Anti-Government), Anti-government</t>
  </si>
  <si>
    <t>Founded in 2023, Oath Keepers USA is an offshoot of the¬†Oath Keepers, a right-wing anti-government extremist group within the¬†militia movement. The organization was formed by remaining members of the¬†Oath Keepers‚Äô Board of Directors and state leaders under the direction of Bobby Kinch, a retired detective who served as the Oath Keepers‚Äô former president and Utah state leader.While Oath Keepers USA claims it is a ‚Äúdistinct and separate legal entity‚Äù from the original group, it seeks to continue the original Oath Keepers‚Äô mission. Although Kinch claims Oath Keepers USA is not a militia, he admits they conduct firearms and medical training. The group has engaged in limited public activity since its creation.</t>
  </si>
  <si>
    <t>https://www.adl.org/resources/backgrounder/oath-keepers</t>
  </si>
  <si>
    <t>Earth First!</t>
  </si>
  <si>
    <t>https://extremismterms.adl.org/glossary/earth-first</t>
  </si>
  <si>
    <t>Earth First! is the environmentalist group from which the eco-terrorist group, Earth Liberation Front (ELF) evolved. Dave Foreman, a former lobbyist for the Wilderness Society and several other activists influenced by more militant organizations, founded Earth First! around 1980. The group combined environmental protection with a form of spirituality called "deep ecology," popularized by Norwegian philosopher and mountain climber Arne Naess. Members regarded their activities as not merely political but also spiritual. During the 1980s, Earth First! activists performed direct actions ranging from tree-sitting to tree spiking - hammering a long nail that can create shrapnel injuries when cut by logging tools such as a chainsaw. The methods of Earth First! proved too moderate for some of its members, and in 1992 a small group met in England to form ELF.</t>
  </si>
  <si>
    <t>Antifa</t>
  </si>
  <si>
    <t>https://extremismterms.adl.org/glossary/antifa</t>
  </si>
  <si>
    <t>A decentralized, leaderless movement composed of loose collections of groups, networks and individuals who are vigorously opposed to fascism, and focused on countering right-wing extremists both online and on the ground. While some antifa adherents have engaged in violence or vandalism at rallies and events, this is not the norm, despite disinformation campaigns that suggest otherwise.</t>
  </si>
  <si>
    <t>Stop Huntingdon Animal Cruelty (SHAC)</t>
  </si>
  <si>
    <t>https://extremismterms.adl.org/glossary/stop-huntingdon-animal-cruelty-shac</t>
  </si>
  <si>
    <t>Stop Huntingdon Animal Cruelty (SHAC) was an international animal rights campaign formed in 1998 after the BBC broadcasted a graphic documentary alleging mistreatment of animals by Huntingdon Life Sciences (HLS), a British-based research firm. In response, outraged animal rights activists in Britain began to pressure financial institutions associated with HLS to drop their support of the company and thereby force HLS to discontinue using animals in its tests. The campaign borrowed from the ideology and tactics of the Animal Liberation Front (ALF) and the Earth Liberation Front (ELF). SHAC quickly become a transatlantic cause among radical animal rights activists, with chapters in Germany, Italy, Portugal and the United States. To date, its activists have claimed responsibility for several bombings and dozens of acts of vandalism and harassment in both the U.S. and Europe.</t>
  </si>
  <si>
    <t>The Earth Liberation Front (ELF)</t>
  </si>
  <si>
    <t>https://extremismterms.adl.org/glossary/earth-liberation-front-elf</t>
  </si>
  <si>
    <t>The Earth Liberation Front (ELF) is the environmental counterpart to the Animal Liberation Front (ALF). Modeled after ALF, ELF consists of "autonomous groups of people" who are "anonymous not only to the public but also to one another," according to its website. The movement aims to "inflict economic damage on those profiting from the destruction and exploitation of the natural environment" and "to reveal and educate the public on the atrocities committed against the earth and all species that populate it." Acts of property destruction are considered by ELF to be non-violent because no human beings or animals are targeted. ELF evolved out of Earth First!, an ardent environmentalist group founded, in its own words, "in response to a lethargic, compromising, and increasingly corporate environmental community." ELF first claimed sole responsibility for an attack in the U.S. in 1997 and actively engaged in criminal activity into the early 2000s. While the movement is less active today, criminal incidents associated with the movement still occur sporadically.</t>
  </si>
  <si>
    <t>Al-Awda: The Palestine Right to Return Coalition</t>
  </si>
  <si>
    <t>https://extremismterms.adl.org/glossary/al-awda-palestine-right-return-coalition</t>
  </si>
  <si>
    <t>Left Wing, Antisemitism</t>
  </si>
  <si>
    <t>Al-Awda (also spelled ‚ÄúAl Awda‚Äù), The Palestine Right to Return Coalition (PRRC), is an extreme anti-Zionist organization with a long history of espousing antisemitic, anti-Zionist, and pro-terror rhetoric. On both social media and at in-person events, the group, as well as its chapters and leaders, has expressed support for the 10/7 attack on Israel, labeled Israelis "a cult of torturers," praised 10/7 architect Yahya Sinwar as a "hero" and "legend," held a vigil to mourn the late Hamas leader¬†Ismail Haniyeh and called to ‚Äúdismantle every institution of Zionist violence in the world.‚ÄùFounded in 2000 in response to the peace negotiations between the Israeli government and the Palestinian Authority, Al-Awda‚Äôs stated goal is to advocate for the rights of Palestinian refugees. Its Points of Unity statement posits that racism and discrimination are ‚Äúinherent in Zionist ideology.‚Äù The group has been an organizer of anti-Israel activism across the United States for over two decades, with chapters in New York, Ohio, Florida, Texas, Oregon and California.Some active members of Al-Awda include extreme anti-Zionists Lamis Deek and Abbas Hamideh. Previous members of Al-Awda‚Äôs National Board include extreme anti-Zionists Charlotte Kates of Samidoun and Nerdeen Kiswani of Within Our Lifetime (WOL).</t>
  </si>
  <si>
    <t>https://www.adl.org/resources/backgrounder/abbas-hamideh</t>
  </si>
  <si>
    <t>Masar Badil</t>
  </si>
  <si>
    <t>https://extremismterms.adl.org/glossary/masar-badil</t>
  </si>
  <si>
    <t>Masar Badil, also known as the Palestinian Alternative Revolutionary Path Movement, is an extreme anti-Zionist international organization that officially launched in November 2021, describing itself as a ‚Äúradical popular political movement established by Palestinian, Arab and international will ... and a popular resistance movement confronting Zionist colonialism.‚Äù¬†The group has hosted webinars with¬†Hamas¬†members including Basem Naim, Osama Hamdan and Ghazi Hamad. In September 2024, Masar Badil hosted a virtual live interview with Dr. Sami Abu Zuhri, a senior Hamas official, and Charlotte Kates, the international coordinator of¬†Samidoun, an extreme anti-Zionist organization formally designated by the U.S. and Canada as the fundraising arm of the U.S.-designated terror group the¬†Popular Front for the Liberation of Palestine (PFLP).Masar Badil also separately hosted a webinar with a member of the¬†Houthis, a U.S.-designated terror group in Yemen backed by the Iranian regime.Masar Badil frequently coordinates with Samidoun, co-hosting events and sharing social media announcements. Both groups also share at least one leader in common, Khaled Barakat, who is sanctioned by the United States Office of Foreign Assets Control (OFAC) as a Specially Designated National (SDN) for having acted or purported to act for or on behalf of, directly or indirectly, the PFLP. Other members of Masar Badil‚Äôs executive committee include Jaldia Abubakra, a Samidoun activist located in Spain, and Mohammed Khatib, the Belgium-based Europe coordinator of Samidoun.</t>
  </si>
  <si>
    <t>https://www.adl.org/resources/article/masar-badil-what-you-need-know</t>
  </si>
  <si>
    <t>Samidoun</t>
  </si>
  <si>
    <t>https://extremismterms.adl.org/glossary/samidoun</t>
  </si>
  <si>
    <t>Samidoun-Palestinian Prisoner Solidarity Network is a self-described solidarity network for Palestinian prisoners in Israeli prisons. In October 2024, the U.S. and Canadian governments sanctioned Samidoun as a "sham charity that serves as an international fundraiser for The Popular Front for The Liberation of Palestine" (PFLP), a designated terror group in the U.S., Canada, the European Union, Israel, and Japan.Israel designated Samidoun as a terror organization and an arm of the PFLP in 2021. Germany banned Samidoun's operations in October 2023, following the October 7 Hamas-led attack on southern Israel. Samidoun also operates a chapter in Iran.Samidoun first emerged in 2011 following a coordinated hunger strike by Palestinian prisoners led by the PFLP. Its chapters in the U.S., Canada and other Western countries have campaigned on behalf of Palestinians imprisoned in those nations, including those arrested or convicted for alleged involvement in terror activity or ‚Äúdirect actions" for Palestinians. Extreme anti-Zionist rhetoric, including calls to eradicate Zionism, and explicit support for ‚Äúarmed resistance‚Äù are core features of Samidoun events and advocacy.Samidoun is a fiscally sponsored project of the Alliance for Global Justice, an Arizona-based organization that serves as a fiscal sponsor to several progressive and left-wing initiatives.</t>
  </si>
  <si>
    <t>https://www.adl.org/resources/article/samidoun-what-you-need-know</t>
  </si>
  <si>
    <t>Al-Aqsa Martyrs‚Äô Brigades (AAMB)</t>
  </si>
  <si>
    <t>https://extremismterms.adl.org/glossary/al-aqsa-martyrs-brigades-aamb</t>
  </si>
  <si>
    <t>Left Wing</t>
  </si>
  <si>
    <t>A coalition of Palestinian militant organizations formerly aligned with the Fatah political party, the Al-Aqsa Martyrs‚Äô Brigades (AAMB) formed in 2000 amid the¬†Second Intifada and uses violent tactics to attack Israeli military forces and civilians around Jerusalem and the West Bank, and in the Gaza Strip prior to the 2005 Disengagement.The coalition claimed responsibility for a number of attacks against Israeli security forces in 2022 amid an Israeli military crackdown on terror activity in the West Bank.The Al-Aqsa Martyrs‚Äô Brigades claimed to have participated in the Hamas-led October 7, 2023 attack across southern Israel.It is a designated terror organization in the U.S., Canada, and the European Union.</t>
  </si>
  <si>
    <t>Mentioned here briefly, https://www.adl.org/resources/article/fight-until-victory-speakers-guests-declare-full-support-terrorism-peoples</t>
  </si>
  <si>
    <t>National Students for Justice in Palestine (NSJP)</t>
  </si>
  <si>
    <t>https://extremismterms.adl.org/glossary/national-students-justice-palestine-nsjp</t>
  </si>
  <si>
    <t>National Students for Justice in Palestine, often referred to as NSJP, is a national network of anti-Zionist student groups on university campuses across the U.S. The SJP network includes individual SJP campus chapters, of which there are approximately 275 (mainly in the U.S. and Canada), and "informal" affiliates (other local campus organizations like Palestine Solidarity Committee, or PSC). They are often the lead organizers for the Boycott, Divestment, and Sanctions (BDS) movement on campus.Many SJP chapters have called for "Zionists‚Äù‚Äîthose who believe in the Jewish people's right to self-determination in their ancestral homeland or have connections to Israel‚Äîto be removed from campus spaces or universities altogether. This is tantamount to calling for the expulsion of the vast majority of American Jewish students, who overwhelmingly identify a relationship with Israel as a core element of their Jewish identities. Many SJP chapters have also shared explicit pro-Hamas or other FTO (Foreign Terrorist Organizations) rhetoric on social media, including through the promotion of FTO statements and images featuring members of FTOs, at times with weapons. Individual SJP chapters and National SJP have justified and/or glorified the Hamas-led October 7 attack on Israel. They were also a central organizer of the 2024 anti-Israel student encampments across U.S. universities and colleges.</t>
  </si>
  <si>
    <t>Palestine Liberation Front</t>
  </si>
  <si>
    <t>https://extremismterms.adl.org/glossary/palestine-liberation-front</t>
  </si>
  <si>
    <t>The Palestine Liberation Front (also known as the Palestinian Liberation Front) was founded in 1977 when it split from the PFLP ‚Äì General Command over its support for Syria in the Lebanese civil war. The group is best known to Americans for its 1985 hijacking of the Achille Lauro cruise ship, during which the hijackers killed wheelchair-bound Jewish passenger Leon Klinghoffer. In the late 1980s, the group was folded into the Palestine Liberation Organization (PLO).Despite publicly agreeing not to use terrorism in the 1990s, it still claimed attacks against Israel during the 2000s. The group has not claimed an attack since 2010, according to the Office of the Director of National Intelligence (DNI).PLF is designated a terrorist organization by the U.S. and Canada.</t>
  </si>
  <si>
    <t>Palestinian Youth Movement (PYM)</t>
  </si>
  <si>
    <t>https://extremismterms.adl.org/glossary/palestinian-youth-movement-pym</t>
  </si>
  <si>
    <t>Palestinian Youth Movement (PYM) is an anti-Zionist activist organization with chapters across the U.S. and Canada that has expressed support for U.S.-designated Foreign Terrorist Organizations (FTOs) such as the Popular Front for the Liberation of Palestine (PFLP), Hamas and the Islamic Republic of Iran‚Äôs Islamic Revolutionary Guard Corps (IRGC). PYM frequently engages in inflammatory rhetoric about Zionism, including calls to stigmatize and ban Zionists from community spaces.¬† The group often partners with Students for Justice in Palestine (SJP) and Jewish Voice for Peace (JVP) for anti-Israel rallies and other events. At several Washington, D.C. rallies sponsored by PYM shortly after the October 7 massacre, a banner was seen reading, "Zionism is fascism, Colonizers out of DC."</t>
  </si>
  <si>
    <t>https://www.adl.org/resources/article/palestinian-youth-movement-pym-five-things-know</t>
  </si>
  <si>
    <t>Popular Front for the Liberation of Palestine ‚Äì General Command (PFLP-GC)</t>
  </si>
  <si>
    <t>https://extremismterms.adl.org/glossary/popular-front-liberation-palestine-general-command-pflp-gc</t>
  </si>
  <si>
    <t>The Damascus-based Popular Front for the Liberation of Palestine-GC (PFLP-GC) splintered from the¬†PFLP in 1968 due to differences between PFLP head George Habash and Ahmad Jibril, who founded the new group and was committed to armed struggle rather than political engagement with other Palestinian factions or a negotiated settlement with Israel. Funded and materially supported by Syria, the PFLP-GC committed several international terrorist attacks in the 1970s. In the 1980s, the organization primarily targeted U.S. and West German interests in Europe, although its fighters also took part in fighting the 1982 Israeli invasion of Lebanon.In the 1990s, the group carried out terror attacks in Israel, the West Bank and the Gaza Strip. It has not claimed responsibility for any attacks since 2015, but it did fight alongside Syrian regime forces during the Syrian civil war until at least 2020,¬†according to the Office of the Director of National Intelligence (DNI). Jibril died in 2021.The group‚Äôs military wing ‚Äì the Jihad Jibril Brigades, named after Jibril‚Äôs son ‚Äì claimed to have participated in the Hamas-led October 7, 2023 terror attack in Israel.The PFLP-GC is designated a terrorist organization by the U.S., Canada, and the European Union.</t>
  </si>
  <si>
    <t>The Act Now to Stop War and End Racism (ANSWER) Coalition</t>
  </si>
  <si>
    <t>https://extremismterms.adl.org/glossary/act-now-stop-war-and-end-racism-answer-coalition</t>
  </si>
  <si>
    <t>The anti-Israel International Action Center, an anti-imperialist and anti-capitalist organization founded in 1992 by former U.S. Attorney General Ramsey Clark, established the Act Now to Stop War and End Racism (ANSWER) Coalition in 2001 to organize against the U.S. war in Afghanistan following 9/11.ANSWER describes itself as an ‚Äúanti-war" organization, though its leadership has expressed support for U.S. designated terror groups Hezbollah, Hamas and the Houthis. The organization has also associated with Hezbollah and the Popular Front for the Liberation of Palestine (PFLP).ANSWER‚Äôs protests against the U.S. wars in Afghanistan and Iraq often included signs that condemned Israel and praised anti-Israel terror groups. ANSWER has chapters nationwide that convene rallies whose main theme is opposition to Israel.Since the Hamas-led terror attack on October 7, 2023, ANSWER has helped organize hundreds of protests against Israel at which antisemitic sentiments and support for terror groups, including Hamas, are openly expressed. On October 8, 2023, ANSWER co-organized a widely condemned rally in New York City‚Äôs Times Square that celebrated the Hamas attack.¬†ANSWER is not a tax-exempt organization but receives much of its funding through a fiscal sponsor, the Progress Unity Fund (PUF). PUF is a San Francisco-based 501(c)(3) organization founded in 2001 whose self-described mission is ‚Äúto provide educational programs, seminars, and public forums on the causes and effects of conflicts around the world and exploration of peaceful alternatives to war and militarism."</t>
  </si>
  <si>
    <t>Frequently mentioned here: https://www.adl.org/resources/backgrounder/party-socialism-and-liberation-psl</t>
  </si>
  <si>
    <t>https://extremismterms.adl.org/glossary/party-socialism-and-liberation-psl</t>
  </si>
  <si>
    <t>The Party for Socialism and Liberation (PSL) is an anti-capitalist socialist party in the United States that was established in 2004 when its members splintered from the Workers World Party. PSL advocates for socialism to replace capitalism and incorporates extreme anti-Zionism as a core part of its organizing platform. PSL has dozens of affiliated chapters nationwide and regularly collaborates with leading organizations in the U.S. anti-Israel movement. Its activities include organizing protests and nominating candidates for local and federal elections.¬†PSL frequently expresses extreme anti-Zionist and pro-terror views. In the eighteen months after Hamas‚Äôs October 7, 2023, terror attack on Israel, for example, PSL sponsored or co-sponsored over 1,700 anti-Israel rallies around the U.S.; the majority of these rallies featured antisemitic rhetoric, including expressions of support for Hamas‚Äôs attack, belligerent calls to ‚Äúsmash Zionism,‚Äù paraphernalia of U.S.-designated terror groups and more.¬†</t>
  </si>
  <si>
    <t>The Popular Front for the Liberation of Palestine</t>
  </si>
  <si>
    <t>https://extremismterms.adl.org/glossary/popular-front-liberation-palestine</t>
  </si>
  <si>
    <t>The Popular Front for the Liberation of Palestine (PFLP) is a Marxist-Leninist Palestinian terrorist group with ties to the Iranian regime that is often praised by anti-Israel activists, including those affiliated with Students for Justice in Palestine (SJP) and Jewish Voice for Peace (JVP), Palestinian Youth Movement (PYM) and Samidoun. The PFLP was founded in 1967 by a group of radical socialists led by George Habash and became infamous in the 1970s for airplane hijackings. PFLP member Leila Khaled, who participated in the hijacking of two civilian airliners (in 1969 and 1970), became particularly well-known and is venerated today by many anti-Israel activists. The PFLP also took part in the October 7th terror attacks, including the taking of hostages, and the group is currently aligned with Hamas in the war.¬†¬†The PFLP opposes Israel‚Äôs right to exist and has been designated a terrorist organization by the United States, Israel, Canada, the European Union, and Japan. A PFLP member carried out the assassination in 2001 of Israeli tourism minister Rehavam Zeevi, and the terror group participated in a number of suicide bombing attacks against Israelis throughout the Second Intifada. In 2014, PFLP claimed responsibility for two terrorists who killed four worshippers in a Jerusalem synagogue.¬†¬†</t>
  </si>
  <si>
    <t>U.S. Palestinian Community Network (USPCN)</t>
  </si>
  <si>
    <t>https://extremismterms.adl.org/glossary/us-palestinian-community-network-uspcn</t>
  </si>
  <si>
    <t>USPCN (U.S. Palestinian Community Network) is a prominent and radical anti-Israel activist group founded in 2006 that has on numerous occasions expressed support for terror and promoted antisemitic tropes. The organization has chapters and members across the country, including in Chicago, Detroit, Milwaukee, Los Angeles and the Bay Area. They oppose normalization of any kind with Israel or‚Äù Zionists.‚Äù¬† Their activities range from co-hosting rallies and demonstrations, social media persuasion campaigns and boycott campaigns. USPCN often partners with a variety of other anti-Zionist organizations, including Students for Justice in Palestine, (SJP) and Jewish Voice for Peace (JVP) for events and campaigns.¬†USPCN‚Äôs 2023 Boycott Sadaf campaign is notable for its anti-Mizrahi tropes and antisemitism, accusing the Jewish-owned Sadaf company of ‚Äúsneaky ways‚Äù and being ‚ÄúZionist profiteers.‚Äù The Sadaf company, which sells Middle Eastern food products such as preserved lemons and sumac, is owned and operated by the Los Angeles based Persian Jewish Spoofer family, who emigrated to the United States from Iran in 1980s.¬†¬†Other instances of the group espousing highly concerning rhetoric include co-founder Monadel Herzallah stating during a plenary at the 2024 People‚Äôs Conference that ‚Äúthe Zionist movement came with a purpose. They are ‚Äî they want to be ‚Äî in control of all resources, you know. Congress, senators and everything like that.‚Äù At some USPCN cosponsored rallies, support for terrorism, and specifically the October 7 attack has been expressed.¬† USPCN also called the 10/7 attacks a ‚Äúself-defense operation‚Äù in a press release posted on October 7.¬†¬†One of Chicago chapter founding members is Rasmea Odeh, who was convicted in an Israeli court in 1970 for her alleged involvement in a 1969 Jerusalem supermarket bombing that killed Israeli college students Leon Kanner and Eddie Joffe. She was deported from the U.S. in 2017 for lying about whether she had ever been arrested, charged with a crime, convicted or imprisoned her conviction on official immigration forms.¬†¬†USPCN is a due paying organization, with members paying annual dues of $50 per person, or $25 for students and low-income members.¬†</t>
  </si>
  <si>
    <t>https://www.adl.org/resources/article/who-are-primary-groups-behind-us-anti-israel-rallies</t>
  </si>
  <si>
    <t>Unity of Fields, formerly known as Palestine Action U.S</t>
  </si>
  <si>
    <t>https://extremismterms.adl.org/glossary/unity-fields-formerly-known-palestine-action-us</t>
  </si>
  <si>
    <t>Unity of Fields, formerly known as Palestine Action U.S., is a far-left anti-Zionist ‚Äúdirect action network‚Äù that engages in and/or promotes protests and defacement of private property belonging to organizations and individuals it considers supportive of Israel or ‚ÄúZionism.‚Äù Its stated mission is disrupting and ‚Äúdismantling zionism [sic] and US [sic] imperialism.‚ÄùUnity of Fields changed its name in August 2024 to better reflect its priorities, namely actions the group plans to take to create ‚Äúhigher unity against the forces of imperialism, zionism [sic] and fascism.‚Äù ¬†The name ‚ÄúUnity of Fields‚Äù is a reference to the efforts of various Palestinian terrorist or Palestinian-aligned terrorist groups and organizations to coordinate activities since the May 2021 Israel-Hamas conflict. It may also refer to the numerous ‚Äúfronts‚Äù or ‚Äúfields‚Äù of warfare that Israel must contend with.¬†The group distributes a variety of toolkits and materials to instruct followers on how and why to undertake disruptive ‚Äúdirect actions,‚Äù such as blockading entrances of companies, breaking and entering, spray-painting buildings with converted fire extinguishers and causing harm to infrastructure.The group usually targets weapons manufacturers with connections to Israel, such as Elbit Systems, though it also encourages the vandalism of companies such as Starbucks and McDonald's for their perceived associations with Israel and/or Zionism.Palestine Action U.S. was the U.S.-based chapter of Palestine Action, which is active in the United Kingdom.¬†</t>
  </si>
  <si>
    <t>https://www.adl.org/resources/article/unity-fields-what-you-need-know</t>
  </si>
  <si>
    <t>Abu Sayyaf Group/ISIS Philippines</t>
  </si>
  <si>
    <t>https://extremismterms.adl.org/glossary/abu-sayyaf-groupisis-philippines</t>
  </si>
  <si>
    <t>The Abu Sayyaf Group (ISIS Philippines), also referred to as ISIS East Asia, is a conglomeration of smaller Filipino Islamist groups which pledged allegiance to ISIS starting in 2014. The groups have attracted Western fighters, including from the United States, especially after ISIS Philippines seized parts of the city of Marawi in Mindanao Province, Philippines in June 2017. Though ISIS's control of the city was eliminated after just a few months, the Marawi siege served as a disturbing example of the organization's ability to export its governance model to affiliated groups.</t>
  </si>
  <si>
    <t>Afghan Mujahideen</t>
  </si>
  <si>
    <t>https://extremismterms.adl.org/glossary/afghan-mujahideen</t>
  </si>
  <si>
    <t>The Afghan mujahideen were the religiously-motivated insurgents who banded together to oppose the Soviet invasion of Afghanistan in 1979. Most of the major leaders in Islamist extremist groups initially trained, fought and rose to prominence during this fighting. It is also the modern origin of the "global jihad" movement, a concept some extremist leaders draw upon to encourage international support for locally-focused Islamist extremist groups and insurgencies.</t>
  </si>
  <si>
    <t>Al Qaeda</t>
  </si>
  <si>
    <t>https://extremismterms.adl.org/glossary/al-qaeda</t>
  </si>
  <si>
    <t>Founded by Osama bin Laden in 1988 in Peshawar, Pakistan, Al Qaeda eventually became the leader of the global jihadist movement. After orchestrating the September 11, 2001 attacks on the Twin Towers in New York City, counterterrorism pressure from the U.S. Global War on Terror and the U.S.'s international partners severely weakened the group and diminished its ability to organize significant terror attacks. Nevertheless, Al Qaeda continues to work to reconfigure itself and threaten the U.S., Israel and the West.</t>
  </si>
  <si>
    <t>Al Qaeda in the Arabian Peninsula (AQAP)</t>
  </si>
  <si>
    <t>https://extremismterms.adl.org/glossary/al-qaeda-arabian-peninsula-aqap</t>
  </si>
  <si>
    <t>Al Qaeda in the Arabian Peninsula (AQAP) is an Al Qaeda affiliate group based in the Arabian Peninsula and was formed in January 2009. It operates primarily in Yemen and occasionally recruits from Saudi Arabia. Of all the Al Qaeda affiliates, AQAP has been the most effective and dedicated to projecting attacks against the West. Mohammed Saeed al Shamrani, who committed the Pensacola Naval Air Station shooting in December 2019, was reportedly recruited and radicalized by AQAP.</t>
  </si>
  <si>
    <t>Mentioned here: https://www.adl.org/sites/default/files/documents/assets/pdf/combating-hate/Post-911-Islamic-Extremism-in-the-US.pdf, https://www.adl.org/resources/article/new-isis-and-al-qaeda-propaganda-prioritize-us-and-jews-targets</t>
  </si>
  <si>
    <t>Al Qaeda in the Indian Subcontinent (AQIS)</t>
  </si>
  <si>
    <t>https://extremismterms.adl.org/glossary/al-qaeda-indian-subcontinent-aqis</t>
  </si>
  <si>
    <t>AQIS (Al Qaeda in the Indian Subcontinent) is based in Pakistan and Afghanistan and formed from a collection of pre-existing Islamist groups in 2014. It mainly targets Muslims living in India and Pakistan, but also releases English-language media.</t>
  </si>
  <si>
    <t>Al Shabaab</t>
  </si>
  <si>
    <t>https://extremismterms.adl.org/glossary/al-shabaab</t>
  </si>
  <si>
    <t>Al Shabaab is an Al Qaeda-affiliated Islamist terrorist organization based in Somalia. Al Shabaab is a brutal terrorist group which controls large swathes of the country and frequently projects attacks into neighboring countries, including Kenya and Uganda. Its precursor organization was founded in the mid-1990s, but al Shabaab did not affiliate with Al Qaeda until 2012. Although al Shabaab does not actively coordinate attacks in the West, it is deeply anti-Western in its rhetoric and ideology and has inspired terror attacks in the West while also recruiting Americans to travel to Somalia. There was a particularly active network of al Shabaab recruiters targeting the Somali community in Minnesota, which resulted in a number of convictions for individuals attempting to support a foreign terrorist organization.</t>
  </si>
  <si>
    <t>Mentoned here, the report is archived, unfortunately, https://www.adl.org/resources/news/al-shabaabs-american-recruits</t>
  </si>
  <si>
    <t>https://extremismterms.adl.org/glossary/hamas</t>
  </si>
  <si>
    <t>Harakat al-Muqawama al-Islamiyya (HAMAS or Hamas) is an Iran-backed Islamist terror group formed during the¬†First Intifada in 1987. The Palestinian group is¬†avowed to the destruction of the State of Israel and aims to establish an independent Islamic Palestinian state through militant action. Hamas has ruled the Gaza Strip since 2007, following the violent overthrow of its rival, Fatah, and two years after Israel‚Äôs Disengagement from Gaza in 2005.¬†Hamas also¬†operates in the West Bank and has a presence in Palestinian refugee camps in Lebanon. Its leaders have been based in Qatar, Turkey, Syria and Egypt. Over the years, the group has carried out suicide bombings of civilian sites, kidnappings, shootings and car-ramming attacks against military forces and civilians.¬†In its largest attack to date, Hamas-led terrorists killed about 1,200 people in a multi-pronged terror onslaught on southern Israel on October 7, 2023, and abducted over 250 hostages, mostly civilians including young children and an infant.¬†The U.S., Canada, the European Union, the U.K. and others designate Hamas as a terrorist organization.</t>
  </si>
  <si>
    <t>https://adl.org/resources/backgrounder/hamas</t>
  </si>
  <si>
    <t>https://extremismterms.adl.org/glossary/hezbollah</t>
  </si>
  <si>
    <t>Hezbollah (‚ÄúParty of God‚Äù) is a Shia terrorist organization based primarily in Lebanon, where it also maintains a powerful domestic political power base.¬† The purpose of Hezbollah‚Äôs existence is to pose a constant existential threat to Israel on behalf of the Islamic Republic of Iran, which funds and arms its Lebanese proxy. Hezbollah was founded with the help of the Iranian Revolutionary Guard Corp (IRGC) which sent forces to Lebanon in 1982 amid the civil war. Hezbollah is also opposed to American influence across the Middle East.¬†The group has carried out attacks around the world including in Lebanon, Israel, Europe, Argentina, Kuwait and Saudi Arabia. Hezbollah agents have been arrested for plotting attacks in the U.S., and have even been caught trying to enter the U.S. illegally through the southern border.Following Hamas‚Äôs October 7, 2023 terror attack on Israel, Hezbollah joined the fighting and began launching rockets and attacks at northern areas across Israel. In late September 2024, the group‚Äôs longtime leader, Hassan Nasrallah, and several other leading figures were killed in an airstrike attributed to Israel on Hezbollah‚Äôs headquarters outside Beirut.Hezbollah is designated as a terrorist entity by 22 countries, including the United States, United Kingdom, Canada, Germany, The Netherlands, Colombia and Argentina. The European Union, the Arab League and the Gulf Cooperation Council have also declared Hezbollah‚Äôs military wing a terrorist group.</t>
  </si>
  <si>
    <t>https://adl.org/resources/backgrounder/hezbollah</t>
  </si>
  <si>
    <t>Holy Land Foundation</t>
  </si>
  <si>
    <t>https://extremismterms.adl.org/glossary/holy-land-foundation</t>
  </si>
  <si>
    <t>The Holy Land Foundation was a Texas-based charity whose five founding officers were sentenced in May 2009 to between 15 and 65 years in prison for funneling over $12 million to Hamas.</t>
  </si>
  <si>
    <t>Islamic State Hacking Division (ISHD)/ United Cyber Caliphate</t>
  </si>
  <si>
    <t>https://extremismterms.adl.org/glossary/islamic-state-hacking-division-ishd-united-cyber-caliphate</t>
  </si>
  <si>
    <t>The Islamic State Hacking Division (ISHD), also known as the United Cyber Caliphate, is an umbrella name for a number of online hacking groups supportive of ISIS. Its first operations were against U.S. websites in January 2015. It is unlikely that ISIS central leadership has any direct involvement or control over the group, but ISIS has acknowledged the group as supporters of their mission. Though now largely inactive, it published a number of "kill lists" including the personal information of American military personnel and defaced websites which criticized ISIS.</t>
  </si>
  <si>
    <t>Justin: I cannot find a URL to be directed to</t>
  </si>
  <si>
    <t>https://extremismterms.adl.org/glossary/palestinian-islamic-jihad</t>
  </si>
  <si>
    <t>Palestinian Islamic Jihad (PIJ), also known as Palestine Islamic Jihad, is a radical Islamist extremist organization inspired by the Iranian revolution of 1979. It was established by Palestinian students in Egypt who were admirers of the 1979 Iranian Revolution and the Muslim Brotherhood. The group is dedicated to the violent destruction of Israel and the unification of the Muslim world under an Islam "purified" of modern Western elements. Unlike the larger and better-funded¬†Hamas, Palestinian Islamic Jihad does not manage social welfare programs¬†and does not engage in governance practices.In the 2000s, it launched deadly attacks against Israeli civilians and military forces, sometimes using women and children as suicide bombers. Like Hamas, it receives¬†support from Iran and its Lebanese proxy Hezbollah. The terror group participated in the Hamas-led October 7 attack on southern Israel and claims to have abducted¬†about 30 of the approximately 250 hostages taken that day. PIJ has¬†released several propaganda videos of Israeli hostages.</t>
  </si>
  <si>
    <t>https://adl.org/resources/backgrounder/palestinian-islamic-jihad</t>
  </si>
  <si>
    <t>Sabiqun</t>
  </si>
  <si>
    <t>https://extremismterms.adl.org/glossary/sabiqun</t>
  </si>
  <si>
    <t>Sabiqun is an antisemitic Muslim group that advocates for the creation of a global Islamic state that would abolish all "man-made" forms of governance. Arabic for "vanguard," Sabiqun was founded by Imam Abdul Alim Musa, the head of the Masjid Al-Islam mosque in Washington, D.C.</t>
  </si>
  <si>
    <t>https://adl.org/resources/backgrounder/sabiqun-and-anti-semitism-campus</t>
  </si>
  <si>
    <t>Virgina Jihad Network</t>
  </si>
  <si>
    <t>https://extremismterms.adl.org/glossary/virgina-jihad-network</t>
  </si>
  <si>
    <t>The Virginia Jihad Network was composed of nine men from northern Virginia in the early-to-mid 2000s who were convicted of attempting to provide material support to terrorist groups, including the Taliban and Lakshar-e-Taiba. Some of the men also traveled to Pakistan to attend an LeT training camp.</t>
  </si>
  <si>
    <t>Boko Haram</t>
  </si>
  <si>
    <t>https://extremismterms.adl.org/glossary/boko-haram</t>
  </si>
  <si>
    <t>Boko Haram is an Islamist group founded in 2004 in Nigeria by Mohammed Yusuf. Originally dedicated to "purifying" the region from Western influence, the group's name translates to "Western education is forbidden." The group is based in northeastern Nigeria, and its area of operations includes Niger, Chad and northern Cameroon. After Yusuf's death, the group was led by Abubakr Shekau, who oversaw an increase in the frequency and brutality of attacks. Shekau pledged allegiance to ISIS in 2016, but fell out with ISIS leadership over differences in beliefs and tactics. Shekau was killed in 2021 and Boko Haram has splintered, with some fighters joining ISIS's West Africa Province and others forming new factions of Boko Haram.</t>
  </si>
  <si>
    <t>https://lasvegas.adl.org/tragedy-in-sri-lanka-may-be-connected-to-isiss-global-influence/</t>
  </si>
  <si>
    <t>Islamic Revolutionary Guard Corps (IRGC)</t>
  </si>
  <si>
    <t>https://extremismterms.adl.org/glossary/islamic-revolutionary-guard-corps-irgc</t>
  </si>
  <si>
    <t>The Islamic Revolutionary Guard Corps (IRGC) is part of Iran‚Äôs armed forces, separate from the traditional military but complementary to it. The group is tasked with defending Iran‚Äôs revolutionary regime, which took power in 1979, and answers directly to Supreme Leader Ayatollah Ali Khamenei.¬†IRGC consists of multiple service branches, including the Quds Force, which serves as an external operations force and the operator of Iranian proxies and militant forces in the Middle East, including Lebanon, Yemen, Iraq and Syria.The IRGC is designated as a terror organization by the U.S. and Canada and has been sanctioned by the European Union.</t>
  </si>
  <si>
    <t>https://www.adl.org/resources/article/islamic-republic-iran-decades-long-record-promoting-antisemitism</t>
  </si>
  <si>
    <t>Islamic State-Sinai Province</t>
  </si>
  <si>
    <t>https://extremismterms.adl.org/glossary/islamic-state-sinai-province</t>
  </si>
  <si>
    <t>Islamic State-Sinai Province (also ISIS-Sinai Province and ISIS-Sinai) is an ISIS branch and active Salafi-jihadist terrorist group operating in Egypt. The group seeks to expand ISIS‚Äôs activities in the Sinai Peninsula. Since 2014, the group has carried out more than 500 attacks, primarily against Egyptian security forces, according to the Office of the Director of National Intelligence (DNI).</t>
  </si>
  <si>
    <t>Justin: I cannot fiund a URL to be directed to</t>
  </si>
  <si>
    <t>Kata‚Äôib Hezbollah</t>
  </si>
  <si>
    <t>https://extremismterms.adl.org/glossary/kataib-hezbollah</t>
  </si>
  <si>
    <t>Kata‚Äôib Hezbollah (also Kata‚Äôib Hizballah) is an Iraqi Shia militant group that seeks to institute an Iran-aligned government in Iraq, remove U.S. and coalition forces from the country and further Iranian interests in the region. KH has received support from Iran‚Äôs Islamic Revolutionary Guard Corps‚ÄìQuds Force, which has some influence over KH operations, and Lebanese Hezbollah. The group has been hostile towards the U.S. and its allies, spreading anti-US and pro-Iran propaganda in Iraq, as well as attacking U.S. personnel and facilities. KH¬†became an official part of Iraq‚Äôs security apparatus, the Popular Mobilization Forces (PMF), in 2016.Following the Hamas-led October 7, 2023 attack on Israel, Kata‚Äôib Hezbollah and other similar Iraq-based groups launched an estimated 100 attacks against US forces in Iraq and Syria, according to the Office of the Director of National Intelligence (DNI).</t>
  </si>
  <si>
    <t>https://www.adl.org/resources/article/vitriolic-reactions-arouris-killing-highlight-his-importance-iranian-regimes-axis</t>
  </si>
  <si>
    <t>Taliban</t>
  </si>
  <si>
    <t>https://extremismterms.adl.org/glossary/taliban</t>
  </si>
  <si>
    <t>The Taliban is an Islamist insurgent movement based in Afghanistan, which since August 2021 has assumed control of the country. Although the Taliban rarely directs attacks towards the West, it has frequently provided a safe haven for other extremist groups seeking to do so. It has a long history of misogyny, antisemitism, homophobia and violence towards religious minorities. The Taliban arose from mujahideen factions during the Soviet-Afghan War in the 1980s and took control of most of Afghanistan during the ensuing civil war, becoming the de facto rulers of the state and implementing an extreme and oppressive version of sharia law in the provinces it controlled. The Taliban also offered safe haven to Al Qaeda. After the 9/11 terror attacks by Al Qaeda against the United States, the U.S. launched an invasion of Afghanistan with the goal of eliminating Al Qaeda and toppling Taliban rule. It succeeded in the latter, but the Taliban reverted to insurgency, fighting the Afghan government and the U.S. for 20 years before U.S. withdrawal allowed the Taliban to regain control of Afghanistan.</t>
  </si>
  <si>
    <t>https://www.adl.org/resources/blog/amid-chaos-islamist-extremists-celebrate-talibans-success-afghanistan</t>
  </si>
  <si>
    <t>https://extremismterms.adl.org/glossary/goyim-defense-league</t>
  </si>
  <si>
    <t>The Goyim Defense League (GDL) is a loose network of individuals connected by their virulent antisemitism. GDL attracts a range of antisemites and white supremacists who are best known for their antisemitic stunts and schemes to troll or otherwise harass Jews. Members engage in antisemitic flyering and banner campaigns and lead the antisemitic "Name the Nose" tour in cities across the country. GDL operates GoyimTV, a video platform focused on antisemitic content.</t>
  </si>
  <si>
    <t>https://extremismterms.adl.org/glossary/national-socialist-front-nsf</t>
  </si>
  <si>
    <t>Founded in 2022, National Socialist Front (NSF), formerly known as NatSoc Florida, is a small, neo-Nazi group primarily based in northeast Florida. After rebranding as a national group in late 2023, NSF formed a new chapter on the central coast of California. NSF openly promotes antisemitism, fascism and white supremacy via online posts, in-person demonstrations and propaganda distributions. The group‚Äôs demonstrations and propaganda primarily target Jewish and LGBTQ+ communities.On October 23, 2024, Josh Nunes, leader of National Socialist Front (NSF) announced that NSF would dissolve as a group and members would merge with another white supremacist group, Patriot Front.</t>
  </si>
  <si>
    <t>https://adl.org/resources/backgrounder/national-socialist-front-nsf</t>
  </si>
  <si>
    <t>check Hate Symbols Database if they are still active</t>
  </si>
  <si>
    <t>https://extremismterms.adl.org/glossary/aryan-freedom-network-afn</t>
  </si>
  <si>
    <t>The Aryan Freedom Network (AFN) is a small but growing neo-Nazi group based in De Kalb, Texas, that promotes hardline white supremacist views and directs particular vitriol towards Jewish people, Black people and the LGBTQ+ community. AFN has been increasingly active since transitioning from a white supremacist networking site to a membership organization in January 2022, spreading white supremacist propaganda, holding anti-LGBTQ+ demonstrations and organizing private gatherings. The group claims to have chapters in 25 states.</t>
  </si>
  <si>
    <t xml:space="preserve">we have a backgrounder </t>
  </si>
  <si>
    <t>Empire State Stormers (ESS)</t>
  </si>
  <si>
    <t>https://extremismterms.adl.org/glossary/empire-state-stormers-ess</t>
  </si>
  <si>
    <t>Empire State Stormers (ESS) is a small, localized crew of antisemites, neo-Nazis and white supremacists who have crossover membership and affiliation with the Goyim Defense League network, the neo-Nazi National Socialist Movement and the Aryan Freedom Network. Since mid-2022, this crew has held small demonstrations, protested LGBTQ+ events and distributed GDL propaganda and banners in New York City and neighboring suburbs.</t>
  </si>
  <si>
    <t>Faithful Word Baptist Church</t>
  </si>
  <si>
    <t>https://extremismterms.adl.org/glossary/faithful-word-baptist-church</t>
  </si>
  <si>
    <t>Faithful Word Baptist Church is an Arizona church that is associated with the New Independent Fundamental Baptist (New IFB) movement. The church is led by Pastor Steven Anderson, who founded it in 2005. Anderson refers to Jews as the "synagogue of Satan" and his speeches contain additonal antisemitic rhetoric, Holocaust denial, mysogynistic, anti-Islam and anti-LGBTQ+ sentiments. He once stated "if you executed the homos like God recommends, you wouldn't have all this AIDS running rampant."</t>
  </si>
  <si>
    <t>Florida Nationalists</t>
  </si>
  <si>
    <t>https://extremismterms.adl.org/glossary/florida-nationalists</t>
  </si>
  <si>
    <t>The Florida Nationalists are a small neo-Nazi crew active in south Florida, where they distribute propaganda and stage small demonstrations. Established in early 2022, the Florida Nationalists distribute propaganda with white supremacist and antisemitic messages, as well as quick response (QR) codes which link to the group‚Äôs online content and other antisemitic and white supremacist sites. Their tagline, "14/96" refers to the 14 words and to the letters "I" and "F," meaning "in Florida."</t>
  </si>
  <si>
    <t>New Independent Fundamental Baptist (New IFB) movement</t>
  </si>
  <si>
    <t>https://extremismterms.adl.org/glossary/new-independent-fundamental-baptist-new-ifb-movement</t>
  </si>
  <si>
    <t>The New Independent Fundamental Baptist (New IFB) movement is a loose network of approximately 30+ independent churches concentrated in the U.S., connected by their belief in certain religious doctrines and a shared brand of deeply anti-LGBTQ+ and antisemitic teachings. Arizona-based pastor Steven Anderson founded the movement in 2005 after breaking from the traditional IFB movement; he remains the New IFB's most prominent figure. The New IFB movement is not affiliated with any mainstream Baptist denominations.</t>
  </si>
  <si>
    <t>Westboro Baptist Church</t>
  </si>
  <si>
    <t>https://extremismterms.adl.org/glossary/westboro-baptist-church</t>
  </si>
  <si>
    <t>The Westboro Baptist Church (WBC) is a Kansas-based homophobic and antisemitic hate group founded and originally led by Fred Phelps, Sr., with Phelps' family members making up much of the membership of the group. Though most of its activities are homophobic in nature, since April 2009, WBC has also targeted dozens of Jewish leaders and institutions around the U.S., including staging public protests and mailing a virulently antisemitic DVD in 2010. Other WBC targets include schools the group deems accepting of homosexuality; Catholic, Lutheran and other Christian denominations that WBC feels are heretical; and funerals for American soldiers killed in Iraq and Afghanistan, gay individuals and people murdered or killed in accidents like plane crashes.</t>
  </si>
  <si>
    <t>https://www.adl.org/resources/news/westboro-baptist-church-legacy-hate</t>
  </si>
  <si>
    <t>Committee for Open Debate on the Holocaust (CODOH)</t>
  </si>
  <si>
    <t>https://extremismterms.adl.org/glossary/committee-open-debate-holocaust-codoh</t>
  </si>
  <si>
    <t>The Committee for Open Debate on the Holocaust (CODOH) is a Holocaust denial organization. Its activities include hosting an online discussion forum and publishing a quarterly journal, titled Inconvenient History. CODOH was founded by Bradley Smith, who died in 2016. From 1987 to 2001, Smith ran CODOH's Campus Project, which placed ads in more than 350 student newspapers across the country encouraging students and professors to question the Holocaust.</t>
  </si>
  <si>
    <t>Fruit of Islam (FOI)</t>
  </si>
  <si>
    <t>https://extremismterms.adl.org/glossary/fruit-islam-foi</t>
  </si>
  <si>
    <t>Fruit of Islam (FOI) is the Nation of Islam"s all-male training program, which serves as the group's paramilitary and security wing.</t>
  </si>
  <si>
    <t>House of Israel (HOI)</t>
  </si>
  <si>
    <t>https://extremismterms.adl.org/glossary/house-israel-hoi</t>
  </si>
  <si>
    <t>House of Israel is an antisemitic sect of the Black Hebrew Israelite (BHI) movement. The group has multiple chapters across the United States and has attended events with other BHI groups. They gained national attention after being involved in a January 2019 incident between Covington Catholic High School students from Kentucky and others at the Lincoln Memorial in Washington D.C.</t>
  </si>
  <si>
    <t>Institute for Historical Review (IHR)</t>
  </si>
  <si>
    <t>https://extremismterms.adl.org/glossary/institute-historical-review-ihr</t>
  </si>
  <si>
    <t>The Institute for Historical Review (IHR) is a Holocaust denial organization founded by American white supremacist and antisemitic propagandist Willis Carto in 1978.¬†IHR broke with Carto in 1993; Mark Weber has led the group since 1995.¬†Presenting itself as a pseudo-academic ‚Äúrevisionist‚Äù organization, the California-based IHR publishes materials which disregard the most basic standards of historiography to paint a picture of the past that minimizes or completely denies Jewish experiences of victimhood during the Holocaust. The IHR published the Journal of Historical Review from 1980‚Äì2002.¬† It also convened conferences which gathered virtually all of the world's foremost deniers, as well as surviving Nazis, children of Nazis and anti-Jewish polemicists not known for their views about the Holocaust.
¬†</t>
  </si>
  <si>
    <t>Israel United in Christ</t>
  </si>
  <si>
    <t>https://extremismterms.adl.org/glossary/israel-united-christ</t>
  </si>
  <si>
    <t>Israel United in Christ is an extreme and antisemitic sect of Black Hebrew Israelites (BHI) who aim to spread the ideology as widely as possible. They are based in New York but have an international presence.</t>
  </si>
  <si>
    <t>Israelite School of Universal Practical Knowledge (ISUPK)</t>
  </si>
  <si>
    <t>https://extremismterms.adl.org/glossary/israelite-school-universal-practical-knowledge-isupk</t>
  </si>
  <si>
    <t>The Israelite School of Universal Practical Knowledge (ISUPK) is an extreme and antisemitic sect of Black Hebrew Israelites (BHI) who believe that they are the only true BHI group because of ties to early organizations. The current iteration of ISUPK operates as a non-profit in Upper Darby, Pennsylvania.</t>
  </si>
  <si>
    <t>Nation of Islam (NOI)</t>
  </si>
  <si>
    <t>https://extremismterms.adl.org/glossary/nation-islam-noi</t>
  </si>
  <si>
    <t>The Nation of Islam is the largest Black nationalist organization in the U.S. It has maintained a consistent record of antisemitism and hate since its founding in the 1930s. The NOI operates mosques across the U.S. and abroad, with its headquarters located in Chicago, Illinois. The group is currently led by Louis Farrakhan.</t>
  </si>
  <si>
    <t>Sicarii Black Hebrew Israelites</t>
  </si>
  <si>
    <t>https://extremismterms.adl.org/glossary/sicarii-black-hebrew-israelites</t>
  </si>
  <si>
    <t>Sicarii is a San Diego-based antisemitic and racist sect of Black Hebrew Israelites (BHI). Members have been known to engage in violent activities.</t>
  </si>
  <si>
    <t>https://www.adl.org/resources/article/sicarii-black-hebrew-israelites-spouting-hate-southern-california</t>
  </si>
  <si>
    <t>Stop Zionist Hate</t>
  </si>
  <si>
    <t>https://extremismterms.adl.org/glossary/stop-zionist-hate</t>
  </si>
  <si>
    <t>Stop Zionist Hate (SZH) is an online network that uses its influence, particularly on X (formerly Twitter), to promote extreme anti-Israel and anti-Zionist views. Frequently, the network elevates hateful tropes about Jews and Zionists, including posts that deny the Holocaust, call for the eradication of Zionism in the U.S. and target Jewish individuals. They often engage with and publicly defend overt antisemites. Stop Zionist Hate has had at least two affiliate groups/accounts: Raven Mission, who accepts ‚Äúincident reports‚Äù and posts information about supposedly Zionist individuals on its website, and TruWire, a ‚Äúnews wire‚Äù source to counteract what they call ‚Äúfake news.‚Äù¬†On March 12, 2024, Stop Zionist Hate announced on X that they would be taking a break from their efforts, stating that they planned ‚Äúto fight Zionism in different capacities in the future.‚Äù</t>
  </si>
  <si>
    <t>Justin: I cannot find a resource for this</t>
  </si>
  <si>
    <t>The Israelite Church of God in Jesus Christ (ICGJC)</t>
  </si>
  <si>
    <t>https://extremismterms.adl.org/glossary/israelite-church-god-jesus-christ-icgjc</t>
  </si>
  <si>
    <t>The Israelite Church of God in Jesus Christ (ICGJC) is one of the biggest extreme and antisemitic Black Hebrew Israelite groups in the United States; it is headquartered in Harlem, New York. The organization was led by Jermaine Grant, also known as Chief High Priest, "Holy Spirit" and "The Comforter" as he asserted that he carried the Holy Spirit within his earthly body, until his death from COVID-19 in 2020. David Anderson and Francine Graham, the perpetrators of the December 10, 2019 attack on a kosher market in Jersey City, New Jersey, had links to ICGJC, and Anderson expressed virulent antisemitism that was consistent with ICGJC teachings.</t>
  </si>
  <si>
    <t>The New Black Panther Party for Self Defense (NBPP)</t>
  </si>
  <si>
    <t>https://extremismterms.adl.org/glossary/new-black-panther-party-self-defense-nbpp</t>
  </si>
  <si>
    <t>Founded in 1991, the New Black Panther Party for Self Defense (NBPP) is the most extreme organized racist and antisemitic African American group in the United States. The militant organization is known for inflammatory statements about the Asian community, Jews, police and white people, as well as calls for violence that contradict any efforts to be a responsible voice on legitimate social ills. Its symbol consists of a leaping panther (an image appropriated from the original Black Panthers) superimposed over the continent of Africa.</t>
  </si>
  <si>
    <t>https://www.adl.org/resources/report/report-new-black-panther-party-self-defense-nbpp</t>
  </si>
  <si>
    <t>This seems to be the most accurate redirect, however it links to a full report PDF which has been archived. Should we make it live again? - EKA</t>
  </si>
  <si>
    <t>Traditionalist Catholicism</t>
  </si>
  <si>
    <t>https://extremismterms.adl.org/glossary/traditionalist-catholicism</t>
  </si>
  <si>
    <t>Traditionalist Catholics reject the reforms of the Second Vatican Council that was held in the early 1960s, including Nostra Aetate, the papal document which declared that modern Jews bear no guilt for the death of Christ. The Vatican has also rejected the idea of supersessionism, or the dogma that with the coming of Jesus and the New Testament the Jews‚Äô covenant with God was broken‚Äîbut traditionalist Catholics continue to support this doctrine and believe that there is no salvation outside of the Catholic church. Partly as a result, some Traditionalist Catholic circles have continued to incorporate explicit antisemitism into their theology, and a number of them may be characterized by a paranoid belief in Jewish conspiracies to undermine the church and Western civilization, as well as other conspiracy theories that are prominent in right-wing extremist subcultures.
For decades after its founding in 1970, the Society of St. Pius X (SSPX), which is the foremost global Traditionalist Catholic organization, continued to preach that contemporary Jews are responsible for deicide, endorsed the Protocols of the Elders of Zion, and claimed that there was a factual basis for the medieval blood libel. One of its bishops, Richard Williamson, is a well-known Holocaust denier. In recent years SSPX has moderated its position to some extent, and expelled Bishop Williamson. However, the Traditionalist Catholic movement continues to wrestle with antisemitism and a tendency towards extremism.
One prominent Traditionalist Catholic is filmmaker and antisemite Mel Gibson, whose film, The Passion of the Christ, attracted controversy over its graphic depiction of Jewish responsibility for the death of Jesus.</t>
  </si>
  <si>
    <t xml:space="preserve">There are article referencing this term, but I feel like we should have a in-depth backgrounder on the movement as a whole. </t>
  </si>
  <si>
    <t>True Nation Israelite Congregation</t>
  </si>
  <si>
    <t>https://extremismterms.adl.org/glossary/true-nation-israelite-congregation</t>
  </si>
  <si>
    <t>True Nation Israelite Congregation is a California-based faction of extreme and antisemitic Black Hebrew Israelites. Also referred to as the True Nation, the group was founded in the early 2010s and has embarked on trips abroad to establish international connections and spread their version of BHI ideology.</t>
  </si>
  <si>
    <t>American Patriots USA</t>
  </si>
  <si>
    <t>https://extremismterms.adl.org/glossary/american-patriots-usa</t>
  </si>
  <si>
    <t>American Patriots USA is a far-right extremist group based in Georgia, founded by long time white supremacist and former Hammerskin Chester Doles. The group presents itself as a politically minded, pro-America, pro-Trump and pro-police organization with no ties to extremism or bigotry. However, since its founding, APUSA leadership and adjacent members have promoted racist, antisemitic and election related conspiracies, as well as attending or hosting events with known anti-government extremist figures.</t>
  </si>
  <si>
    <t>https://www.adl.org/resources/article/unite-right-four-years-later-major-players-still-grappling-fallout</t>
  </si>
  <si>
    <t>Boogaloo movement</t>
  </si>
  <si>
    <t>https://extremismterms.adl.org/glossary/boogaloo-movement</t>
  </si>
  <si>
    <t>The Boogaloo movement formed in 2019 based around the term "boogaloo", a slang reference to a future civil war that boogalooers anticipate (some eagerly). While there are ideological differences among members, the movement is primarily anti-government, anti-gun control and anti-police. The movement began online, but members have also attended a variety of protests around gun legislation, COVID health and safety measures and policing. Members have also engaged in a range of criminal behavior, including violent plots and murder.</t>
  </si>
  <si>
    <t>https://adl.org/resources/backgrounder/boogaloo-movement</t>
  </si>
  <si>
    <t>Border Vigilante Movement</t>
  </si>
  <si>
    <t>https://extremismterms.adl.org/glossary/border-vigilante-movement</t>
  </si>
  <si>
    <t>Part of the anti-immigrant extremist movement, border vigilantes conduct armed, sometimes paramilitary patrols along the U.S.-Mexico border, attempting to chase and detain migrants under the delusion that they are fighting drug cartels. Border vigilantes have attracted some white supremacists, as well as many from the anti-government extremist militia movement.</t>
  </si>
  <si>
    <t>Constitutional Sheriffs and Peace Officers Association</t>
  </si>
  <si>
    <t>https://extremismterms.adl.org/glossary/constitutional-sheriffs-and-peace-officers-association</t>
  </si>
  <si>
    <t>The Constitutional Sheriffs and Peace Officers Association (CSPOA) is an anti-government extremist group founded in 2011 by former Arizona sheriff Richard Mack. The organization recruits sheriffs into the anti-government extremist "Patriot" movement, and claims the county sheriff is the ultimate authority and supersedes federal, state and local authorities. CSPOA adherents believe they can refuse to enforce any federal or state law or measure they deem unconstitutional.</t>
  </si>
  <si>
    <t>https://www.adl.org/resources/report/constitutional-sheriffs-and-peace-officers-association-cspoa-and-richard-mack-how</t>
  </si>
  <si>
    <t>FEAR (Forever Enduring, Always Ready)</t>
  </si>
  <si>
    <t>https://extremismterms.adl.org/glossary/fear-forever-enduring-always-ready</t>
  </si>
  <si>
    <t>FEAR was a large militia group formed by soldiers stationed at Fort Stewart in Georgia. It operated between 2011 and 2012. Members of FEAR plotted various terrorist acts - including assassinating then-President Barack Obama - and killed one of their own members, as well as his girlfriend, out of fear they were informants. While investigating these murders, police also discovered that the group's leader, Private Isaac Aquigui, had murdered his pregnant wife in order to secure a $400,000 insurance payout, used in part to fund FEAR.</t>
  </si>
  <si>
    <t>Very Low</t>
  </si>
  <si>
    <t>III% Security Force</t>
  </si>
  <si>
    <t>https://extremismterms.adl.org/glossary/iii-security-force</t>
  </si>
  <si>
    <t>The III% Security Force is a prominent militia group that has had chapters in different states, with the Georgia chapter being the most active.</t>
  </si>
  <si>
    <t>random militia type group</t>
  </si>
  <si>
    <t>Michigan Militia</t>
  </si>
  <si>
    <t>https://extremismterms.adl.org/glossary/michigan-militia</t>
  </si>
  <si>
    <t>The Michigan Militia was one of the earliest and largest militia groups, formed in 1994 by gun store owner Norman Olson. Olson was ousted the following year after making outlandish conspiratorial claims about the Oklahoma City bombing. In later years, the Michigan Militia factionalized into several competing groups.</t>
  </si>
  <si>
    <t>Montana Freemen</t>
  </si>
  <si>
    <t>https://extremismterms.adl.org/glossary/montana-freemen</t>
  </si>
  <si>
    <t>The Montana Freemen were a group of anti-government extremist sovereign citizens based in eastern Montana led by LeRoy Schweitzer. Its main activity was to create and distribute fictitious financial instruments bearing names such as "comptroller's warrants." In 1996, the Montana Freeman garnered significant attention when they engaged in an armed standoff with the FBI that lasted 81 days before their ultimate surrender. This marked the end of the group.</t>
  </si>
  <si>
    <t>https://extremismterms.adl.org/glossary/oath-keepers</t>
  </si>
  <si>
    <t>The Oath Keepers are a loosely organized group of right-wing anti-government extremists within the larger militia movement. While they allow anyone to join, the Oath Keepers explicitly focus on recruiting current and former military, law enforcement, and first responder personnel. The group was founded in 2009 by their current leader, Stewart Rhodes. The Oath Keepers gained notoriety for its armed participation in disputes between ranchers or miners and federal agencies in 2014 and 2015. They are also known for having provided vigilante-style "security" for local communities and businesses during Black Lives Matter protests in 2020. Members of the group have been arrested for a wide range of criminal activities, including various firearms violations, conspiracy to impede federal workers, possession of explosives and threatening public officials. Several Oath Keepers also played a prominent role in the January 6th storming of the Capitol building, and more than 20 have been arrested for their actions that day.</t>
  </si>
  <si>
    <t>Patriot movement</t>
  </si>
  <si>
    <t>https://extremismterms.adl.org/glossary/patriot-movement</t>
  </si>
  <si>
    <t>The "Patriot" movement is a collective term used to describe a set of related conspiratorial and anti-government extremist movements and groups in the United States. The most important of these movements are the militia movement, the sovereign citizen movement, and the tax protest movement. Though each submovement has its own beliefs and concerns, they share a conviction that part or all of the government has been infiltrated and subverted by a malignant conspiracy and is no longer legitimate.</t>
  </si>
  <si>
    <t>While referenced in Militia Backgrounder, the Patriot Movement is more than just Militia's, also includes Tax Protest Movement and Sovereign Citizens (MLM)</t>
  </si>
  <si>
    <t>People's Rights</t>
  </si>
  <si>
    <t>https://extremismterms.adl.org/glossary/peoples-rights</t>
  </si>
  <si>
    <t>People's Rights is a network of right-wing activists founded by anti-government extremist Ammon Bundy in March 2020 in response to government efforts to curb the spread of COVID-19. Since its founding, the network has been active in opposing lockdown measures, mask mandates and the coronavirus vaccine.</t>
  </si>
  <si>
    <t>Posse Comitatus</t>
  </si>
  <si>
    <t>https://extremismterms.adl.org/glossary/posse-comitatus</t>
  </si>
  <si>
    <t>The Posse Comitatus was a loosely organized, far-right populist social movement that originated in Oregon and California around 1970 and reached its peak in the early 1980s. Its members believed that the county level of government was supreme and the county sheriff could essentially nullify federal or state laws, regulations or taxes that the sheriff believed were "unconstitutional." Supporters asserted that there had been a "subtle subversion" of the Constitution by various arms and levels of government and that there was a criminal conspiracy to "disfranchise citizens and liquidate the Constitutional Republic of these United States." In the early 1980s, Posse members and sympathizers were involved in a number of shootings, standoffs, fraud schemes, and other criminal activities. The modern sovereign citizen movement is descended from the Posse Comitatus.</t>
  </si>
  <si>
    <t>sovereign citizen term 
(solution create an article with a list of sovereign citizen groups and terms?)"
Included in sovereign backgrounder</t>
  </si>
  <si>
    <t>Rightway L.A.W.</t>
  </si>
  <si>
    <t>https://extremismterms.adl.org/glossary/rightway-law</t>
  </si>
  <si>
    <t>Rightway L.A.W. was a prominent Ohio-based sovereign citizen group active in the 1990s and 2000s. At one point it had fifteen chapters in at least ten states. It was led by Rick Schramm, Jack Smith, Jeanne Collins and Mary Keane. It heavily promoted "redemption theory," a popular sovereign citizen theory. It is now defunct.</t>
  </si>
  <si>
    <t>https://extremismterms.adl.org/glossary/three-percenters</t>
  </si>
  <si>
    <t>"Three Percenters" are a concept created by a former Alabama militia leader, Mike Vanderboegh, to popularize the militia movement and its anti-government ideology. The term itself refers to the erroneous belief that only three percent of colonists fought against the British during the Revolutionary War. Three Percenters believe that they are engaged in a similar battle against the tyranny of the federal government. Three Percenters may join or form traditional militia groups, but often form non-paramilitary groups or networks online. Many are not associated with any particular group. Also referred to as III%ers, III percenters, Threepers, 3PERS and 3%ers.</t>
  </si>
  <si>
    <t>Wolverine Watchmen</t>
  </si>
  <si>
    <t>https://extremismterms.adl.org/glossary/wolverine-watchmen</t>
  </si>
  <si>
    <t>The Wolverine Watchment militia is an anti-government extremist group. Many members were arrested in October 2020 on either federal or state charges for their roles in an alleged plot to kidnap Michigan Governor Gretchen Whitmer.</t>
  </si>
  <si>
    <t>Moorish Movement</t>
  </si>
  <si>
    <t>https://extremismterms.adl.org/glossary/moorish-movement</t>
  </si>
  <si>
    <t>An Afro-centric offshoot of the sovereign citizen movement that emerged in the mid-1990s primarily as a result of people merging sovereign beliefs with beliefs from a longstanding religious sect, the Moorish Science Temple. Moorish sovereign citizens often claim to have special rights because of their ‚ÄúMoorish‚Äù status or because they are ‚Äúindigenous inhabitants‚Äù of North America. In recent years, the Moorish movement has grown considerably, making the African-American community a surprising growth area for a movement with extreme right-wing origins. Not all African-American sovereign citizens are ‚ÄúMoorish‚Äù sovereign citizens; some adopt ‚Äútraditional‚Äù sovereign citizen views.</t>
  </si>
  <si>
    <t>https://extremismterms.adl.org/resources/backgrounder/sovereign-citizen-movement-united-states</t>
  </si>
  <si>
    <t>Moorish Sovereign Citizens</t>
  </si>
  <si>
    <t>https://extremismterms.adl.org/glossary/moorish-sovereign-citizens</t>
  </si>
  <si>
    <t>Moorish sovereign citizens are a collection of groups, networks and individuals that emerged in the early 1990s as a largely Black offshoot of the anti-government extremist sovereign citizen movement. Moorish sovereign citizens combine long-standing sovereign citizen beliefs and tactics with some newer, primarily Afrocentric notions, including a number of beliefs from the Moorish Science Temple religious sect. Among the new ideas spread by Moorish sovereigns are the notions that African Americans have special rights because of a 1780s treaty with Morocco, that African Americans are descended from African "Moors," and that African Americans are also a people indigenous to the Americas.</t>
  </si>
  <si>
    <t>The Embassy of Heaven</t>
  </si>
  <si>
    <t>https://extremismterms.adl.org/glossary/embassy-heaven</t>
  </si>
  <si>
    <t>The Embassy of Heaven was an anti-government extremist group based in Oregon and led by Paul Revere (aka Craig Fleshman). Primarily active in the 1990s and 2000s, the Embassy marketed bogus license plates and other automobile documents to followers ‚Äî typically sovereign citizens ‚Äî across the country. Followers often referred to themselves as "Ambassadors of the Kingdom of Heaven."</t>
  </si>
  <si>
    <t>United Nations of Turtle Island (UNOTI)</t>
  </si>
  <si>
    <t>https://extremismterms.adl.org/glossary/united-nations-turtle-island-unoti</t>
  </si>
  <si>
    <t>United Nations of Turtle Island (UNOTI) is a fictitious tribe created by sovereign citizen adherents trying to escape government jurisdiction. UNOTI is based primarily in east Tennessee, western North Carolina and northern Georgia, though it has "members" in other states. It has been creating illegitimate license plates, driver's licenses and other documents since 2003.</t>
  </si>
  <si>
    <t>This term is not in the Sovereign Citizen backgrounder. Not sure how to handle. - EKA</t>
  </si>
  <si>
    <t>Washitaw Empire/Nation</t>
  </si>
  <si>
    <t>https://extremismterms.adl.org/glossary/washitaw-empirenation</t>
  </si>
  <si>
    <t>The Washitaw Empire/Nation was a Black sovereign citizen group in the mid-1990s that eventually split into several groups and became a wing of the Moorish sovereign citizen movement, an offshoot of the traditional sovereign citizen movement. The group was founded in Louisiana in the mid-1990s by "Empress" Verdiacee "Tiara" Washitaw-Turner Goston El-Bey, and adherents claim to be descended from ancient mound-builders of the Mississippi-Missouri Valley and to "own" the Louisiana Purchase. After the "Empress" retired, the original Washitaw group fell apart and was replaced by a variety of different groups and individuals, all claiming the "Washitaw Nation" mantle.</t>
  </si>
  <si>
    <t>Betar USA</t>
  </si>
  <si>
    <t>https://extremismterms.adl.org/glossary/betar-usa</t>
  </si>
  <si>
    <t>Betar USA is a chapter of the worldwide Zionist youth organization Betar, founded by early Zionist thinker and philosopher Ze‚Äôev Jabotinsky in 1923. The U.S. chapter of Betar, which was revived in June 2023, adopts the far-right Kahanist slogan calling for Jewish armament, ‚ÄúEvery Jew, a .22.‚Äù The group also openly embraces Islamophobia and harasses Muslims online and in person. The group has indicated that they would like to work with the Proud Boys, a far-right extremist group with a history of antisemitism and Islamophobia, to ‚Äúcounter Islamic jihadis.‚ÄùBetar USA encourages Jewish people to ‚Äúfight back‚Äù in the streets against antisemitism with ‚Äúaggressive in-person protests.‚Äù It has posted footage of these actions online alongside inciting images of baseball bats. In February 2025, it posted a video of an individual (who was not Betar-related) shouting Islamophobic slurs outside of a mosque with the caption, ‚ÄúWe protest mosques.‚Äù The post was later removed. Some of Betar USA‚Äôs tactics include confronting Muslim and Arab protestors at rallies, often taking photographs of them to send to ICE and government officials with the intention of prompting their deportation. More escalatory tactics of Betar USA include vandalism (they call themselves vandals) as well as burning and tearing down Palestinian flags. Betar USA has also encouraged supporters and members to ‚Äúmask up‚Äù when committing acts of vandalism or protesting.</t>
  </si>
  <si>
    <t>We have a backgrounder still in clearance; would be great to repurpose it and maybe do a blog on islamophobia across the spectrum, or a blog about modern day kahanism</t>
  </si>
  <si>
    <t>Black Hebrew Israelites (BHI)</t>
  </si>
  <si>
    <t>https://extremismterms.adl.org/glossary/black-hebrew-israelites-bhi</t>
  </si>
  <si>
    <t>The Black Hebrew Israelite (BHI) movement is a fringe religious movement that rejects widely accepted definitions of Judaism and asserts that people of color are the true children of Israel. Some factions are highly antisemitic, and believe that modern Jews are imposters who have stolen the religious heritage of Black people. Note: Black Hebrew Israelites are not the same as Black Jews or Jews of color, some of whom also identify with the term "Israelite."For more information on Black Hebrew Israelites, see this backgrounder from the ADL Center on Extremism.</t>
  </si>
  <si>
    <t>https://adl.org/resources/backgrounder/black-hebrew-israelites</t>
  </si>
  <si>
    <t>Ecoterrorism</t>
  </si>
  <si>
    <t>https://extremismterms.adl.org/glossary/ecoterrorism</t>
  </si>
  <si>
    <t>Ecoterrorism refers to extremist actions taken as part of the animal rights and environmentalist movements. Ecoterrorism origininated in the 1970s, but from the late 1980s through the first decade of the 2000s, radical environmental and animal rights groups claimed responsibility for hundreds of crimes and acts of terrorism, including arson, bombings, vandalism and harassment, causing more than $100 million in damage. The goal of ecoterrorism is to end the exploitation of animals and the destruction of the environment, typically by causing damage to the operations of companies in related industries or terrorizing executives and employees of these and other, associated companies.</t>
  </si>
  <si>
    <t>As Mark mentioned, there are no up-to-date ADL resources on ecoterrorist/animal rights stuff, so linking to this older report from 2005.</t>
  </si>
  <si>
    <t>No Lives Matter (NLM)</t>
  </si>
  <si>
    <t>https://extremismterms.adl.org/glossary/no-lives-matter-nlm</t>
  </si>
  <si>
    <t>No Lives Matter (NLM) is a nihilistic, violent extremist group that emerged as an offshoot of 764. Unlike other 764-affiliated groups, NLM is primarily focused on glorifying, inspiring and committing acts of real-world violence, rather than engaging in sextortion. The group‚Äôs name reflects its core ideology‚Äîan extreme form of nihilism and misanthropy‚Äîand serves as an expression of its belief that life is inherently meaningless and that violence is both a tool and a statement of that belief.NLM requires prospective members to commit physical acts such as arson, vandalism or assaults in order to join. These actions are often livestreamed and documented so that they can be repurposed as propaganda to encourage further acts of violence. NLM has released multiple manifestos and instructional guides as part of its efforts to encourage targeted attacksNLM maintains shifting alliances with various elements of the broader Com network, including 764 and Maniac Murder Cult. These alliances are often short-lived, frequently dissolving and reforming over time.¬†</t>
  </si>
  <si>
    <t>The Community (Com, Comm)</t>
  </si>
  <si>
    <t>https://extremismterms.adl.org/glossary/community-com-comm</t>
  </si>
  <si>
    <t>The ‚ÄúCommunity‚Äù (also known as ‚ÄúCom‚Äù or Comm‚Äù) is a loosely organized online network of individuals and groups involved in a wide range of illicit activities. These include hacking, ransomware, cyberstalking, swatting, SIM swapping, bricking, sextortion, the distribution of child sex abuse material (CSAM), scams, drug trafficking, school shootings and acts of terrorism.764 is the most well-known and influential group within the broader Com network and has spawned numerous offshoots. In recent years, some elements of the Com have increasingly embraced accelerationist and other extremist ideologies.</t>
  </si>
  <si>
    <t>"George Soros" conspiracy theories</t>
  </si>
  <si>
    <t>https://extremismterms.adl.org/glossary/george-soros-conspiracy-theories</t>
  </si>
  <si>
    <t>Conspiracy Theories, Slogans / Code words</t>
  </si>
  <si>
    <t>George Soros is a Hungarian-American investor, philanthropist and Holocaust survivor known for funding progressive political and social causes, usually through grants from his Open Society Foundations. Soros is the frequent target of conspiracy theories claiming that he masterminds global plots or manipulates events to further his goals. Many of these conspiracy theories employ longstanding antisemitic tropes, particularly the notion that rich and powerful Jews work behind the scenes, plotting to control countries and manipulate global events.</t>
  </si>
  <si>
    <t>https://www.adl.org/resources/article/soros-conspiracy-theories-and-protests-gateway-antisemitism</t>
  </si>
  <si>
    <t>Deep State</t>
  </si>
  <si>
    <t>https://extremismterms.adl.org/glossary/deep-state</t>
  </si>
  <si>
    <t>According to the QAnon conspiracy, the "Deep State" is an alleged network of institutions and bureaucracies within the federal government that a range of right-wing actors and groups believe tried to undermine and even destroy former President Donald Trump. They believe deep state actors are working on behalf of the "cabal" to ensure that the elites" satanic desires are carried out and covered up.</t>
  </si>
  <si>
    <t>Do your own research OR do the research</t>
  </si>
  <si>
    <t>https://extremismterms.adl.org/glossary/do-your-own-research-or-do-research</t>
  </si>
  <si>
    <t>"Do your own research" is a rallying cry for some QAnon supporters. It encourages others to "do their own research" to prove that Q narratives about the "Deep State," cabal of pedophiles and children being tortured and cannibalized are true. Many QAnon supporters turn to QAnon influencers for information, which only confirms their beliefs. The term is also used in anti-vax circles.</t>
  </si>
  <si>
    <t>False flag</t>
  </si>
  <si>
    <t>https://extremismterms.adl.org/glossary/false-flag</t>
  </si>
  <si>
    <t>False flag is a term used by conspiracy theorists to suggest that various world events and crises, such as terrorist attacks and mass shootings, were actually orchestrated by governments or sinister forces in furtherance of a political or social goal, such as gun control or sowing public fear. Historically, the term has been used to refer to a military or political operation carried out with the intention of blaming an opponent for it, often as a pretext for going to war.</t>
  </si>
  <si>
    <t>https://www.adl.org/resources/report/false-flag-narratives-emerge-reddit-after-dc-boulder-attacks</t>
  </si>
  <si>
    <t>It explains what a false flag is in the doc</t>
  </si>
  <si>
    <t>The "Antifa Manual"</t>
  </si>
  <si>
    <t>https://extremismterms.adl.org/glossary/antifa-manual</t>
  </si>
  <si>
    <t>Conspiracy Theories, Publications</t>
  </si>
  <si>
    <t>The so-called "Antifa Manual," which has circulated online for years, is not authentic. Debunked by Snopes in 2017, images labeled as an "antifa manual" accompany language designed to sow division and feature many statements that do not align with the sentiments of anti-fascist organizers. These images often appear to be clumsy attempts at mimicking "left-wing" rhetoric.</t>
  </si>
  <si>
    <t>maybe use this instead: https://www.adl.org/disinformation-antifa-manual - EKA</t>
  </si>
  <si>
    <t>9/11 Conspiracy Theorists</t>
  </si>
  <si>
    <t>https://extremismterms.adl.org/glossary/911-conspiracy-theorists</t>
  </si>
  <si>
    <t>Conspiracy Theories, People</t>
  </si>
  <si>
    <t>Conspiracy theories surrounding the 9/11 attacks have become a propaganda industry and attempt to place blame for the attacks on perpetrators other than Al Qaeda, including the U.S. government. Prominent among such 9/11 conspiracy theories are those that make the antisemitic claim that Jews‚ÄîIsraeli, American or both‚Äîwere involved in planning and executing the attacks.</t>
  </si>
  <si>
    <t>Gilad Atzmon‚ÄØ</t>
  </si>
  <si>
    <t>https://extremismterms.adl.org/glossary/gilad-atzmon</t>
  </si>
  <si>
    <t>Israeli-born and UK-based Gilad Atzmon is a well-known musician, author and antisemitic and anti-Israel activist. On social media and in publications and speeches, Atzmon is an outspoken promoter of classic antisemitic conspiracy theories and a fierce critic of the State of Israel.  
In speeches to 9/11 truther organizations, Atzmon has insinuated that the September 11 terrorist attacks may have been an Israeli false flag attack to coopt the U.S. into ‚Äúfighting Zionist conflicts for almost two decades.‚Äù He has also stated that ‚Äúthe British and French government are dominated by the Jewish lobby,‚Äù and that he supports terrorist groups like Hezbollah and Hamas. He has also made statements which trivialize or distort the Holocaust.
In 2012, a number of prominent anti-Israel activists and academics signed an open letter calling for the pro-Palestinian movement to dissociate from Atzmon due to his racism and antisemitism.‚ÄØ‚ÄØ</t>
  </si>
  <si>
    <t>https://www.adl.org/sites/default/files/Gilad-Atzmon-one-pager-final.pdf</t>
  </si>
  <si>
    <t>Cabal</t>
  </si>
  <si>
    <t>https://extremismterms.adl.org/glossary/cabal</t>
  </si>
  <si>
    <t>Conspiracy Theories, Key Concepts / Definitions</t>
  </si>
  <si>
    <t>The Cabal, in the parlance of the QAnon conspiracy, is the shadowy group of overlords who allegedly control the world. Many believe that Jewish billionaire George Soros is a member or leader of the cabal.</t>
  </si>
  <si>
    <t>Rothschilds</t>
  </si>
  <si>
    <t>https://extremismterms.adl.org/glossary/rothschilds</t>
  </si>
  <si>
    <t>The Rothschild banking family has been at the center of a longstanding antisemitic conspiracy theory that plays on stereotypes of Jewish power and connection to money. The theory posits that a cabal of Jews led by the Rothschilds has been manipulating currency and exerting influence on regional and national events since the early 19th century for the purposes of personal enrichment and world domination. Antisemitic conspiracy theorists blame "The Rothschilds" for numerous historical events, including interference with the American Revolution, financing Nazism and the Bolshevik Revolution and perpetrating the 9/11 attacks. Sometimes "Rothschild" is simply used as an antisemitic dog whistle for "Jew" or "Jewish."</t>
  </si>
  <si>
    <t>https://www.adl.org/resources/backgrounder/jewish-control-federal-reserve-classic-antisemitic-myth</t>
  </si>
  <si>
    <t>Includes a section on the Rothschilds</t>
  </si>
  <si>
    <t>Plandemic</t>
  </si>
  <si>
    <t>https://extremismterms.adl.org/glossary/plandemic</t>
  </si>
  <si>
    <t>‚ÄúPlandemic‚Äù is a popular conspiratorial term used by some conspiracy theorists, extremists and anti-vaccine activists to describe their belief that the COVID-19 pandemic was deliberately ‚Äúplanned‚Äù and ‚Äúorchestrated‚Äù by global elites and the government as a ruse to enslave humanity and ‚Äústeal‚Äù the 2020 presidential election.¬†¬†The term has also been used in reference to conspiratorial beliefs that global elites and the government are continuing to plot future pandemics, and that future disease outbreaks will be the result of such nefarious activity.¬†¬†‚ÄúPlandemic‚Äù may also refer to a trilogy of conspiratorial films produced by Mikki Willis that promote misinformation about COVID-19 and vaccines.¬†</t>
  </si>
  <si>
    <t>Pureblood/Pure Blood</t>
  </si>
  <si>
    <t>https://extremismterms.adl.org/glossary/purebloodpure-blood</t>
  </si>
  <si>
    <t>‚ÄúPureblood‚Äù (or ‚Äúpure blood‚Äù) is a term some anti-vaxxers, QAnon adherents and conspiracy theorists use to refer to themselves and others who have not been vaccinated against COVID-19. The term draws upon unfounded beliefs that COVID-19 vaccines contain toxins that ‚Äúcontaminate‚Äù the human body. There is no evidence that blood transfusions can ‚Äútransfer‚Äù the COVID-19 vaccine to unvaccinated individuals or that transfused blood from vaccinated donors poses any harm or risk to recipients.¬†</t>
  </si>
  <si>
    <t>Scamdemic</t>
  </si>
  <si>
    <t>https://extremismterms.adl.org/glossary/scamdemic</t>
  </si>
  <si>
    <t>‚ÄúScamdemic‚Äù is a popular conspiratorial term used by some conspiracy theorists, extremists and anti-vaccine activists to describe their belief that the COVID-19 pandemic was deliberately planned and ‚Äúorchestrated‚Äù by global elites as a ruse to enslave humanity and ‚Äústeal‚Äù the 2020 presidential election.¬†The term has also been used in reference to conspiratorial beliefs that global elites are continuing to plot future pandemics, and that future disease outbreaks will be the result of such nefarious activity.</t>
  </si>
  <si>
    <t>https://extremismterms.adl.org/glossary/qanon</t>
  </si>
  <si>
    <t>Conspiracy Theories, Groups / Movements</t>
  </si>
  <si>
    <t>QAnon is a popular right-wing conspiracy theory centered around thousands of cryptic messages posted by a figure called "Q", who claimed to be an anonymous U.S. government official, on the 4chan and 8chan/8kun message boards beginning in October 2017. Q issued thousands of cryptic messages, known as Q drops, between October 2017 and December 2020, many of which alleged that President Donald Trump was fighting a shadowy cabal of pedophiles largely consisting of prominent figures and politicians on the left. QAnon adherents tried to decipher and expand upon the Q drops, eventually adding new and often bizarre ideas of their own, such as the theory that John F. Kennedy, Jr. (and, for some, also John F. Kennedy himself), was still alive. Following the 2020 presidential election and President Biden"s inauguration, many QAnon adherents came to believe that Donald Trump would soon be reinstated (not re-elected) as president.</t>
  </si>
  <si>
    <t>https://adl.org/resources/backgrounder/qanon</t>
  </si>
  <si>
    <t>Great Replacement / Replacement Theory</t>
  </si>
  <si>
    <t>https://extremismterms.adl.org/glossary/great-replacement-replacement-theory</t>
  </si>
  <si>
    <t>Conspiracy Theories</t>
  </si>
  <si>
    <t>"The Great Replacement" conspiracy theory made significant headway into the mainstream in 2021. The theory alleges that people of color are "replacing" white people through immigration, birth rates and other economic, social and political means. While the theory has existed for some time, it found new life this year as major media personalities like Tucker Carlson and elected officials, including Rep. Matt Gaetz, Texas Lt. Gov. Dan Patrick and Rep. Scott Perry, spread the hateful and dangerous conspiracy in 2021. Though the conspiracy is not inherently antisemitic, many white supremacists subscribe to the belief that "The Great Replacement" is being orchestrated by Jews, and the lie has inspired several horrific acts of mass violence against people of color and Jews around the world in recent years, including murder sprees in Pittsburgh, Poway, El Paso, Christchurch, New Zealand, and Buffalo. Its continued spread in 2021 puts these communities at heightened risk.
¬†</t>
  </si>
  <si>
    <t>USS Liberty (conspiracy theory)</t>
  </si>
  <si>
    <t>https://extremismterms.adl.org/glossary/uss-liberty-conspiracy-theory</t>
  </si>
  <si>
    <t>The USS Liberty conspiracy theory claims Israel"s mistaken strike against an American warship, the USS Liberty, during the 1967 Six Day War was intentional. This theory is frequently promoted in propaganda materials by white supremacists and other antisemites as a way of stirring outrage against Jews and Israel.</t>
  </si>
  <si>
    <t>https://www.adl.org/resources/article/alison-weirs-new-billboard-campaign-promotes-uss-liberty-conspiracies</t>
  </si>
  <si>
    <t xml:space="preserve">This is one of the links (along with the glossary link) that I used for the USS Liberty section statements (LLM project). Inside the doc it describes the conspiracy, even though its focus is Weir. </t>
  </si>
  <si>
    <t>"LGBTQ+ Agenda"</t>
  </si>
  <si>
    <t>https://extremismterms.adl.org/glossary/lgbtq-agenda</t>
  </si>
  <si>
    <t>The ‚ÄúLGBTQ+ Agenda‚Äù (also known as the ‚ÄúTrans Agenda‚Äù or ‚ÄúGay Agenda‚Äù) is a baseless conspiracy theory alleging that the LGBTQ+ rights movement is in actuality a sinister plot by left-wing political, educational and media institutions, in league with international organizations like the United Nations, to destroy ‚Äútraditional‚Äù families, turn children gay or transgender, normalize the sexual exploitation of children, undermine traditional social and religious values, and other nefarious goals. Different iterations of these narratives intersect with other anti-globalist conspiracy theories such as the ‚ÄúNew World Order‚Äù and the antisemitic belief in Jewish global power/domination.</t>
  </si>
  <si>
    <t>https://www.adl.org/resources/article/antisemitism-anti-lgbtq-hate-converge-extremist-and-conspiratorial-beliefs</t>
  </si>
  <si>
    <t>Agenda 2030</t>
  </si>
  <si>
    <t>https://extremismterms.adl.org/glossary/agenda-2030</t>
  </si>
  <si>
    <t>Agenda 2030 is a plan adopted by the United Nations in 2015 intended to help governments achieve various sustainable development goals by 2030. In the wake of the Covid-19 pandemic, conspiracy theorists and anti-government extremists have pointed to the plan as evidence that global elites are plotting to enslave humanity, claiming the pandemic was orchestrated to hasten the implementation of the agenda.</t>
  </si>
  <si>
    <t>https://www.adl.org/resources/article/racist-extremist-antisemitic-conspiracy-theories-surround-coronavirus-vaccine</t>
  </si>
  <si>
    <t>There is one mention of Agenda 2030 in the url I cited but it expalins what it is. Marilyn</t>
  </si>
  <si>
    <t>19th President</t>
  </si>
  <si>
    <t>https://extremismterms.adl.org/glossary/19th-president</t>
  </si>
  <si>
    <t>After Joe Biden was inaugurated as president in January 2021, some QAnon followers promoted the idea that Donald Trump would be inaugurated once again as the 19th president of the United States on March 4. The idea of Trump beoming the 19th president (in 2017 he actually became the 45th president) is rooted in an old sovereign citizen conspiracy theory ' when the 14th Amendment was ratified in 1868, it quietly converted 'sovereign' citizens into 'federal' (or U.S.) citizens. After this, sovereigns argue, the federal government was illegitimate.</t>
  </si>
  <si>
    <t>DUMBs</t>
  </si>
  <si>
    <t>https://extremismterms.adl.org/glossary/dumbs</t>
  </si>
  <si>
    <t>DUMBs, short for Deep Underground Military Bases, refers to a conspiracy theory that children being trafficked by the Deep State are being held in secret military bases underground. Conspiracy theorists believe earthquakes are caused by members of the military freeing children from these bases and arresting members of the Deep State.</t>
  </si>
  <si>
    <t>Frazzledrip</t>
  </si>
  <si>
    <t>https://extremismterms.adl.org/glossary/frazzledrip</t>
  </si>
  <si>
    <t>Frazzledrip (sometimes called frazzled.rip) is a rumored dark web snuff film showing Hillary Clinton and longtime aide Huma Abedin sexually assaulting and murdering a young girl, drinking her blood and taking turns wearing the skin from her face as a mask. The video was allegedly discovered on former Congressman Anthony Weiner's laptop (Weiner is Abedin's ex-husband) in a folder labeled "life insurance," and police officers who've reportedly seen it were so horrified that they were driven to suicide. Conspiracy theorists have pointed to the video, which does not actually exist, to support long-standing conspiracy theories that politicians, celebrities and other "elites" sexually abuse children and consume their remains.</t>
  </si>
  <si>
    <t>Conspiracy theory not mentioned in resource</t>
  </si>
  <si>
    <t>Mole/Tunnel Children</t>
  </si>
  <si>
    <t>https://extremismterms.adl.org/glossary/moletunnel-children</t>
  </si>
  <si>
    <t>Mole/Tunnel children refers to the children QAnon adherents believed were being trafficked in tunnels under Central Park during the COVID-19 pandemic. Because during the early months of the pandemic the U.S. government set up a makeshift hospital in New York City"s Central Park, and at the same time, the U.S. Navy volunteered the hospital ship USNS Mercy to the city to aid overflowing hospitals, QAnon believers claimed that the tents in Central Park were there to hide holes in the ground that would be used to rescue the many children who were allegedly being trafficked in tunnels under the park. These rescued children would be taken to USNS Mercy. This theory gained additional traction because the Q subway line runs under the park.</t>
  </si>
  <si>
    <t>Resource does not mention conspiracy theory</t>
  </si>
  <si>
    <t>Pedogate</t>
  </si>
  <si>
    <t>https://extremismterms.adl.org/glossary/pedogate</t>
  </si>
  <si>
    <t>Pedogate refers to the broader child trafficking and pedophilia aspects of QAnon conspiracy theories.</t>
  </si>
  <si>
    <t>Pizzagate</t>
  </si>
  <si>
    <t>https://extremismterms.adl.org/glossary/pizzagate</t>
  </si>
  <si>
    <t>Pizzagate is a conspiracy theory claiming that tunnels under a Washington, D.C. pizzeria served as headquarters for a child trafficking and pedophilia ring sanctioned by Hillary Clinton and other Democratic figures.</t>
  </si>
  <si>
    <t>https://www.adl.org/resources/blog/qanon-conspiracies-facebook-could-prompt-real-world-violence</t>
  </si>
  <si>
    <t>Sealed indictments</t>
  </si>
  <si>
    <t>https://extremismterms.adl.org/glossary/sealed-indictments-1</t>
  </si>
  <si>
    <t>"Sealed indictments" is a reference to a much-anticipated future event central to QAnon lore: that the Justice Department is holding hundreds of thousands of sealed indictments against Democratic politicians and other members of the elite, enumerating their many crimes, mostly related to sex trafficking. At some point, these indictments will be made public and arrests of Deep State actors will begin.</t>
  </si>
  <si>
    <t>Sealed indictments?</t>
  </si>
  <si>
    <t>https://extremismterms.adl.org/glossary/sealed-indictments-0</t>
  </si>
  <si>
    <t>Sealed indictments¬†</t>
  </si>
  <si>
    <t>https://extremismterms.adl.org/glossary/sealed-indictments</t>
  </si>
  <si>
    <t>Storm, The</t>
  </si>
  <si>
    <t>https://extremismterms.adl.org/glossary/storm</t>
  </si>
  <si>
    <t>"The Storm" (alternatively "The Storm is Coming" or "We are the Storm") is a reference to a much-anticipated future event that is central to QAnon lore: that the Justice Department is holding hundreds of thousands of sealed indictments against Democratic politicians and other members of the "elite," enumerating their many crimes, mostly related to sex trafficking. QAnon adherents believe that at some point, these indictments will be made public and the arrests of "Deep State" actors will begin.</t>
  </si>
  <si>
    <t>Taqiyya/Taqiya/Takiya</t>
  </si>
  <si>
    <t>https://extremismterms.adl.org/glossary/taqiyyataqiyatakiya</t>
  </si>
  <si>
    <t>An Islamic doctrine which is frequently the subject of misinformation promoted by anti-Muslim bigots, as part of their false claims about the alleged threat that Islam and Muslim people pose to Western societies. They claim that this doctrine allows Muslims to routinely decieve non-Muslims in order to advance their goals. In fact, the word translates to "prudence" and refers to a passage of religious text that allows Muslims to forgo religious duties when publically appearing to be Muslim might threaten their lives or safety.</t>
  </si>
  <si>
    <t>Trust the Plan/The Plan</t>
  </si>
  <si>
    <t>https://extremismterms.adl.org/glossary/trust-planthe-plan</t>
  </si>
  <si>
    <t>"Trust the Plan" references a QAnon conspiracy theory claiming a plan is in place to defeat the Deep State and the Cabal. Everything that happens is all part of that plan. Q asks followers to blindly trust that things are happening behind the scenes, and that everything will work out as long as they trust President Trump and the plan.</t>
  </si>
  <si>
    <t>This phrase is not in this backgrounder but it does mention "the plan" generally. - EKA</t>
  </si>
  <si>
    <t>Directed Energy Weapons (DEWs)</t>
  </si>
  <si>
    <t>https://extremismterms.adl.org/glossary/directed-energy-weapons-dews</t>
  </si>
  <si>
    <t>Directed Energy Weapons (DEWs) are a type of long-ranged weapon that use concentrated electromagnetic energy fired at the speed of light to damage and destroy enemy targets, such as missiles, satellites or drones. DEW research has been ongoing for several decades, and the United States and other countries have been developing DEWs to improve missile and drone defense systems, among other uses.¬†¬†Some conspiracy theorists and extremists have falsely alleged that DEWs have been used to start devastating wildfires around the world, as part of ‚Äúland grab‚Äù efforts orchestrated by global elites or the federal government. Baseless claims linking directed energy weapons to wildfires in Texas; Maui, Hawaii; Paradise, California; and Chile have been previously debunked.¬†¬†</t>
  </si>
  <si>
    <t>Turbo Cancer</t>
  </si>
  <si>
    <t>https://extremismterms.adl.org/glossary/turbo-cancer</t>
  </si>
  <si>
    <t>Turbo cancer is a term used for an anti-vaccine conspiracy theory that claims COVID-19 vaccines, especially mRNA vaccines, are causing vaccinated individuals to develop aggressive, fast-developing cancers. The claim has been debunked by medical experts, and the American Cancer Society has found no link between COVID-19 vaccines and cancer.The "turbo cancer" theory has been widely embraced by anti-vaccine conspiracy theorists and QAnon adherents.¬†</t>
  </si>
  <si>
    <t>This is not in the linked article. - EKA</t>
  </si>
  <si>
    <t>Tahrif/Tahreef</t>
  </si>
  <si>
    <t>https://extremismterms.adl.org/glossary/tahriftahreef</t>
  </si>
  <si>
    <t>Tahrif, or Tahreef, is the Arabic word for "corruption." The term is used to reference a conspiracy theory dating back to the 9th century CE, which claims that Christians and Jews made changes to their religious texts in order to distort the originally revealed revelations of God and allow for the putrification of society.</t>
  </si>
  <si>
    <t>Kalergi Plan</t>
  </si>
  <si>
    <t>https://extremismterms.adl.org/glossary/kalergi-plan</t>
  </si>
  <si>
    <t>The Kalergi Plan is an antisemitic conspiracy theory about ostensible white genocide originated by Austrian neo-Nazi Gerd Honsik. "Kalergi" refers to Richard Nikolaus Graf von Coudenhove-Kalergi, an Austrian philosopher and politician of mixed European and Japanese background who believed that racial integration was a critical part of Europe's future. Kalergi's work did not receive much attention until 2005, when Honsik took Kalergi's words out of context, asserting that Kalergi proclaimed Europe would be dominated by Jews and that his ultimate goal was the programmed genocide of European peoples through mass immigration.</t>
  </si>
  <si>
    <t>Dancing Israelis</t>
  </si>
  <si>
    <t>https://extremismterms.adl.org/glossary/dancing-israelis</t>
  </si>
  <si>
    <t>"Dancing Israelis" references an antisemitic conspiracy theory which claims that five Israelis directed the September 11th attacks and then danced in celebration as they watched the Twin Towers fall.</t>
  </si>
  <si>
    <t>Holocaust Denial</t>
  </si>
  <si>
    <t>https://extremismterms.adl.org/glossary/holocaust-denial</t>
  </si>
  <si>
    <t>Holocaust denial is an antisemitic conspiracy theory which argues that Jews around the world knowingly fabricated evidence of their own genocide during World War II in order to extract financial reparations from Germany, gain world sympathy and facilitate the theft of Palestinian land for the creation of Israel. It is founded on the belief that Jews are able to force governments, Hollywood, the media and academia to promote a lie at the expense of non-Jews.</t>
  </si>
  <si>
    <t>https://www.adl.org/resources/backgrounder/key-holocaust-denial-tropes</t>
  </si>
  <si>
    <t>Pot Plot</t>
  </si>
  <si>
    <t>https://extremismterms.adl.org/glossary/pot-plot</t>
  </si>
  <si>
    <t>Pot plot is an antisemitic and anti-LGBTQ+ conspiracy theory promoted by Nation of Islam (NOI) Student Minister Wesley Muhammad and other NOI members, which alleges that Jews and the U.S. government manipulate certain versions of cannabis and other drugs to chemically alter the Black population in order to "de-masculinize and feminize the Black male of America."</t>
  </si>
  <si>
    <t>https://www.adl.org/resources/article/nation-islam-espouses-new-pot-plot-anti-semitic-conspiracy-theory</t>
  </si>
  <si>
    <t>conspiracy (antisemitic)</t>
  </si>
  <si>
    <t>14th Amendment</t>
  </si>
  <si>
    <t>https://extremismterms.adl.org/glossary/14th-amendment</t>
  </si>
  <si>
    <t>The 14th Amendment is something that many sovereign citizens argue created an entirely new class of citizens. Those who joined this new class were subject to the authority of the federal government. Prior to this amendment, Sovereign Citizens claim, only those who lived in D.C. or a federal territory were "citizens of the United States;" most people were citizens of their states. In becoming "citizens of the United States" people surrendered their sovereignty and became de facto slaves. Sovereigns believe people were tricked into this status and have the right to exit it, after which the government has no more authority or jurisdiction over them.</t>
  </si>
  <si>
    <t>I think the glossary info should be integrated into the sovereign citizen backgrounder. The 14th Amendment is mentioned but not really explained. Marilyn</t>
  </si>
  <si>
    <t>Agenda 21</t>
  </si>
  <si>
    <t>https://extremismterms.adl.org/glossary/agenda-21</t>
  </si>
  <si>
    <t>Agenda 21 was a non-binding UN resolution passed in 1992 intended to help governments promote sustainable development. Since it passed, the resolution has been used by anti-government extremists and conspiracy theorists as evidence of a plot to eliminate private property, strip away civil liberties and subjugate humanity under a totalitarian world government.</t>
  </si>
  <si>
    <t>There is one mention of Agenda 21 in the url cited but it does explaine what it is. Marilyn</t>
  </si>
  <si>
    <t>FEMA Camps</t>
  </si>
  <si>
    <t>https://extremismterms.adl.org/glossary/fema-camps</t>
  </si>
  <si>
    <t>"FEMA Camps" are a common conspiracy theory among anti-government extremists, especially the militia movement, that maintains that the U.S. government plans on declaring martial law and imprisoning American dissidents in concentration camps run by FEMA. The theory typically states that 600-800 camps have been built and are ready to start accepting prisoners.</t>
  </si>
  <si>
    <t>Great Reset</t>
  </si>
  <si>
    <t>https://extremismterms.adl.org/glossary/great-reset</t>
  </si>
  <si>
    <t>The Great Reset is a conspiracy theory which gained traction during the coronavirus pandemic. It warns that "global elites" are using the pandemic to advance their interests and push forward a globalist plot to destroy American sovereignty and prosperity. Adherents, who sometimes promote antisemitism as part of the conspiracy theory, also argue that the ultimate goal of this alleged plot is a global totalitarian regime. The phrase was originally used to refer to an initiative introduced by the World Economic Forum before it was adopted by conspiracy theorists.</t>
  </si>
  <si>
    <t>Martial Law</t>
  </si>
  <si>
    <t>https://extremismterms.adl.org/glossary/martial-law</t>
  </si>
  <si>
    <t>The imposition of martial law by the government is a part of one of the most prominent conspiracy theories within the militia movement. The conspiracy says that a real or staged pandemic, natural disaster or terrorist attack will give the government an excuse to impose martial law and suspend the Constitution, resulting in (but not limited to) door to door gun confiscation, the ban of interstate travel and detainment of citizens in concentration camps.</t>
  </si>
  <si>
    <t>Birtherism/birthers</t>
  </si>
  <si>
    <t>https://extremismterms.adl.org/glossary/birtherismbirthers</t>
  </si>
  <si>
    <t>Birtherism refers to conspiracy theories and discredited claims that former President Barack Obama is not a natural-born U.S. citizen and thus was ineligible to serve as President. Proponents of the theory are known as "birthers."</t>
  </si>
  <si>
    <t>Chemtrails</t>
  </si>
  <si>
    <t>https://extremismterms.adl.org/glossary/chemtrails</t>
  </si>
  <si>
    <t>Chemtrails refers to a conspiracy theory that the government is using aircraft to secretly spray chemical or biological agents into the atmosphere for various nefarious purposes, such as mind control, sterilization or weather manipulation, and that these chemicals create visible plumes in the sky similar to aircraft condesation trials (contrails). Conspiracy theorists claim that these "chemtrails" are distinguishable from normal contrails because they do not dissipate as quickly. Such claims have frequently been debunked by the scientific community.</t>
  </si>
  <si>
    <t>Freemasonry</t>
  </si>
  <si>
    <t>https://extremismterms.adl.org/glossary/freemasonry</t>
  </si>
  <si>
    <t>Freemasonry is one of the oldest fraternal organizations in the world. It has been subject to numerous conspiracy theories over the centuries, such as claims that freemasons have infiltrated and control world governments, engage in devil worship and have orchestrated various wars and assassinations of political opponents.</t>
  </si>
  <si>
    <t>HAARP</t>
  </si>
  <si>
    <t>https://extremismterms.adl.org/glossary/haarp</t>
  </si>
  <si>
    <t>HAARP (short for High Frequency Active Auroral Research Program) was a controversial Alaska-based U.S. Air Force research facility that studied Earth's upper atmosphere. Conspiracy theorists claim that HAARP can be used to manipulate the weather, suggesting that it has been used to create various natural disasters, such as hurricanes and earthquakes.</t>
  </si>
  <si>
    <t>Fits but resource does not mention this conspiracy theory</t>
  </si>
  <si>
    <t>Illuminati</t>
  </si>
  <si>
    <t>https://extremismterms.adl.org/glossary/illuminati</t>
  </si>
  <si>
    <t>The Illuminati is a name applied to various groups that are believed to control world governments and are plotting to establish a New World Order. Historically, the name usually refers to the Bavarian Illuminati, a Bavarian secrety society founded by Adam Weishaupt in 1776.</t>
  </si>
  <si>
    <t>Medbeds</t>
  </si>
  <si>
    <t>https://extremismterms.adl.org/glossary/medbeds</t>
  </si>
  <si>
    <t>Medbeds, short for medical bed, refer to a conspiracy theory that members of the ‚ÄúDeep State‚Äù are using secret medical devices with magical healing properties and are hiding these devices from the public, only allowing elites to access them.Some QAnon supporters believe that former President Trump will unveil these devices and make them free for all Americans once he returns to the White House.</t>
  </si>
  <si>
    <t>MKUltra</t>
  </si>
  <si>
    <t>https://extremismterms.adl.org/glossary/mkultra</t>
  </si>
  <si>
    <t>MKUltra was a top-secret CIA mind control research program that ran from 1953 to 1973. It has been the subject of numerous conspiracy theories since it was made public in 1975, such as claims that various assassins and mass shooters were "MKUltra puppets" manipulated by the government into carrying out their attacks.</t>
  </si>
  <si>
    <t>NESARA/GESARA</t>
  </si>
  <si>
    <t>https://extremismterms.adl.org/glossary/nesaragesara</t>
  </si>
  <si>
    <t>NESARA/GESARA refers to a conspiracy theory, promoted by Shaini Goodwin (also known as the "Dove of Oneness"), that all debts will be wiped out in a radical reset of the U.S. economy. It is a reference to the National Economic Security and Recovery Act (NESARA), a set of U.S. economic reforms proposed in the 1990s, which included abolishing compound interest on loans, replacing income tax with a national sales tax and returning U.S. currency to the gold standard. While the proposals were never actually introduced before Congress, conspiracy theorists like Goodwin claim that they were secretly passed by Congress and then suppressed by George W. Bush in the wake of the 9/11 attacks.</t>
  </si>
  <si>
    <t>World Economic Forum (WEF)</t>
  </si>
  <si>
    <t>https://extremismterms.adl.org/glossary/world-economic-forum-wef</t>
  </si>
  <si>
    <t>The World Economic Forum (WEF) is an international organization founded by Klaus Schwab which brings political and business leaders together each year to discuss issues impacting the global economy. Conspiracy theorists believe the WEF and its "Great Reset" initiative, an effort to reduce global inequality and advance environmental initiatives in the wake of the Covid-19 pandemic, is actually a tool being used by the elites to reorganize society and institute a global, totalitarian regime. See also: Great Reset</t>
  </si>
  <si>
    <t>Weird entry title</t>
  </si>
  <si>
    <t>Catechism of a Revolutionary</t>
  </si>
  <si>
    <t>https://extremismterms.adl.org/glossary/catechism-revolutionary</t>
  </si>
  <si>
    <t>Catechism of a Revolutionary is a manifesto written in 1869 by Russian revolutionary Sergey Nechayev. It urges readers to completely devote themselves to revolution and to the "merciless" destruction of the enemy. The manifesto was widely used during revolutionary movements in Czarist Russia. Today the manifesto is an important text for accelerationists.</t>
  </si>
  <si>
    <t>Will2Rise</t>
  </si>
  <si>
    <t>https://extremismterms.adl.org/glossary/will2rise</t>
  </si>
  <si>
    <t>Will2Rise is the white supremacist clothing line for the Rise Above Movement (R.A.M.) founded by Rob Rundo. Its website states: "All products and designs are created by those who share our values and identity. All products are made in Eastern Europe, so not a single hand touches the production that is not of like mind."</t>
  </si>
  <si>
    <t>https://www.adl.org/resources/article/rise-above-movement-plants-flag-white-power-music-scene</t>
  </si>
  <si>
    <t>Better to use the resource that actually mentions the term/entity</t>
  </si>
  <si>
    <t>Manosphere</t>
  </si>
  <si>
    <t>https://extremismterms.adl.org/glossary/manosphere</t>
  </si>
  <si>
    <t>The manosphere is a primarily online space of misogynistic factions, including Pick Up Artists (PUA), Men"s Rights Activists (MRAs), Incels (Involuntary celibates) and others who perpetuate misogyny and a toxic iteration of masculinity.</t>
  </si>
  <si>
    <t>Sinophobia</t>
  </si>
  <si>
    <t>https://extremismterms.adl.org/glossary/sinophobia</t>
  </si>
  <si>
    <t>Sinophobia is a fear or dislike of China, or Chinese people, language or culture. It has spiked steeply since COVID-19 began to spread.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</si>
</sst>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1"/>
      <color rgb="FF000000"/>
      <name val="Aptos Narrow"/>
    </font>
    <font>
      <sz val="11"/>
      <color rgb="FF000000"/>
      <name val="Aptos Narrow"/>
      <family val="2"/>
    </font>
    <font>
      <u/>
      <sz val="12"/>
      <color theme="10"/>
      <name val="Aptos Narrow"/>
      <family val="2"/>
      <scheme val="minor"/>
    </font>
    <font>
      <sz val="11"/>
      <color rgb="FF242424"/>
      <name val="Aptos Narrow"/>
      <charset val="1"/>
    </font>
    <font>
      <u/>
      <sz val="12"/>
      <color rgb="FF467886"/>
      <name val="Aptos Narrow"/>
      <charset val="1"/>
    </font>
    <font>
      <b/>
      <sz val="11"/>
      <color rgb="FF000000"/>
      <name val="Aptos Narrow"/>
      <family val="2"/>
    </font>
    <font>
      <sz val="12"/>
      <color rgb="FF000000"/>
      <name val="Aptos Narrow"/>
      <family val="2"/>
      <scheme val="minor"/>
    </font>
    <font>
      <sz val="12"/>
      <color rgb="FF000000"/>
      <name val="Aptos Narrow"/>
      <charset val="1"/>
    </font>
    <font>
      <sz val="12"/>
      <color rgb="FF467886"/>
      <name val="Aptos Narrow"/>
      <scheme val="minor"/>
    </font>
    <font>
      <u/>
      <sz val="12"/>
      <color rgb="FF467886"/>
      <name val="Aptos Narrow"/>
      <scheme val="minor"/>
    </font>
    <font>
      <u/>
      <sz val="12"/>
      <color rgb="FF467886"/>
      <name val="Aptos Narrow"/>
      <family val="2"/>
      <scheme val="minor"/>
    </font>
    <font>
      <u/>
      <sz val="12"/>
      <color rgb="FF467886"/>
      <name val="Aptos Narrow"/>
    </font>
    <font>
      <sz val="11"/>
      <color rgb="FFD1D2D3"/>
      <name val="Slack-Lato"/>
      <charset val="1"/>
    </font>
    <font>
      <sz val="12"/>
      <color rgb="FF467886"/>
      <name val="Aptos Narrow"/>
      <family val="2"/>
      <scheme val="minor"/>
    </font>
    <font>
      <sz val="11"/>
      <color theme="1"/>
      <name val="Aptos"/>
      <family val="2"/>
      <charset val="1"/>
    </font>
    <font>
      <sz val="12"/>
      <color rgb="FF222222"/>
      <name val="Aptos Narrow"/>
      <scheme val="minor"/>
    </font>
    <font>
      <sz val="12"/>
      <color rgb="FF467886"/>
      <name val="Aptos Narrow"/>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rgb="FF000000"/>
      </right>
      <top/>
      <bottom/>
      <diagonal/>
    </border>
    <border>
      <left/>
      <right style="medium">
        <color rgb="FF000000"/>
      </right>
      <top/>
      <bottom style="medium">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applyNumberFormat="0" applyFill="0" applyBorder="0" applyAlignment="0" applyProtection="0"/>
  </cellStyleXfs>
  <cellXfs count="57">
    <xf numFmtId="0" fontId="0" fillId="0" borderId="0" xfId="0"/>
    <xf numFmtId="0" fontId="0" fillId="0" borderId="0" xfId="0" applyAlignment="1">
      <alignment horizontal="left" vertical="top" wrapText="1"/>
    </xf>
    <xf numFmtId="9" fontId="0" fillId="0" borderId="0" xfId="0" applyNumberFormat="1" applyAlignment="1">
      <alignment horizontal="left" vertical="top" wrapText="1"/>
    </xf>
    <xf numFmtId="0" fontId="18" fillId="33" borderId="0" xfId="0" applyFont="1" applyFill="1" applyAlignment="1">
      <alignment horizontal="left" vertical="top" wrapText="1"/>
    </xf>
    <xf numFmtId="0" fontId="19" fillId="0" borderId="0" xfId="0" applyFont="1"/>
    <xf numFmtId="0" fontId="20" fillId="0" borderId="0" xfId="0" applyFont="1" applyFill="1" applyBorder="1" applyAlignment="1"/>
    <xf numFmtId="0" fontId="20" fillId="0" borderId="0" xfId="0" applyFont="1" applyFill="1" applyBorder="1" applyAlignment="1">
      <alignment wrapText="1"/>
    </xf>
    <xf numFmtId="0" fontId="21" fillId="0" borderId="0" xfId="42" applyFill="1" applyBorder="1" applyAlignment="1">
      <alignment wrapText="1"/>
    </xf>
    <xf numFmtId="0" fontId="21" fillId="0" borderId="0" xfId="42" applyFill="1" applyBorder="1" applyAlignment="1"/>
    <xf numFmtId="0" fontId="21" fillId="0" borderId="0" xfId="42" applyAlignment="1">
      <alignment horizontal="left" vertical="top" wrapText="1"/>
    </xf>
    <xf numFmtId="0" fontId="21" fillId="0" borderId="0" xfId="42"/>
    <xf numFmtId="0" fontId="21" fillId="0" borderId="10" xfId="42" applyBorder="1"/>
    <xf numFmtId="0" fontId="16" fillId="33" borderId="0" xfId="0" applyFont="1" applyFill="1" applyAlignment="1">
      <alignment horizontal="left" vertical="top" wrapText="1"/>
    </xf>
    <xf numFmtId="0" fontId="19" fillId="0" borderId="0" xfId="0" applyFont="1" applyAlignment="1">
      <alignment wrapText="1"/>
    </xf>
    <xf numFmtId="0" fontId="21" fillId="0" borderId="0" xfId="42" applyAlignment="1">
      <alignment wrapText="1"/>
    </xf>
    <xf numFmtId="0" fontId="22" fillId="0" borderId="0" xfId="0" applyFont="1"/>
    <xf numFmtId="0" fontId="0" fillId="0" borderId="10" xfId="0" applyBorder="1"/>
    <xf numFmtId="0" fontId="0" fillId="0" borderId="11" xfId="0" applyBorder="1"/>
    <xf numFmtId="9" fontId="0" fillId="0" borderId="0" xfId="0" applyNumberFormat="1"/>
    <xf numFmtId="0" fontId="0" fillId="0" borderId="0" xfId="0" applyFont="1"/>
    <xf numFmtId="0" fontId="24" fillId="33" borderId="0" xfId="0" applyFont="1" applyFill="1" applyBorder="1" applyAlignment="1">
      <alignment vertical="top" wrapText="1"/>
    </xf>
    <xf numFmtId="0" fontId="25" fillId="0" borderId="0" xfId="42" applyFont="1" applyFill="1" applyBorder="1" applyAlignment="1">
      <alignment wrapText="1"/>
    </xf>
    <xf numFmtId="0" fontId="21" fillId="0" borderId="0" xfId="42" applyAlignment="1">
      <alignment horizontal="left" wrapText="1"/>
    </xf>
    <xf numFmtId="0" fontId="18" fillId="33" borderId="0" xfId="0" applyFont="1" applyFill="1" applyAlignment="1">
      <alignment horizontal="left" wrapText="1"/>
    </xf>
    <xf numFmtId="0" fontId="0" fillId="0" borderId="0" xfId="0" applyAlignment="1">
      <alignment horizontal="left" wrapText="1"/>
    </xf>
    <xf numFmtId="0" fontId="21" fillId="0" borderId="0" xfId="42" applyAlignment="1"/>
    <xf numFmtId="0" fontId="22" fillId="0" borderId="0" xfId="0" applyFont="1" applyAlignment="1"/>
    <xf numFmtId="0" fontId="23" fillId="0" borderId="0" xfId="0" applyFont="1" applyAlignment="1"/>
    <xf numFmtId="0" fontId="29" fillId="0" borderId="0" xfId="42" applyFont="1" applyAlignment="1">
      <alignment horizontal="left" vertical="top" wrapText="1"/>
    </xf>
    <xf numFmtId="0" fontId="21" fillId="0" borderId="0" xfId="42" applyBorder="1"/>
    <xf numFmtId="0" fontId="21" fillId="0" borderId="10" xfId="42" applyFill="1" applyBorder="1" applyAlignment="1">
      <alignment wrapText="1"/>
    </xf>
    <xf numFmtId="0" fontId="20" fillId="0" borderId="10" xfId="0" applyFont="1" applyFill="1" applyBorder="1" applyAlignment="1">
      <alignment wrapText="1"/>
    </xf>
    <xf numFmtId="0" fontId="30" fillId="0" borderId="10" xfId="0" applyFont="1" applyBorder="1"/>
    <xf numFmtId="0" fontId="0" fillId="0" borderId="0" xfId="0" applyFill="1" applyAlignment="1">
      <alignment wrapText="1"/>
    </xf>
    <xf numFmtId="0" fontId="21" fillId="0" borderId="10" xfId="42" applyBorder="1" applyAlignment="1">
      <alignment wrapText="1"/>
    </xf>
    <xf numFmtId="0" fontId="31" fillId="0" borderId="0" xfId="0" applyFont="1" applyAlignment="1">
      <alignment wrapText="1"/>
    </xf>
    <xf numFmtId="0" fontId="32" fillId="0" borderId="0" xfId="42" applyFont="1" applyAlignment="1">
      <alignment horizontal="left" vertical="top" wrapText="1"/>
    </xf>
    <xf numFmtId="0" fontId="27" fillId="0" borderId="0" xfId="42" applyFont="1" applyAlignment="1">
      <alignment horizontal="left" wrapText="1"/>
    </xf>
    <xf numFmtId="0" fontId="18" fillId="33" borderId="0" xfId="0" applyFont="1" applyFill="1" applyAlignment="1">
      <alignment vertical="top" wrapText="1"/>
    </xf>
    <xf numFmtId="0" fontId="0" fillId="0" borderId="0" xfId="0" applyAlignment="1">
      <alignment vertical="top" wrapText="1"/>
    </xf>
    <xf numFmtId="0" fontId="0" fillId="0" borderId="0" xfId="0" applyFill="1" applyAlignment="1">
      <alignment horizontal="left" vertical="top" wrapText="1"/>
    </xf>
    <xf numFmtId="0" fontId="0" fillId="0" borderId="0" xfId="0" applyFill="1" applyAlignment="1">
      <alignment vertical="top" wrapText="1"/>
    </xf>
    <xf numFmtId="0" fontId="16" fillId="0" borderId="0" xfId="0" applyFont="1" applyAlignment="1">
      <alignment horizontal="left" vertical="top" wrapText="1"/>
    </xf>
    <xf numFmtId="0" fontId="16" fillId="0" borderId="0" xfId="0" applyFont="1" applyAlignment="1">
      <alignment vertical="top" wrapText="1"/>
    </xf>
    <xf numFmtId="0" fontId="0" fillId="0" borderId="0" xfId="0" applyFont="1" applyAlignment="1">
      <alignment horizontal="left" vertical="top" wrapText="1"/>
    </xf>
    <xf numFmtId="0" fontId="0" fillId="0" borderId="0" xfId="0" applyFont="1" applyAlignment="1">
      <alignment vertical="top" wrapText="1"/>
    </xf>
    <xf numFmtId="0" fontId="33" fillId="0" borderId="0" xfId="0" applyFont="1" applyAlignment="1">
      <alignment horizontal="left" vertical="top"/>
    </xf>
    <xf numFmtId="0" fontId="0" fillId="0" borderId="0" xfId="0" applyAlignment="1">
      <alignment vertical="top"/>
    </xf>
    <xf numFmtId="0" fontId="26" fillId="0" borderId="0" xfId="0" applyFont="1" applyAlignment="1">
      <alignment wrapText="1"/>
    </xf>
    <xf numFmtId="0" fontId="22" fillId="0" borderId="0" xfId="0" applyFont="1" applyAlignment="1">
      <alignment wrapText="1"/>
    </xf>
    <xf numFmtId="0" fontId="33" fillId="0" borderId="0" xfId="0" applyFont="1" applyAlignment="1">
      <alignment vertical="top"/>
    </xf>
    <xf numFmtId="0" fontId="23" fillId="0" borderId="0" xfId="0" applyFont="1" applyAlignment="1">
      <alignment wrapText="1"/>
    </xf>
    <xf numFmtId="0" fontId="34" fillId="0" borderId="0" xfId="0" applyFont="1"/>
    <xf numFmtId="0" fontId="21" fillId="0" borderId="0" xfId="42" applyBorder="1" applyAlignment="1">
      <alignment wrapText="1"/>
    </xf>
    <xf numFmtId="0" fontId="26" fillId="0" borderId="0" xfId="0" applyFont="1"/>
    <xf numFmtId="0" fontId="21" fillId="0" borderId="10" xfId="42" applyFill="1" applyBorder="1" applyAlignment="1"/>
    <xf numFmtId="0" fontId="35"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Maxfield, Rebecca" id="{FD8CDE64-DDC5-47FC-98C4-7FD0C9170E3C}" userId="" providerI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J914" dT="2025-10-01T18:44:08.90" personId="{FD8CDE64-DDC5-47FC-98C4-7FD0C9170E3C}" id="{3D8EA60D-E22A-4BF4-85EB-CF2F4CFAEAB8}">
    <text>The regional sites, including this one, are midway through being overhauled (to the point that work on them was pre-empted by this crisis!) and I don't know off the top of my head if this page will still exist.</text>
  </threadedComment>
</ThreadedComments>
</file>

<file path=xl/worksheets/_rels/sheet2.xml.rels><?xml version="1.0" encoding="UTF-8" standalone="yes"?>
<Relationships xmlns="http://schemas.openxmlformats.org/package/2006/relationships"><Relationship Id="rId117" Type="http://schemas.openxmlformats.org/officeDocument/2006/relationships/hyperlink" Target="https://www.adl.org/resources/backgrounder/qanon" TargetMode="External"/><Relationship Id="rId21" Type="http://schemas.openxmlformats.org/officeDocument/2006/relationships/hyperlink" Target="https://www.adl.org/resources/backgrounder/incels-involuntary-celibates" TargetMode="External"/><Relationship Id="rId42" Type="http://schemas.openxmlformats.org/officeDocument/2006/relationships/hyperlink" Target="https://www.adl.org/resources/backgrounder/goyim-defense-league" TargetMode="External"/><Relationship Id="rId63" Type="http://schemas.openxmlformats.org/officeDocument/2006/relationships/hyperlink" Target="https://www.adl.org/resources/backgrounder/qanon" TargetMode="External"/><Relationship Id="rId84" Type="http://schemas.openxmlformats.org/officeDocument/2006/relationships/hyperlink" Target="https://www.adl.org/resources/backgrounder/sovereign-citizen-movement-united-states" TargetMode="External"/><Relationship Id="rId138" Type="http://schemas.openxmlformats.org/officeDocument/2006/relationships/hyperlink" Target="https://www.adl.org/resources/backgrounder/accelerationism" TargetMode="External"/><Relationship Id="rId159" Type="http://schemas.openxmlformats.org/officeDocument/2006/relationships/hyperlink" Target="https://www.adl.org/resources/backgrounder/764" TargetMode="External"/><Relationship Id="rId107" Type="http://schemas.openxmlformats.org/officeDocument/2006/relationships/hyperlink" Target="https://www.adl.org/resources/backgrounder/qanon" TargetMode="External"/><Relationship Id="rId11" Type="http://schemas.openxmlformats.org/officeDocument/2006/relationships/hyperlink" Target="https://www.adl.org/resources/article/coded-hate-extremists-weaponize-seemingly-innocuous-content-promote-bigotry" TargetMode="External"/><Relationship Id="rId32" Type="http://schemas.openxmlformats.org/officeDocument/2006/relationships/hyperlink" Target="https://www.adl.org/resources/backgrounder/qanon" TargetMode="External"/><Relationship Id="rId53" Type="http://schemas.openxmlformats.org/officeDocument/2006/relationships/hyperlink" Target="https://www.adl.org/resources/article/extremist-medicine-cabinet-guide-online-pills" TargetMode="External"/><Relationship Id="rId74" Type="http://schemas.openxmlformats.org/officeDocument/2006/relationships/hyperlink" Target="https://www.adl.org/resources/backgrounder/sovereign-citizen-movement-united-states" TargetMode="External"/><Relationship Id="rId128" Type="http://schemas.openxmlformats.org/officeDocument/2006/relationships/hyperlink" Target="https://www.adl.org/resources/backgrounder/incels-involuntary-celibates" TargetMode="External"/><Relationship Id="rId149" Type="http://schemas.openxmlformats.org/officeDocument/2006/relationships/hyperlink" Target="https://www.adl.org/resources/backgrounder/alt-right-alt-lite-naming-hate" TargetMode="External"/><Relationship Id="rId5" Type="http://schemas.openxmlformats.org/officeDocument/2006/relationships/hyperlink" Target="https://www.adl.org/resources/backgrounder/sovereign-citizen-movement-united-states" TargetMode="External"/><Relationship Id="rId95" Type="http://schemas.openxmlformats.org/officeDocument/2006/relationships/hyperlink" Target="https://www.adl.org/resources/backgrounder/qanon" TargetMode="External"/><Relationship Id="rId160" Type="http://schemas.openxmlformats.org/officeDocument/2006/relationships/hyperlink" Target="https://www.adl.org/resources/backgrounder/764" TargetMode="External"/><Relationship Id="rId22" Type="http://schemas.openxmlformats.org/officeDocument/2006/relationships/hyperlink" Target="https://www.adl.org/resources/backgrounder/incels-involuntary-celibates" TargetMode="External"/><Relationship Id="rId43" Type="http://schemas.openxmlformats.org/officeDocument/2006/relationships/hyperlink" Target="https://www.adl.org/resources/backgrounder/e-michael-jones" TargetMode="External"/><Relationship Id="rId64" Type="http://schemas.openxmlformats.org/officeDocument/2006/relationships/hyperlink" Target="https://www.adl.org/resources/backgrounder/american-blackshirts-movement-abm" TargetMode="External"/><Relationship Id="rId118" Type="http://schemas.openxmlformats.org/officeDocument/2006/relationships/hyperlink" Target="https://www.adl.org/resources/backgrounder/qanon" TargetMode="External"/><Relationship Id="rId139" Type="http://schemas.openxmlformats.org/officeDocument/2006/relationships/hyperlink" Target="https://www.adl.org/resources/backgrounder/accelerationism" TargetMode="External"/><Relationship Id="rId85" Type="http://schemas.openxmlformats.org/officeDocument/2006/relationships/hyperlink" Target="https://www.adl.org/resources/backgrounder/sovereign-citizen-movement-united-states" TargetMode="External"/><Relationship Id="rId150" Type="http://schemas.openxmlformats.org/officeDocument/2006/relationships/hyperlink" Target="https://www.adl.org/resources/backgrounder/alt-right-alt-lite-naming-hate" TargetMode="External"/><Relationship Id="rId12" Type="http://schemas.openxmlformats.org/officeDocument/2006/relationships/hyperlink" Target="https://www.adl.org/resources/article/coded-hate-extremists-weaponize-seemingly-innocuous-content-promote-bigotry" TargetMode="External"/><Relationship Id="rId17" Type="http://schemas.openxmlformats.org/officeDocument/2006/relationships/hyperlink" Target="https://www.adl.org/resources/backgrounder/incels-involuntary-celibates" TargetMode="External"/><Relationship Id="rId33" Type="http://schemas.openxmlformats.org/officeDocument/2006/relationships/hyperlink" Target="https://www.adl.org/resources/article/coded-hate-extremists-weaponize-seemingly-innocuous-content-promote-bigotry" TargetMode="External"/><Relationship Id="rId38" Type="http://schemas.openxmlformats.org/officeDocument/2006/relationships/hyperlink" Target="https://www.adl.org/resources/backgrounder/great-replacement-explainer" TargetMode="External"/><Relationship Id="rId59" Type="http://schemas.openxmlformats.org/officeDocument/2006/relationships/hyperlink" Target="https://www.adl.org/resources/article/extremist-medicine-cabinet-guide-online-pills" TargetMode="External"/><Relationship Id="rId103" Type="http://schemas.openxmlformats.org/officeDocument/2006/relationships/hyperlink" Target="https://www.adl.org/resources/backgrounder/qanon" TargetMode="External"/><Relationship Id="rId108" Type="http://schemas.openxmlformats.org/officeDocument/2006/relationships/hyperlink" Target="https://www.adl.org/resources/backgrounder/qanon" TargetMode="External"/><Relationship Id="rId124" Type="http://schemas.openxmlformats.org/officeDocument/2006/relationships/hyperlink" Target="https://www.adl.org/resources/backgrounder/incels-involuntary-celibates" TargetMode="External"/><Relationship Id="rId129" Type="http://schemas.openxmlformats.org/officeDocument/2006/relationships/hyperlink" Target="https://www.adl.org/resources/backgrounder/incels-involuntary-celibates" TargetMode="External"/><Relationship Id="rId54" Type="http://schemas.openxmlformats.org/officeDocument/2006/relationships/hyperlink" Target="https://www.adl.org/resources/article/extremist-medicine-cabinet-guide-online-pills" TargetMode="External"/><Relationship Id="rId70" Type="http://schemas.openxmlformats.org/officeDocument/2006/relationships/hyperlink" Target="https://www.adl.org/resources/backgrounder/sovereign-citizen-movement-united-states" TargetMode="External"/><Relationship Id="rId75" Type="http://schemas.openxmlformats.org/officeDocument/2006/relationships/hyperlink" Target="https://www.adl.org/resources/backgrounder/sovereign-citizen-movement-united-states" TargetMode="External"/><Relationship Id="rId91" Type="http://schemas.openxmlformats.org/officeDocument/2006/relationships/hyperlink" Target="https://www.adl.org/resources/backgrounder/qanon" TargetMode="External"/><Relationship Id="rId96" Type="http://schemas.openxmlformats.org/officeDocument/2006/relationships/hyperlink" Target="https://www.adl.org/resources/backgrounder/qanon" TargetMode="External"/><Relationship Id="rId140" Type="http://schemas.openxmlformats.org/officeDocument/2006/relationships/hyperlink" Target="https://www.adl.org/resources/backgrounder/accelerationism" TargetMode="External"/><Relationship Id="rId145" Type="http://schemas.openxmlformats.org/officeDocument/2006/relationships/hyperlink" Target="https://www.adl.org/resources/backgrounder/alt-right-alt-lite-naming-hate" TargetMode="External"/><Relationship Id="rId161" Type="http://schemas.openxmlformats.org/officeDocument/2006/relationships/hyperlink" Target="https://www.adl.org/resources/backgrounder/764" TargetMode="External"/><Relationship Id="rId166" Type="http://schemas.openxmlformats.org/officeDocument/2006/relationships/hyperlink" Target="https://www.adl.org/resources/backgrounder/proud-boys-0" TargetMode="External"/><Relationship Id="rId1" Type="http://schemas.openxmlformats.org/officeDocument/2006/relationships/hyperlink" Target="https://www.adl.org/resources/backgrounder/incels-involuntary-celibates" TargetMode="External"/><Relationship Id="rId6" Type="http://schemas.openxmlformats.org/officeDocument/2006/relationships/hyperlink" Target="https://www.adl.org/resources/article/israel-hamas-ceasefire-sparks-fresh-wave-antisemitism-support-terror-us-anti" TargetMode="External"/><Relationship Id="rId23" Type="http://schemas.openxmlformats.org/officeDocument/2006/relationships/hyperlink" Target="https://www.adl.org/resources/backgrounder/incels-involuntary-celibates" TargetMode="External"/><Relationship Id="rId28" Type="http://schemas.openxmlformats.org/officeDocument/2006/relationships/hyperlink" Target="https://www.adl.org/resources/article/mens-rights-activists-what-you-need-know" TargetMode="External"/><Relationship Id="rId49" Type="http://schemas.openxmlformats.org/officeDocument/2006/relationships/hyperlink" Target="https://www.adl.org/resources/article/extremist-medicine-cabinet-guide-online-pills" TargetMode="External"/><Relationship Id="rId114" Type="http://schemas.openxmlformats.org/officeDocument/2006/relationships/hyperlink" Target="https://www.adl.org/resources/backgrounder/qanon" TargetMode="External"/><Relationship Id="rId119" Type="http://schemas.openxmlformats.org/officeDocument/2006/relationships/hyperlink" Target="https://www.adl.org/resources/backgrounder/incels-involuntary-celibates" TargetMode="External"/><Relationship Id="rId44" Type="http://schemas.openxmlformats.org/officeDocument/2006/relationships/hyperlink" Target="https://www.adl.org/resources/article/terrorgram-collective-international-terrorists-promoting-violence-and-white" TargetMode="External"/><Relationship Id="rId60" Type="http://schemas.openxmlformats.org/officeDocument/2006/relationships/hyperlink" Target="https://www.adl.org/resources/backgrounder/qanon" TargetMode="External"/><Relationship Id="rId65" Type="http://schemas.openxmlformats.org/officeDocument/2006/relationships/hyperlink" Target="https://www.adl.org/resources/backgrounder/qanon" TargetMode="External"/><Relationship Id="rId81" Type="http://schemas.openxmlformats.org/officeDocument/2006/relationships/hyperlink" Target="https://www.adl.org/resources/backgrounder/sovereign-citizen-movement-united-states" TargetMode="External"/><Relationship Id="rId86" Type="http://schemas.openxmlformats.org/officeDocument/2006/relationships/hyperlink" Target="https://www.adl.org/resources/backgrounder/sovereign-citizen-movement-united-states" TargetMode="External"/><Relationship Id="rId130" Type="http://schemas.openxmlformats.org/officeDocument/2006/relationships/hyperlink" Target="https://www.adl.org/resources/backgrounder/incels-involuntary-celibates" TargetMode="External"/><Relationship Id="rId135" Type="http://schemas.openxmlformats.org/officeDocument/2006/relationships/hyperlink" Target="https://www.adl.org/resources/backgrounder/accelerationism" TargetMode="External"/><Relationship Id="rId151" Type="http://schemas.openxmlformats.org/officeDocument/2006/relationships/hyperlink" Target="https://www.adl.org/resources/backgrounder/alt-right-alt-lite-naming-hate" TargetMode="External"/><Relationship Id="rId156" Type="http://schemas.openxmlformats.org/officeDocument/2006/relationships/hyperlink" Target="https://www.adl.org/resources/backgrounder/764" TargetMode="External"/><Relationship Id="rId13" Type="http://schemas.openxmlformats.org/officeDocument/2006/relationships/hyperlink" Target="https://www.adl.org/resources/article/coded-hate-extremists-weaponize-seemingly-innocuous-content-promote-bigotry" TargetMode="External"/><Relationship Id="rId18" Type="http://schemas.openxmlformats.org/officeDocument/2006/relationships/hyperlink" Target="https://www.adl.org/holocaust-denial-anatomy-antisemitic-conspiracy-theory" TargetMode="External"/><Relationship Id="rId39" Type="http://schemas.openxmlformats.org/officeDocument/2006/relationships/hyperlink" Target="https://www.adl.org/resources/backgrounder/sovereign-citizen-movement-united-states" TargetMode="External"/><Relationship Id="rId109" Type="http://schemas.openxmlformats.org/officeDocument/2006/relationships/hyperlink" Target="https://www.adl.org/resources/backgrounder/qanon" TargetMode="External"/><Relationship Id="rId34" Type="http://schemas.openxmlformats.org/officeDocument/2006/relationships/hyperlink" Target="https://www.adl.org/resources/report/antisemitic-conspiracies-about-911-endure-20-years-later" TargetMode="External"/><Relationship Id="rId50" Type="http://schemas.openxmlformats.org/officeDocument/2006/relationships/hyperlink" Target="https://www.adl.org/resources/article/extremist-medicine-cabinet-guide-online-pills" TargetMode="External"/><Relationship Id="rId55" Type="http://schemas.openxmlformats.org/officeDocument/2006/relationships/hyperlink" Target="https://www.adl.org/resources/article/extremist-medicine-cabinet-guide-online-pills" TargetMode="External"/><Relationship Id="rId76" Type="http://schemas.openxmlformats.org/officeDocument/2006/relationships/hyperlink" Target="https://www.adl.org/resources/backgrounder/sovereign-citizen-movement-united-states" TargetMode="External"/><Relationship Id="rId97" Type="http://schemas.openxmlformats.org/officeDocument/2006/relationships/hyperlink" Target="https://www.adl.org/resources/backgrounder/qanon" TargetMode="External"/><Relationship Id="rId104" Type="http://schemas.openxmlformats.org/officeDocument/2006/relationships/hyperlink" Target="https://www.adl.org/resources/backgrounder/qanon" TargetMode="External"/><Relationship Id="rId120" Type="http://schemas.openxmlformats.org/officeDocument/2006/relationships/hyperlink" Target="https://www.adl.org/resources/backgrounder/incels-involuntary-celibates" TargetMode="External"/><Relationship Id="rId125" Type="http://schemas.openxmlformats.org/officeDocument/2006/relationships/hyperlink" Target="https://www.adl.org/resources/backgrounder/incels-involuntary-celibates" TargetMode="External"/><Relationship Id="rId141" Type="http://schemas.openxmlformats.org/officeDocument/2006/relationships/hyperlink" Target="https://www.adl.org/resources/backgrounder/alt-right-alt-lite-naming-hate" TargetMode="External"/><Relationship Id="rId146" Type="http://schemas.openxmlformats.org/officeDocument/2006/relationships/hyperlink" Target="https://www.adl.org/resources/backgrounder/alt-right-alt-lite-naming-hate" TargetMode="External"/><Relationship Id="rId167" Type="http://schemas.openxmlformats.org/officeDocument/2006/relationships/hyperlink" Target="https://www.adl.org/resources/backgrounder/proud-boys-0" TargetMode="External"/><Relationship Id="rId7" Type="http://schemas.openxmlformats.org/officeDocument/2006/relationships/hyperlink" Target="https://www.adl.org/resources/article/another-weekend-hate-neo-nazis-gather-florida" TargetMode="External"/><Relationship Id="rId71" Type="http://schemas.openxmlformats.org/officeDocument/2006/relationships/hyperlink" Target="https://www.adl.org/resources/backgrounder/sovereign-citizen-movement-united-states" TargetMode="External"/><Relationship Id="rId92" Type="http://schemas.openxmlformats.org/officeDocument/2006/relationships/hyperlink" Target="https://www.adl.org/resources/backgrounder/qanon" TargetMode="External"/><Relationship Id="rId162" Type="http://schemas.openxmlformats.org/officeDocument/2006/relationships/hyperlink" Target="https://www.adl.org/resources/backgrounder/764" TargetMode="External"/><Relationship Id="rId2" Type="http://schemas.openxmlformats.org/officeDocument/2006/relationships/hyperlink" Target="https://www.adl.org/resources/article/qanon-adherents-reeling-wake-inauguration-trump-departure" TargetMode="External"/><Relationship Id="rId29" Type="http://schemas.openxmlformats.org/officeDocument/2006/relationships/hyperlink" Target="https://www.adl.org/resources/backgrounder/incels-involuntary-celibates" TargetMode="External"/><Relationship Id="rId24" Type="http://schemas.openxmlformats.org/officeDocument/2006/relationships/hyperlink" Target="https://www.adl.org/resources/backgrounder/qanon" TargetMode="External"/><Relationship Id="rId40" Type="http://schemas.openxmlformats.org/officeDocument/2006/relationships/hyperlink" Target="https://www.adl.org/resources/backgrounder/christian-identity-movement" TargetMode="External"/><Relationship Id="rId45" Type="http://schemas.openxmlformats.org/officeDocument/2006/relationships/hyperlink" Target="https://www.adl.org/resources/backgrounder/hamas" TargetMode="External"/><Relationship Id="rId66" Type="http://schemas.openxmlformats.org/officeDocument/2006/relationships/hyperlink" Target="https://www.adl.org/resources/article/white-supremacist-propaganda-focused-jews-and-immigrants-2024" TargetMode="External"/><Relationship Id="rId87" Type="http://schemas.openxmlformats.org/officeDocument/2006/relationships/hyperlink" Target="https://www.adl.org/resources/backgrounder/qanon" TargetMode="External"/><Relationship Id="rId110" Type="http://schemas.openxmlformats.org/officeDocument/2006/relationships/hyperlink" Target="https://www.adl.org/resources/backgrounder/qanon" TargetMode="External"/><Relationship Id="rId115" Type="http://schemas.openxmlformats.org/officeDocument/2006/relationships/hyperlink" Target="https://www.adl.org/resources/backgrounder/qanon" TargetMode="External"/><Relationship Id="rId131" Type="http://schemas.openxmlformats.org/officeDocument/2006/relationships/hyperlink" Target="https://www.adl.org/resources/backgrounder/accelerationism" TargetMode="External"/><Relationship Id="rId136" Type="http://schemas.openxmlformats.org/officeDocument/2006/relationships/hyperlink" Target="https://www.adl.org/resources/backgrounder/accelerationism" TargetMode="External"/><Relationship Id="rId157" Type="http://schemas.openxmlformats.org/officeDocument/2006/relationships/hyperlink" Target="https://www.adl.org/resources/backgrounder/764" TargetMode="External"/><Relationship Id="rId61" Type="http://schemas.openxmlformats.org/officeDocument/2006/relationships/hyperlink" Target="https://adl.org/resources/backgrounder/groyper-army-and-america-first" TargetMode="External"/><Relationship Id="rId82" Type="http://schemas.openxmlformats.org/officeDocument/2006/relationships/hyperlink" Target="https://www.adl.org/resources/backgrounder/sovereign-citizen-movement-united-states" TargetMode="External"/><Relationship Id="rId152" Type="http://schemas.openxmlformats.org/officeDocument/2006/relationships/hyperlink" Target="https://www.adl.org/resources/backgrounder/alt-right-alt-lite-naming-hate" TargetMode="External"/><Relationship Id="rId19" Type="http://schemas.openxmlformats.org/officeDocument/2006/relationships/hyperlink" Target="https://www.adl.org/holocaust-denial-anatomy-antisemitic-conspiracy-theory" TargetMode="External"/><Relationship Id="rId14" Type="http://schemas.openxmlformats.org/officeDocument/2006/relationships/hyperlink" Target="https://www.adl.org/resources/article/coded-hate-extremists-weaponize-seemingly-innocuous-content-promote-bigotry" TargetMode="External"/><Relationship Id="rId30" Type="http://schemas.openxmlformats.org/officeDocument/2006/relationships/hyperlink" Target="https://www.adl.org/resources/backgrounder/proud-boys" TargetMode="External"/><Relationship Id="rId35" Type="http://schemas.openxmlformats.org/officeDocument/2006/relationships/hyperlink" Target="https://www.adl.org/resources/profile/nation-islam" TargetMode="External"/><Relationship Id="rId56" Type="http://schemas.openxmlformats.org/officeDocument/2006/relationships/hyperlink" Target="https://www.adl.org/resources/article/extremist-medicine-cabinet-guide-online-pills" TargetMode="External"/><Relationship Id="rId77" Type="http://schemas.openxmlformats.org/officeDocument/2006/relationships/hyperlink" Target="https://www.adl.org/resources/backgrounder/sovereign-citizen-movement-united-states" TargetMode="External"/><Relationship Id="rId100" Type="http://schemas.openxmlformats.org/officeDocument/2006/relationships/hyperlink" Target="https://www.adl.org/resources/backgrounder/qanon" TargetMode="External"/><Relationship Id="rId105" Type="http://schemas.openxmlformats.org/officeDocument/2006/relationships/hyperlink" Target="https://www.adl.org/resources/backgrounder/qanon" TargetMode="External"/><Relationship Id="rId126" Type="http://schemas.openxmlformats.org/officeDocument/2006/relationships/hyperlink" Target="https://www.adl.org/resources/backgrounder/incels-involuntary-celibates" TargetMode="External"/><Relationship Id="rId147" Type="http://schemas.openxmlformats.org/officeDocument/2006/relationships/hyperlink" Target="https://www.adl.org/resources/backgrounder/alt-right-alt-lite-naming-hate" TargetMode="External"/><Relationship Id="rId168" Type="http://schemas.openxmlformats.org/officeDocument/2006/relationships/hyperlink" Target="https://www.adl.org/resources/backgrounder/proud-boys" TargetMode="External"/><Relationship Id="rId8" Type="http://schemas.openxmlformats.org/officeDocument/2006/relationships/hyperlink" Target="https://www.adl.org/resources/backgrounder/proud-boys" TargetMode="External"/><Relationship Id="rId51" Type="http://schemas.openxmlformats.org/officeDocument/2006/relationships/hyperlink" Target="https://www.adl.org/resources/article/extremist-medicine-cabinet-guide-online-pills" TargetMode="External"/><Relationship Id="rId72" Type="http://schemas.openxmlformats.org/officeDocument/2006/relationships/hyperlink" Target="https://www.adl.org/resources/backgrounder/sovereign-citizen-movement-united-states" TargetMode="External"/><Relationship Id="rId93" Type="http://schemas.openxmlformats.org/officeDocument/2006/relationships/hyperlink" Target="https://www.adl.org/resources/backgrounder/qanon" TargetMode="External"/><Relationship Id="rId98" Type="http://schemas.openxmlformats.org/officeDocument/2006/relationships/hyperlink" Target="https://www.adl.org/resources/backgrounder/qanon" TargetMode="External"/><Relationship Id="rId121" Type="http://schemas.openxmlformats.org/officeDocument/2006/relationships/hyperlink" Target="https://www.adl.org/resources/backgrounder/incels-involuntary-celibates" TargetMode="External"/><Relationship Id="rId142" Type="http://schemas.openxmlformats.org/officeDocument/2006/relationships/hyperlink" Target="https://www.adl.org/resources/backgrounder/alt-right-alt-lite-naming-hate" TargetMode="External"/><Relationship Id="rId163" Type="http://schemas.openxmlformats.org/officeDocument/2006/relationships/hyperlink" Target="https://www.adl.org/resources/backgrounder/764" TargetMode="External"/><Relationship Id="rId3" Type="http://schemas.openxmlformats.org/officeDocument/2006/relationships/hyperlink" Target="https://www.adl.org/resources/backgrounder/qanon" TargetMode="External"/><Relationship Id="rId25" Type="http://schemas.openxmlformats.org/officeDocument/2006/relationships/hyperlink" Target="https://www.adl.org/resources/backgrounder/sovereign-citizen-movement-united-states" TargetMode="External"/><Relationship Id="rId46" Type="http://schemas.openxmlformats.org/officeDocument/2006/relationships/hyperlink" Target="https://www.adl.org/resources/article/extremist-medicine-cabinet-guide-online-pills" TargetMode="External"/><Relationship Id="rId67" Type="http://schemas.openxmlformats.org/officeDocument/2006/relationships/hyperlink" Target="https://www.adl.org/resources/backgrounder/accelerationism" TargetMode="External"/><Relationship Id="rId116" Type="http://schemas.openxmlformats.org/officeDocument/2006/relationships/hyperlink" Target="https://www.adl.org/resources/backgrounder/qanon" TargetMode="External"/><Relationship Id="rId137" Type="http://schemas.openxmlformats.org/officeDocument/2006/relationships/hyperlink" Target="https://www.adl.org/resources/backgrounder/accelerationism" TargetMode="External"/><Relationship Id="rId158" Type="http://schemas.openxmlformats.org/officeDocument/2006/relationships/hyperlink" Target="https://www.adl.org/resources/backgrounder/764" TargetMode="External"/><Relationship Id="rId20" Type="http://schemas.openxmlformats.org/officeDocument/2006/relationships/hyperlink" Target="https://www.adl.org/resources/article/coded-hate-extremists-weaponize-seemingly-innocuous-content-promote-bigotry" TargetMode="External"/><Relationship Id="rId41" Type="http://schemas.openxmlformats.org/officeDocument/2006/relationships/hyperlink" Target="https://adl.org/resources/backgrounder/christian-identity-movement" TargetMode="External"/><Relationship Id="rId62" Type="http://schemas.openxmlformats.org/officeDocument/2006/relationships/hyperlink" Target="https://www.adl.org/resources/backgrounder/blood-tribe" TargetMode="External"/><Relationship Id="rId83" Type="http://schemas.openxmlformats.org/officeDocument/2006/relationships/hyperlink" Target="https://www.adl.org/resources/backgrounder/sovereign-citizen-movement-united-states" TargetMode="External"/><Relationship Id="rId88" Type="http://schemas.openxmlformats.org/officeDocument/2006/relationships/hyperlink" Target="https://www.adl.org/resources/backgrounder/qanon" TargetMode="External"/><Relationship Id="rId111" Type="http://schemas.openxmlformats.org/officeDocument/2006/relationships/hyperlink" Target="https://www.adl.org/resources/backgrounder/qanon" TargetMode="External"/><Relationship Id="rId132" Type="http://schemas.openxmlformats.org/officeDocument/2006/relationships/hyperlink" Target="https://www.adl.org/resources/backgrounder/accelerationism" TargetMode="External"/><Relationship Id="rId153" Type="http://schemas.openxmlformats.org/officeDocument/2006/relationships/hyperlink" Target="https://www.adl.org/resources/backgrounder/alt-right-alt-lite-naming-hate" TargetMode="External"/><Relationship Id="rId15" Type="http://schemas.openxmlformats.org/officeDocument/2006/relationships/hyperlink" Target="https://www.adl.org/resources/article/coded-hate-extremists-weaponize-seemingly-innocuous-content-promote-bigotry" TargetMode="External"/><Relationship Id="rId36" Type="http://schemas.openxmlformats.org/officeDocument/2006/relationships/hyperlink" Target="https://www.adl.org/resources/backgrounder/qanon" TargetMode="External"/><Relationship Id="rId57" Type="http://schemas.openxmlformats.org/officeDocument/2006/relationships/hyperlink" Target="https://www.adl.org/resources/article/extremist-medicine-cabinet-guide-online-pills" TargetMode="External"/><Relationship Id="rId106" Type="http://schemas.openxmlformats.org/officeDocument/2006/relationships/hyperlink" Target="https://www.adl.org/resources/backgrounder/qanon" TargetMode="External"/><Relationship Id="rId127" Type="http://schemas.openxmlformats.org/officeDocument/2006/relationships/hyperlink" Target="https://www.adl.org/resources/backgrounder/incels-involuntary-celibates" TargetMode="External"/><Relationship Id="rId10" Type="http://schemas.openxmlformats.org/officeDocument/2006/relationships/hyperlink" Target="https://www.adl.org/resources/article/coded-hate-extremists-weaponize-seemingly-innocuous-content-promote-bigotry" TargetMode="External"/><Relationship Id="rId31" Type="http://schemas.openxmlformats.org/officeDocument/2006/relationships/hyperlink" Target="https://www.adl.org/resources/report/hate-no-game-hate-and-harassment-online-games-2023" TargetMode="External"/><Relationship Id="rId52" Type="http://schemas.openxmlformats.org/officeDocument/2006/relationships/hyperlink" Target="https://www.adl.org/resources/article/extremist-medicine-cabinet-guide-online-pills" TargetMode="External"/><Relationship Id="rId73" Type="http://schemas.openxmlformats.org/officeDocument/2006/relationships/hyperlink" Target="https://www.adl.org/resources/backgrounder/sovereign-citizen-movement-united-states" TargetMode="External"/><Relationship Id="rId78" Type="http://schemas.openxmlformats.org/officeDocument/2006/relationships/hyperlink" Target="https://www.adl.org/resources/backgrounder/sovereign-citizen-movement-united-states" TargetMode="External"/><Relationship Id="rId94" Type="http://schemas.openxmlformats.org/officeDocument/2006/relationships/hyperlink" Target="https://www.adl.org/resources/backgrounder/qanon" TargetMode="External"/><Relationship Id="rId99" Type="http://schemas.openxmlformats.org/officeDocument/2006/relationships/hyperlink" Target="https://www.adl.org/resources/backgrounder/qanon" TargetMode="External"/><Relationship Id="rId101" Type="http://schemas.openxmlformats.org/officeDocument/2006/relationships/hyperlink" Target="https://www.adl.org/resources/backgrounder/qanon" TargetMode="External"/><Relationship Id="rId122" Type="http://schemas.openxmlformats.org/officeDocument/2006/relationships/hyperlink" Target="https://www.adl.org/resources/backgrounder/incels-involuntary-celibates" TargetMode="External"/><Relationship Id="rId143" Type="http://schemas.openxmlformats.org/officeDocument/2006/relationships/hyperlink" Target="https://www.adl.org/resources/backgrounder/alt-right-alt-lite-naming-hate" TargetMode="External"/><Relationship Id="rId148" Type="http://schemas.openxmlformats.org/officeDocument/2006/relationships/hyperlink" Target="https://www.adl.org/resources/backgrounder/alt-right-alt-lite-naming-hate" TargetMode="External"/><Relationship Id="rId164" Type="http://schemas.openxmlformats.org/officeDocument/2006/relationships/hyperlink" Target="https://www.adl.org/resources/backgrounder/764" TargetMode="External"/><Relationship Id="rId4" Type="http://schemas.openxmlformats.org/officeDocument/2006/relationships/hyperlink" Target="https://www.adl.org/holocaust-denial-anatomy-antisemitic-conspiracy-theory" TargetMode="External"/><Relationship Id="rId9" Type="http://schemas.openxmlformats.org/officeDocument/2006/relationships/hyperlink" Target="https://www.adl.org/resources/article/coded-hate-extremists-weaponize-seemingly-innocuous-content-promote-bigotry" TargetMode="External"/><Relationship Id="rId26" Type="http://schemas.openxmlformats.org/officeDocument/2006/relationships/hyperlink" Target="https://www.adl.org/resources/backgrounder/incels-involuntary-celibates" TargetMode="External"/><Relationship Id="rId47" Type="http://schemas.openxmlformats.org/officeDocument/2006/relationships/hyperlink" Target="https://www.adl.org/resources/backgrounder/incels-involuntary-celibates" TargetMode="External"/><Relationship Id="rId68" Type="http://schemas.openxmlformats.org/officeDocument/2006/relationships/hyperlink" Target="https://www.adl.org/resources/backgrounder/accelerationism" TargetMode="External"/><Relationship Id="rId89" Type="http://schemas.openxmlformats.org/officeDocument/2006/relationships/hyperlink" Target="https://www.adl.org/resources/backgrounder/qanon" TargetMode="External"/><Relationship Id="rId112" Type="http://schemas.openxmlformats.org/officeDocument/2006/relationships/hyperlink" Target="https://www.adl.org/resources/backgrounder/qanon" TargetMode="External"/><Relationship Id="rId133" Type="http://schemas.openxmlformats.org/officeDocument/2006/relationships/hyperlink" Target="https://www.adl.org/resources/backgrounder/accelerationism" TargetMode="External"/><Relationship Id="rId154" Type="http://schemas.openxmlformats.org/officeDocument/2006/relationships/hyperlink" Target="https://www.adl.org/resources/backgrounder/alt-right-alt-lite-naming-hate" TargetMode="External"/><Relationship Id="rId16" Type="http://schemas.openxmlformats.org/officeDocument/2006/relationships/hyperlink" Target="https://www.adl.org/resources/article/coded-hate-extremists-weaponize-seemingly-innocuous-content-promote-bigotry" TargetMode="External"/><Relationship Id="rId37" Type="http://schemas.openxmlformats.org/officeDocument/2006/relationships/hyperlink" Target="https://www.adl.org/resources/report/hate-cascade-states-extremism-antisemitism-oregon-washington" TargetMode="External"/><Relationship Id="rId58" Type="http://schemas.openxmlformats.org/officeDocument/2006/relationships/hyperlink" Target="https://www.adl.org/resources/article/extremist-medicine-cabinet-guide-online-pills" TargetMode="External"/><Relationship Id="rId79" Type="http://schemas.openxmlformats.org/officeDocument/2006/relationships/hyperlink" Target="https://www.adl.org/resources/backgrounder/sovereign-citizen-movement-united-states" TargetMode="External"/><Relationship Id="rId102" Type="http://schemas.openxmlformats.org/officeDocument/2006/relationships/hyperlink" Target="https://www.adl.org/resources/backgrounder/qanon" TargetMode="External"/><Relationship Id="rId123" Type="http://schemas.openxmlformats.org/officeDocument/2006/relationships/hyperlink" Target="https://www.adl.org/resources/backgrounder/incels-involuntary-celibates" TargetMode="External"/><Relationship Id="rId144" Type="http://schemas.openxmlformats.org/officeDocument/2006/relationships/hyperlink" Target="https://www.adl.org/resources/backgrounder/alt-right-alt-lite-naming-hate" TargetMode="External"/><Relationship Id="rId90" Type="http://schemas.openxmlformats.org/officeDocument/2006/relationships/hyperlink" Target="https://www.adl.org/resources/backgrounder/qanon" TargetMode="External"/><Relationship Id="rId165" Type="http://schemas.openxmlformats.org/officeDocument/2006/relationships/hyperlink" Target="https://www.adl.org/resources/backgrounder/proud-boys-0" TargetMode="External"/><Relationship Id="rId27" Type="http://schemas.openxmlformats.org/officeDocument/2006/relationships/hyperlink" Target="https://www.adl.org/resources/article/extremist-medicine-cabinet-guide-online-pills" TargetMode="External"/><Relationship Id="rId48" Type="http://schemas.openxmlformats.org/officeDocument/2006/relationships/hyperlink" Target="https://www.adl.org/resources/article/extremist-medicine-cabinet-guide-online-pills" TargetMode="External"/><Relationship Id="rId69" Type="http://schemas.openxmlformats.org/officeDocument/2006/relationships/hyperlink" Target="https://www.adl.org/resources/backgrounder/sovereign-citizen-movement-united-states" TargetMode="External"/><Relationship Id="rId113" Type="http://schemas.openxmlformats.org/officeDocument/2006/relationships/hyperlink" Target="https://www.adl.org/resources/backgrounder/qanon" TargetMode="External"/><Relationship Id="rId134" Type="http://schemas.openxmlformats.org/officeDocument/2006/relationships/hyperlink" Target="https://www.adl.org/resources/backgrounder/accelerationism" TargetMode="External"/><Relationship Id="rId80" Type="http://schemas.openxmlformats.org/officeDocument/2006/relationships/hyperlink" Target="https://www.adl.org/resources/backgrounder/sovereign-citizen-movement-united-states" TargetMode="External"/><Relationship Id="rId155" Type="http://schemas.openxmlformats.org/officeDocument/2006/relationships/hyperlink" Target="https://www.adl.org/resources/backgrounder/76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dl.ddev.site/es/resources/backgrounder/plan-andinia" TargetMode="External"/></Relationships>
</file>

<file path=xl/worksheets/_rels/sheet4.xml.rels><?xml version="1.0" encoding="UTF-8" standalone="yes"?>
<Relationships xmlns="http://schemas.openxmlformats.org/package/2006/relationships"><Relationship Id="rId1522" Type="http://schemas.openxmlformats.org/officeDocument/2006/relationships/hyperlink" Target="https://www.adl.org/resources/profile/nation-islam" TargetMode="External"/><Relationship Id="rId21" Type="http://schemas.openxmlformats.org/officeDocument/2006/relationships/hyperlink" Target="https://www.adl.org/resources/backgrounder/incels-involuntary-celibates" TargetMode="External"/><Relationship Id="rId170" Type="http://schemas.openxmlformats.org/officeDocument/2006/relationships/hyperlink" Target="https://www.adl.org/resources/backgrounder/qanon" TargetMode="External"/><Relationship Id="rId268" Type="http://schemas.openxmlformats.org/officeDocument/2006/relationships/hyperlink" Target="https://www.adl.org/resources/backgrounder/sovereign-citizen-movement-united-states" TargetMode="External"/><Relationship Id="rId475" Type="http://schemas.openxmlformats.org/officeDocument/2006/relationships/hyperlink" Target="https://www.adl.org/resources/backgrounder/sovereign-citizen-movement-united-states" TargetMode="External"/><Relationship Id="rId682" Type="http://schemas.openxmlformats.org/officeDocument/2006/relationships/hyperlink" Target="https://www.adl.org/resources/article/white-supremacist-tracked-coe-arrested-weapons-charges-florida" TargetMode="External"/><Relationship Id="rId128" Type="http://schemas.openxmlformats.org/officeDocument/2006/relationships/hyperlink" Target="https://www.adl.org/resources/article/soros-conspiracy-theories-and-protests-gateway-antisemitism" TargetMode="External"/><Relationship Id="rId335" Type="http://schemas.openxmlformats.org/officeDocument/2006/relationships/hyperlink" Target="https://www.adl.org/resources/hate-symbol/sonnenrad" TargetMode="External"/><Relationship Id="rId542" Type="http://schemas.openxmlformats.org/officeDocument/2006/relationships/hyperlink" Target="https://www.adl.org/resources/article/coded-hate-extremists-weaponize-seemingly-innocuous-content-promote-bigotry" TargetMode="External"/><Relationship Id="rId987" Type="http://schemas.openxmlformats.org/officeDocument/2006/relationships/hyperlink" Target="https://www.adl.org/resources/news/extremism-america-richard-butler" TargetMode="External"/><Relationship Id="rId1172" Type="http://schemas.openxmlformats.org/officeDocument/2006/relationships/hyperlink" Target="https://www.adl.org/resources/news/andrew-anglin-five-things-know" TargetMode="External"/><Relationship Id="rId402" Type="http://schemas.openxmlformats.org/officeDocument/2006/relationships/hyperlink" Target="https://www.adl.org/resources/backgrounder/traditionalist-youth-network" TargetMode="External"/><Relationship Id="rId847" Type="http://schemas.openxmlformats.org/officeDocument/2006/relationships/hyperlink" Target="https://www.adl.org/resources/hate-symbol/celtic-cross" TargetMode="External"/><Relationship Id="rId1032" Type="http://schemas.openxmlformats.org/officeDocument/2006/relationships/hyperlink" Target="https://adl.org/resources/backgrounder/who-are-antifa" TargetMode="External"/><Relationship Id="rId1477" Type="http://schemas.openxmlformats.org/officeDocument/2006/relationships/hyperlink" Target="https://www.adl.org/resources/report/hate-beyond-borders-internationalization-white-supremacy" TargetMode="External"/><Relationship Id="rId707" Type="http://schemas.openxmlformats.org/officeDocument/2006/relationships/hyperlink" Target="https://www.adl.org/resources/news/jared-taylor-academic-racist" TargetMode="External"/><Relationship Id="rId914" Type="http://schemas.openxmlformats.org/officeDocument/2006/relationships/hyperlink" Target="https://www.adl.org/resources/backgrounder/qanon" TargetMode="External"/><Relationship Id="rId1337" Type="http://schemas.openxmlformats.org/officeDocument/2006/relationships/hyperlink" Target="https://www.adl.org/resources/news/kevin-macdonald" TargetMode="External"/><Relationship Id="rId1544" Type="http://schemas.openxmlformats.org/officeDocument/2006/relationships/hyperlink" Target="https://www.adl.org/resources/article/hebrews-negroes-what-you-need-know" TargetMode="External"/><Relationship Id="rId43" Type="http://schemas.openxmlformats.org/officeDocument/2006/relationships/hyperlink" Target="https://www.adl.org/holocaust-denial-anatomy-antisemitic-conspiracy-theory" TargetMode="External"/><Relationship Id="rId1404" Type="http://schemas.openxmlformats.org/officeDocument/2006/relationships/hyperlink" Target="https://www.adl.org/resources/profile/nation-islam" TargetMode="External"/><Relationship Id="rId192" Type="http://schemas.openxmlformats.org/officeDocument/2006/relationships/hyperlink" Target="https://www.adl.org/resources/backgrounder/sovereign-citizen-movement-united-states" TargetMode="External"/><Relationship Id="rId497" Type="http://schemas.openxmlformats.org/officeDocument/2006/relationships/hyperlink" Target="https://adl.org/resources/backgrounder/national-alliance-backgrounder" TargetMode="External"/><Relationship Id="rId357" Type="http://schemas.openxmlformats.org/officeDocument/2006/relationships/hyperlink" Target="https://www.adl.org/resources/backgrounder/militia-movement-2020" TargetMode="External"/><Relationship Id="rId1194" Type="http://schemas.openxmlformats.org/officeDocument/2006/relationships/hyperlink" Target="https://adl.org/resources/backgrounder/base" TargetMode="External"/><Relationship Id="rId217" Type="http://schemas.openxmlformats.org/officeDocument/2006/relationships/hyperlink" Target="https://www.adl.org/resources/article/how-antisemites-extremists-and-conspiracy-theorists-are-exploiting-anti-vax" TargetMode="External"/><Relationship Id="rId564" Type="http://schemas.openxmlformats.org/officeDocument/2006/relationships/hyperlink" Target="https://www.adl.org/resources/hate-symbol/noose" TargetMode="External"/><Relationship Id="rId771" Type="http://schemas.openxmlformats.org/officeDocument/2006/relationships/hyperlink" Target="https://www.adl.org/resources/hate-symbol/muh-holocaust" TargetMode="External"/><Relationship Id="rId869" Type="http://schemas.openxmlformats.org/officeDocument/2006/relationships/hyperlink" Target="https://www.adl.org/resources/hate-symbol/blood-drop-cross" TargetMode="External"/><Relationship Id="rId1499" Type="http://schemas.openxmlformats.org/officeDocument/2006/relationships/hyperlink" Target="https://www.adl.org/resources/hate-symbol/skrewdriver" TargetMode="External"/><Relationship Id="rId424" Type="http://schemas.openxmlformats.org/officeDocument/2006/relationships/hyperlink" Target="https://www.adl.org/resources/hate-symbol/thors-hammer" TargetMode="External"/><Relationship Id="rId631" Type="http://schemas.openxmlformats.org/officeDocument/2006/relationships/hyperlink" Target="https://www.adl.org/resources/article/white-supremacists-double-down-propaganda-2019" TargetMode="External"/><Relationship Id="rId729" Type="http://schemas.openxmlformats.org/officeDocument/2006/relationships/hyperlink" Target="https://www.adl.org/resources/hate-symbol/21-2-12" TargetMode="External"/><Relationship Id="rId1054" Type="http://schemas.openxmlformats.org/officeDocument/2006/relationships/hyperlink" Target="https://adl.org/resources/backgrounder/atomwaffen-division-awd-national-socialist-order-nso" TargetMode="External"/><Relationship Id="rId1261" Type="http://schemas.openxmlformats.org/officeDocument/2006/relationships/hyperlink" Target="https://www.adl.org/resources/article/when-isis-claims-responsibility-attacks-us" TargetMode="External"/><Relationship Id="rId1359" Type="http://schemas.openxmlformats.org/officeDocument/2006/relationships/hyperlink" Target="https://www.adl.org/resources/hate-symbol/hate-edge" TargetMode="External"/><Relationship Id="rId936" Type="http://schemas.openxmlformats.org/officeDocument/2006/relationships/hyperlink" Target="https://www.adl.org/resources/article/great-reset-conspiracy-flourishes-amid-continued-pandemic" TargetMode="External"/><Relationship Id="rId1121" Type="http://schemas.openxmlformats.org/officeDocument/2006/relationships/hyperlink" Target="https://www.adl.org/resources/backgrounder/boogaloo-movement" TargetMode="External"/><Relationship Id="rId1219" Type="http://schemas.openxmlformats.org/officeDocument/2006/relationships/hyperlink" Target="https://www.adl.org/resources/hate-symbol/white-knights" TargetMode="External"/><Relationship Id="rId1566" Type="http://schemas.openxmlformats.org/officeDocument/2006/relationships/hyperlink" Target="https://www.adl.org/resources/article/coded-hate-extremists-weaponize-seemingly-innocuous-content-promote-bigotry" TargetMode="External"/><Relationship Id="rId65" Type="http://schemas.openxmlformats.org/officeDocument/2006/relationships/hyperlink" Target="https://extremismterms.adl.org/glossary/sabiqun" TargetMode="External"/><Relationship Id="rId1426" Type="http://schemas.openxmlformats.org/officeDocument/2006/relationships/hyperlink" Target="https://www.adl.org/resources/blog/robert-lavoy-finicum-making-martyr" TargetMode="External"/><Relationship Id="rId281" Type="http://schemas.openxmlformats.org/officeDocument/2006/relationships/hyperlink" Target="https://www.adl.org/resources/hate-symbol/women-aryan-unity" TargetMode="External"/><Relationship Id="rId141" Type="http://schemas.openxmlformats.org/officeDocument/2006/relationships/hyperlink" Target="https://www.adl.org/resources/backgrounder/base" TargetMode="External"/><Relationship Id="rId379" Type="http://schemas.openxmlformats.org/officeDocument/2006/relationships/hyperlink" Target="https://www.adl.org/resources/backgrounder/proud-boys-0" TargetMode="External"/><Relationship Id="rId586" Type="http://schemas.openxmlformats.org/officeDocument/2006/relationships/hyperlink" Target="https://www.adl.org/resources/backgrounder/qanon" TargetMode="External"/><Relationship Id="rId793" Type="http://schemas.openxmlformats.org/officeDocument/2006/relationships/hyperlink" Target="https://extremismterms.adl.org/glossary/9" TargetMode="External"/><Relationship Id="rId7" Type="http://schemas.openxmlformats.org/officeDocument/2006/relationships/hyperlink" Target="https://www.adl.org/resources/backgrounder/incels-involuntary-celibates" TargetMode="External"/><Relationship Id="rId239" Type="http://schemas.openxmlformats.org/officeDocument/2006/relationships/hyperlink" Target="https://www.adl.org/resources/backgrounder/sovereign-citizen-movement-united-states" TargetMode="External"/><Relationship Id="rId446" Type="http://schemas.openxmlformats.org/officeDocument/2006/relationships/hyperlink" Target="https://www.adl.org/resources/article/extremist-medicine-cabinet-guide-online-pills" TargetMode="External"/><Relationship Id="rId653" Type="http://schemas.openxmlformats.org/officeDocument/2006/relationships/hyperlink" Target="https://www.adl.org/resources/backgrounder/hoax-hate-protocols-learned-elders-zion" TargetMode="External"/><Relationship Id="rId1076" Type="http://schemas.openxmlformats.org/officeDocument/2006/relationships/hyperlink" Target="https://www.adl.org/resources/article/white-supremacist-terrorist-attack-mosques-new-zealand" TargetMode="External"/><Relationship Id="rId1283" Type="http://schemas.openxmlformats.org/officeDocument/2006/relationships/hyperlink" Target="https://www.adl.org/resources/article/another-weekend-hate-neo-nazis-gather-florida" TargetMode="External"/><Relationship Id="rId1490" Type="http://schemas.openxmlformats.org/officeDocument/2006/relationships/hyperlink" Target="https://www.adl.org/resources/article/white-supremacists-plan-rally-dayton-ohio" TargetMode="External"/><Relationship Id="rId306" Type="http://schemas.openxmlformats.org/officeDocument/2006/relationships/hyperlink" Target="https://www.adl.org/resources/hate-symbol/white-aryan-resistance" TargetMode="External"/><Relationship Id="rId860" Type="http://schemas.openxmlformats.org/officeDocument/2006/relationships/hyperlink" Target="https://www.adl.org/resources/report/despite-internal-turmoil-klan-groups-persist" TargetMode="External"/><Relationship Id="rId958" Type="http://schemas.openxmlformats.org/officeDocument/2006/relationships/hyperlink" Target="https://www.adl.org/resources/article/how-antisemites-extremists-and-conspiracy-theorists-are-exploiting-anti-vax" TargetMode="External"/><Relationship Id="rId1143" Type="http://schemas.openxmlformats.org/officeDocument/2006/relationships/hyperlink" Target="https://www.adl.org/resources/backgrounder/national-socialist-movement" TargetMode="External"/><Relationship Id="rId87" Type="http://schemas.openxmlformats.org/officeDocument/2006/relationships/hyperlink" Target="https://extremismterms.adl.org/glossary/national-democratic-party-npd" TargetMode="External"/><Relationship Id="rId513" Type="http://schemas.openxmlformats.org/officeDocument/2006/relationships/hyperlink" Target="https://www.adl.org/resources/hate-symbol/peckerwood" TargetMode="External"/><Relationship Id="rId720" Type="http://schemas.openxmlformats.org/officeDocument/2006/relationships/hyperlink" Target="https://www.adl.org/resources/backgrounder/qanon" TargetMode="External"/><Relationship Id="rId818" Type="http://schemas.openxmlformats.org/officeDocument/2006/relationships/hyperlink" Target="https://www.adl.org/resources/profile/creativity-movement-formerly-world-church-creator" TargetMode="External"/><Relationship Id="rId1350" Type="http://schemas.openxmlformats.org/officeDocument/2006/relationships/hyperlink" Target="https://www.adl.org/resources/news/selected-incidents-lone-wolf-violence-and-terrorism-us" TargetMode="External"/><Relationship Id="rId1448" Type="http://schemas.openxmlformats.org/officeDocument/2006/relationships/hyperlink" Target="https://www.adl.org/resources/backgrounder/national-socialist-movement" TargetMode="External"/><Relationship Id="rId1003" Type="http://schemas.openxmlformats.org/officeDocument/2006/relationships/hyperlink" Target="https://www.adl.org/resources/backgrounder/blood-tribe" TargetMode="External"/><Relationship Id="rId1210" Type="http://schemas.openxmlformats.org/officeDocument/2006/relationships/hyperlink" Target="https://www.adl.org/resources/hate-symbol/women-aryan-unity" TargetMode="External"/><Relationship Id="rId1308" Type="http://schemas.openxmlformats.org/officeDocument/2006/relationships/hyperlink" Target="https://www.adl.org/resources/backgrounder/incels-involuntary-celibates" TargetMode="External"/><Relationship Id="rId1515" Type="http://schemas.openxmlformats.org/officeDocument/2006/relationships/hyperlink" Target="https://www.adl.org/resources/backgrounder/extremist-sects-within-black-hebrew-israelite-movement" TargetMode="External"/><Relationship Id="rId14" Type="http://schemas.openxmlformats.org/officeDocument/2006/relationships/hyperlink" Target="https://www.adl.org/resources/backgrounder/incels-involuntary-celibates" TargetMode="External"/><Relationship Id="rId163" Type="http://schemas.openxmlformats.org/officeDocument/2006/relationships/hyperlink" Target="https://www.adl.org/resources/hate-symbol/1-11" TargetMode="External"/><Relationship Id="rId370" Type="http://schemas.openxmlformats.org/officeDocument/2006/relationships/hyperlink" Target="https://www.adl.org/resources/backgrounder/militia-movement-2020" TargetMode="External"/><Relationship Id="rId230" Type="http://schemas.openxmlformats.org/officeDocument/2006/relationships/hyperlink" Target="https://www.adl.org/resources/backgrounder/sovereign-citizen-movement-united-states" TargetMode="External"/><Relationship Id="rId468" Type="http://schemas.openxmlformats.org/officeDocument/2006/relationships/hyperlink" Target="https://www.adl.org/resources/hate-symbol/solid-wood-soldiers" TargetMode="External"/><Relationship Id="rId675" Type="http://schemas.openxmlformats.org/officeDocument/2006/relationships/hyperlink" Target="https://www.adl.org/resources/hate-symbol/love-your-race" TargetMode="External"/><Relationship Id="rId882" Type="http://schemas.openxmlformats.org/officeDocument/2006/relationships/hyperlink" Target="https://www.adl.org/resources/report/hate-cascade-states-extremism-antisemitism-oregon-washington" TargetMode="External"/><Relationship Id="rId1098" Type="http://schemas.openxmlformats.org/officeDocument/2006/relationships/hyperlink" Target="https://www.adl.org/resources/article/racist-extremist-antisemitic-conspiracy-theories-surround-coronavirus-vaccine" TargetMode="External"/><Relationship Id="rId328" Type="http://schemas.openxmlformats.org/officeDocument/2006/relationships/hyperlink" Target="https://www.adl.org/resources/backgrounder/militia-movement-2020" TargetMode="External"/><Relationship Id="rId535" Type="http://schemas.openxmlformats.org/officeDocument/2006/relationships/hyperlink" Target="https://www.adl.org/resources/backgrounder/qanon" TargetMode="External"/><Relationship Id="rId742" Type="http://schemas.openxmlformats.org/officeDocument/2006/relationships/hyperlink" Target="https://www.adl.org/resources/hate-symbol/211-crew" TargetMode="External"/><Relationship Id="rId1165" Type="http://schemas.openxmlformats.org/officeDocument/2006/relationships/hyperlink" Target="https://www.adl.org/resources/report/white-supremacist-prison-gangs-2022-assessment" TargetMode="External"/><Relationship Id="rId1372" Type="http://schemas.openxmlformats.org/officeDocument/2006/relationships/hyperlink" Target="https://www.adl.org/resources/hate-symbol/european-kindred-hand-sign" TargetMode="External"/><Relationship Id="rId602" Type="http://schemas.openxmlformats.org/officeDocument/2006/relationships/hyperlink" Target="https://www.adl.org/resources/backgrounder/sovereign-citizen-movement-united-states" TargetMode="External"/><Relationship Id="rId1025" Type="http://schemas.openxmlformats.org/officeDocument/2006/relationships/hyperlink" Target="https://www.adl.org/resources/report/hate-beyond-borders-internationalization-white-supremacy" TargetMode="External"/><Relationship Id="rId1232" Type="http://schemas.openxmlformats.org/officeDocument/2006/relationships/hyperlink" Target="https://adl.org/resources/backgrounder/vanguard-america" TargetMode="External"/><Relationship Id="rId907" Type="http://schemas.openxmlformats.org/officeDocument/2006/relationships/hyperlink" Target="https://www.adl.org/resources/profile/act-america" TargetMode="External"/><Relationship Id="rId1537" Type="http://schemas.openxmlformats.org/officeDocument/2006/relationships/hyperlink" Target="https://www.adl.org/resources/profile/nation-islam" TargetMode="External"/><Relationship Id="rId36" Type="http://schemas.openxmlformats.org/officeDocument/2006/relationships/hyperlink" Target="https://extremismterms.adl.org/glossary/party-socialism-and-liberation-psl" TargetMode="External"/><Relationship Id="rId185" Type="http://schemas.openxmlformats.org/officeDocument/2006/relationships/hyperlink" Target="https://www.adl.org/resources/hate-symbol/14-words" TargetMode="External"/><Relationship Id="rId392" Type="http://schemas.openxmlformats.org/officeDocument/2006/relationships/hyperlink" Target="https://www.adl.org/resources/hate-symbol/valknot" TargetMode="External"/><Relationship Id="rId697" Type="http://schemas.openxmlformats.org/officeDocument/2006/relationships/hyperlink" Target="https://www.adl.org/resources/report/white-supremacist-prison-gangs-2022-assessment" TargetMode="External"/><Relationship Id="rId252" Type="http://schemas.openxmlformats.org/officeDocument/2006/relationships/hyperlink" Target="https://www.adl.org/resources/backgrounder/goyim-defense-league" TargetMode="External"/><Relationship Id="rId1187" Type="http://schemas.openxmlformats.org/officeDocument/2006/relationships/hyperlink" Target="https://www.adl.org/resources/backgrounder/qanon" TargetMode="External"/><Relationship Id="rId112" Type="http://schemas.openxmlformats.org/officeDocument/2006/relationships/hyperlink" Target="https://www.adl.org/resources/hate-symbol/311" TargetMode="External"/><Relationship Id="rId557" Type="http://schemas.openxmlformats.org/officeDocument/2006/relationships/hyperlink" Target="https://www.adl.org/resources/article/mass-shooting-el-paso-what-we-know" TargetMode="External"/><Relationship Id="rId764" Type="http://schemas.openxmlformats.org/officeDocument/2006/relationships/hyperlink" Target="https://www.adl.org/resources/report/white-supremacist-prison-gangs-2022-assessment" TargetMode="External"/><Relationship Id="rId971" Type="http://schemas.openxmlformats.org/officeDocument/2006/relationships/hyperlink" Target="https://www.adl.org/resources/article/mass-shooting-el-paso-what-we-know" TargetMode="External"/><Relationship Id="rId1394" Type="http://schemas.openxmlformats.org/officeDocument/2006/relationships/hyperlink" Target="https://www.adl.org/resources/article/farrakhan-spokesperson-ava-muhammad-spouts-vile-anti-semitism" TargetMode="External"/><Relationship Id="rId417" Type="http://schemas.openxmlformats.org/officeDocument/2006/relationships/hyperlink" Target="https://www.adl.org/resources/backgrounder/e-michael-jones" TargetMode="External"/><Relationship Id="rId624" Type="http://schemas.openxmlformats.org/officeDocument/2006/relationships/hyperlink" Target="https://www.adl.org/resources/article/coded-hate-extremists-weaponize-seemingly-innocuous-content-promote-bigotry" TargetMode="External"/><Relationship Id="rId831" Type="http://schemas.openxmlformats.org/officeDocument/2006/relationships/hyperlink" Target="https://www.adl.org/resources/backgrounder/farrakhan-his-own-words" TargetMode="External"/><Relationship Id="rId1047" Type="http://schemas.openxmlformats.org/officeDocument/2006/relationships/hyperlink" Target="https://adl.org/resources/backgrounder/nationalist-front-formerly-known-aryan-nationalist-alliance" TargetMode="External"/><Relationship Id="rId1254" Type="http://schemas.openxmlformats.org/officeDocument/2006/relationships/hyperlink" Target="https://www.adl.org/resources/article/samidoun-what-you-need-know" TargetMode="External"/><Relationship Id="rId1461" Type="http://schemas.openxmlformats.org/officeDocument/2006/relationships/hyperlink" Target="https://www.adl.org/resources/report/white-supremacist-prison-gangs-2022-assessment" TargetMode="External"/><Relationship Id="rId929" Type="http://schemas.openxmlformats.org/officeDocument/2006/relationships/hyperlink" Target="https://www.adl.org/resources/article/fascist-forge-new-forum-hate" TargetMode="External"/><Relationship Id="rId1114" Type="http://schemas.openxmlformats.org/officeDocument/2006/relationships/hyperlink" Target="https://www.adl.org/resources/profile/ahmad-abousamra" TargetMode="External"/><Relationship Id="rId1321" Type="http://schemas.openxmlformats.org/officeDocument/2006/relationships/hyperlink" Target="https://www.adl.org/resources/backgrounder/accelerationism" TargetMode="External"/><Relationship Id="rId1559" Type="http://schemas.openxmlformats.org/officeDocument/2006/relationships/hyperlink" Target="https://www.adl.org/resources/backgrounder/qanon" TargetMode="External"/><Relationship Id="rId58" Type="http://schemas.openxmlformats.org/officeDocument/2006/relationships/hyperlink" Target="https://www.adl.org/resources/article/coded-hate-extremists-weaponize-seemingly-innocuous-content-promote-bigotry" TargetMode="External"/><Relationship Id="rId1419" Type="http://schemas.openxmlformats.org/officeDocument/2006/relationships/hyperlink" Target="https://www.adl.org/resources/news/selected-incidents-lone-wolf-violence-and-terrorism-us" TargetMode="External"/><Relationship Id="rId274" Type="http://schemas.openxmlformats.org/officeDocument/2006/relationships/hyperlink" Target="https://www.adl.org/resources/hate-symbol/18" TargetMode="External"/><Relationship Id="rId481" Type="http://schemas.openxmlformats.org/officeDocument/2006/relationships/hyperlink" Target="https://www.adl.org/resources/hate-symbol/sacred-separatist-group" TargetMode="External"/><Relationship Id="rId134" Type="http://schemas.openxmlformats.org/officeDocument/2006/relationships/hyperlink" Target="https://www.adl.org/resources/backgrounder/accelerationism" TargetMode="External"/><Relationship Id="rId579" Type="http://schemas.openxmlformats.org/officeDocument/2006/relationships/hyperlink" Target="https://www.adl.org/resources/backgrounder/sovereign-citizen-movement-united-states" TargetMode="External"/><Relationship Id="rId786" Type="http://schemas.openxmlformats.org/officeDocument/2006/relationships/hyperlink" Target="https://www.adl.org/resources/hate-symbol/national-rebirth-poland" TargetMode="External"/><Relationship Id="rId993" Type="http://schemas.openxmlformats.org/officeDocument/2006/relationships/hyperlink" Target="https://www.adl.org/resources/hate-symbol/roa" TargetMode="External"/><Relationship Id="rId341" Type="http://schemas.openxmlformats.org/officeDocument/2006/relationships/hyperlink" Target="https://www.adl.org/resources/backgrounder/alt-right-alt-lite-naming-hate" TargetMode="External"/><Relationship Id="rId439" Type="http://schemas.openxmlformats.org/officeDocument/2006/relationships/hyperlink" Target="https://www.adl.org/resources/article/extremist-medicine-cabinet-guide-online-pills" TargetMode="External"/><Relationship Id="rId646" Type="http://schemas.openxmlformats.org/officeDocument/2006/relationships/hyperlink" Target="https://www.adl.org/resources/backgrounder/proud-boys" TargetMode="External"/><Relationship Id="rId1069" Type="http://schemas.openxmlformats.org/officeDocument/2006/relationships/hyperlink" Target="https://www.adl.org/resources/hate-symbol/blue-eyed-devils" TargetMode="External"/><Relationship Id="rId1276" Type="http://schemas.openxmlformats.org/officeDocument/2006/relationships/hyperlink" Target="https://www.adl.org/resources/backgrounder/qanon" TargetMode="External"/><Relationship Id="rId1483" Type="http://schemas.openxmlformats.org/officeDocument/2006/relationships/hyperlink" Target="https://www.adl.org/resources/report/hate-beyond-borders-internationalization-white-supremacy" TargetMode="External"/><Relationship Id="rId201" Type="http://schemas.openxmlformats.org/officeDocument/2006/relationships/hyperlink" Target="https://www.adl.org/resources/article/2022-midterms-false-and-misleading-election-narratives" TargetMode="External"/><Relationship Id="rId506" Type="http://schemas.openxmlformats.org/officeDocument/2006/relationships/hyperlink" Target="https://www.adl.org/resources/article/sicarii-black-hebrew-israelites-spouting-hate-southern-california" TargetMode="External"/><Relationship Id="rId853" Type="http://schemas.openxmlformats.org/officeDocument/2006/relationships/hyperlink" Target="https://www.adl.org/resources/hate-symbol/burning-cross" TargetMode="External"/><Relationship Id="rId1136" Type="http://schemas.openxmlformats.org/officeDocument/2006/relationships/hyperlink" Target="https://www.adl.org/resources/article/holocaust-denier-bradley-smiths-legacy-lies" TargetMode="External"/><Relationship Id="rId713" Type="http://schemas.openxmlformats.org/officeDocument/2006/relationships/hyperlink" Target="https://www.adl.org/resources/hate-symbol/its-okay-be-white" TargetMode="External"/><Relationship Id="rId920" Type="http://schemas.openxmlformats.org/officeDocument/2006/relationships/hyperlink" Target="https://www.adl.org/resources/news/selected-incidents-lone-wolf-violence-and-terrorism-us" TargetMode="External"/><Relationship Id="rId1343" Type="http://schemas.openxmlformats.org/officeDocument/2006/relationships/hyperlink" Target="https://www.adl.org/resources/hate-symbol/american-identity-movement-aim" TargetMode="External"/><Relationship Id="rId1550" Type="http://schemas.openxmlformats.org/officeDocument/2006/relationships/hyperlink" Target="https://www.adl.org/resources/backgrounder/extremist-sects-within-black-hebrew-israelite-movement" TargetMode="External"/><Relationship Id="rId1203" Type="http://schemas.openxmlformats.org/officeDocument/2006/relationships/hyperlink" Target="https://www.adl.org/resources/article/unite-right-four-years-later-major-players-still-grappling-fallout" TargetMode="External"/><Relationship Id="rId1410" Type="http://schemas.openxmlformats.org/officeDocument/2006/relationships/hyperlink" Target="https://www.adl.org/resources/profile/nation-islam" TargetMode="External"/><Relationship Id="rId1508" Type="http://schemas.openxmlformats.org/officeDocument/2006/relationships/hyperlink" Target="https://adl.org/resources/backgrounder/tax-protest-movement" TargetMode="External"/><Relationship Id="rId296" Type="http://schemas.openxmlformats.org/officeDocument/2006/relationships/hyperlink" Target="https://www.adl.org/resources/hate-symbol/white-power-hand-sign" TargetMode="External"/><Relationship Id="rId156" Type="http://schemas.openxmlformats.org/officeDocument/2006/relationships/hyperlink" Target="https://www.adl.org/resources/backgrounder/qanon" TargetMode="External"/><Relationship Id="rId363" Type="http://schemas.openxmlformats.org/officeDocument/2006/relationships/hyperlink" Target="https://www.adl.org/unite-right-rallies" TargetMode="External"/><Relationship Id="rId570" Type="http://schemas.openxmlformats.org/officeDocument/2006/relationships/hyperlink" Target="https://www.adl.org/resources/hate-symbol/109110" TargetMode="External"/><Relationship Id="rId223" Type="http://schemas.openxmlformats.org/officeDocument/2006/relationships/hyperlink" Target="https://www.adl.org/resources/backgrounder/qanon" TargetMode="External"/><Relationship Id="rId430" Type="http://schemas.openxmlformats.org/officeDocument/2006/relationships/hyperlink" Target="https://la.adl.org/news/a-dark-chapter-of-hate-closes-notorious-racist-leader-tom-metzger-dead-at-82/" TargetMode="External"/><Relationship Id="rId668" Type="http://schemas.openxmlformats.org/officeDocument/2006/relationships/hyperlink" Target="https://adl.org/resources/backgrounder/hezbollah" TargetMode="External"/><Relationship Id="rId875" Type="http://schemas.openxmlformats.org/officeDocument/2006/relationships/hyperlink" Target="https://www.adl.org/resources/report/antisemitic-conspiracies-about-911-endure-20-years-later" TargetMode="External"/><Relationship Id="rId1060" Type="http://schemas.openxmlformats.org/officeDocument/2006/relationships/hyperlink" Target="https://www.adl.org/resources/backgrounder/who-are-antifa" TargetMode="External"/><Relationship Id="rId1298" Type="http://schemas.openxmlformats.org/officeDocument/2006/relationships/hyperlink" Target="https://www.adl.org/resources/article/extremist-medicine-cabinet-guide-online-pills" TargetMode="External"/><Relationship Id="rId528" Type="http://schemas.openxmlformats.org/officeDocument/2006/relationships/hyperlink" Target="https://adl.org/resources/backgrounder/nationalist-front-formerly-known-aryan-nationalist-alliance" TargetMode="External"/><Relationship Id="rId735" Type="http://schemas.openxmlformats.org/officeDocument/2006/relationships/hyperlink" Target="https://www.adl.org/resources/hate-symbol/hffh" TargetMode="External"/><Relationship Id="rId942" Type="http://schemas.openxmlformats.org/officeDocument/2006/relationships/hyperlink" Target="https://www.adl.org/resources/hate-symbol/511" TargetMode="External"/><Relationship Id="rId1158" Type="http://schemas.openxmlformats.org/officeDocument/2006/relationships/hyperlink" Target="https://www.adl.org/resources/article/fbi-arrests-white-supremacist-conor-climo-who-reportedly-targeted-jews-lgbtq" TargetMode="External"/><Relationship Id="rId1365" Type="http://schemas.openxmlformats.org/officeDocument/2006/relationships/hyperlink" Target="https://www.adl.org/resources/hate-symbol/gtkrwn" TargetMode="External"/><Relationship Id="rId1572" Type="http://schemas.openxmlformats.org/officeDocument/2006/relationships/hyperlink" Target="https://www.adl.org/resources/backgrounder/e-michael-jones" TargetMode="External"/><Relationship Id="rId1018" Type="http://schemas.openxmlformats.org/officeDocument/2006/relationships/hyperlink" Target="https://www.adl.org/resources/backgrounder/groyper-army-and-america-first" TargetMode="External"/><Relationship Id="rId1225" Type="http://schemas.openxmlformats.org/officeDocument/2006/relationships/hyperlink" Target="https://www.adl.org/resources/hate-symbol/we-wuz-kangs" TargetMode="External"/><Relationship Id="rId1432" Type="http://schemas.openxmlformats.org/officeDocument/2006/relationships/hyperlink" Target="https://www.adl.org/resources/article/bitchute-hotbed-hate" TargetMode="External"/><Relationship Id="rId71" Type="http://schemas.openxmlformats.org/officeDocument/2006/relationships/hyperlink" Target="https://extremismterms.adl.org/glossary/patriot-front" TargetMode="External"/><Relationship Id="rId802" Type="http://schemas.openxmlformats.org/officeDocument/2006/relationships/hyperlink" Target="https://www.adl.org/resources/hate-symbol/crossed-grenades" TargetMode="External"/><Relationship Id="rId29" Type="http://schemas.openxmlformats.org/officeDocument/2006/relationships/hyperlink" Target="https://extremismterms.adl.org/glossary/vanguard-america" TargetMode="External"/><Relationship Id="rId178" Type="http://schemas.openxmlformats.org/officeDocument/2006/relationships/hyperlink" Target="https://www.adl.org/resources/backgrounder/proud-boys" TargetMode="External"/><Relationship Id="rId385" Type="http://schemas.openxmlformats.org/officeDocument/2006/relationships/hyperlink" Target="https://www.adl.org/resources/hate-symbol/usas" TargetMode="External"/><Relationship Id="rId592" Type="http://schemas.openxmlformats.org/officeDocument/2006/relationships/hyperlink" Target="https://www.adl.org/resources/backgrounder/qanon" TargetMode="External"/><Relationship Id="rId245" Type="http://schemas.openxmlformats.org/officeDocument/2006/relationships/hyperlink" Target="https://www.adl.org/resources/hate-symbol/nsm-legacy-logos" TargetMode="External"/><Relationship Id="rId452" Type="http://schemas.openxmlformats.org/officeDocument/2006/relationships/hyperlink" Target="https://www.adl.org/resources/article/extremist-medicine-cabinet-guide-online-pills" TargetMode="External"/><Relationship Id="rId897" Type="http://schemas.openxmlformats.org/officeDocument/2006/relationships/hyperlink" Target="https://www.adl.org/resources/hate-symbol/acab" TargetMode="External"/><Relationship Id="rId1082" Type="http://schemas.openxmlformats.org/officeDocument/2006/relationships/hyperlink" Target="https://www.adl.org/resources/hate-symbol/celtic-cross" TargetMode="External"/><Relationship Id="rId105" Type="http://schemas.openxmlformats.org/officeDocument/2006/relationships/hyperlink" Target="https://www.adl.org/resources/hate-symbol/38" TargetMode="External"/><Relationship Id="rId312" Type="http://schemas.openxmlformats.org/officeDocument/2006/relationships/hyperlink" Target="https://www.adl.org/resources/backgrounder/alt-right-alt-lite-naming-hate" TargetMode="External"/><Relationship Id="rId757" Type="http://schemas.openxmlformats.org/officeDocument/2006/relationships/hyperlink" Target="https://www.adl.org/resources/backgrounder/national-justice-party" TargetMode="External"/><Relationship Id="rId964" Type="http://schemas.openxmlformats.org/officeDocument/2006/relationships/hyperlink" Target="https://www.adl.org/resources/news/frazier-glenn-millers-violent-comeback" TargetMode="External"/><Relationship Id="rId1387" Type="http://schemas.openxmlformats.org/officeDocument/2006/relationships/hyperlink" Target="https://www.adl.org/resources/news/four-lessons-boston-marathon-bombing" TargetMode="External"/><Relationship Id="rId93" Type="http://schemas.openxmlformats.org/officeDocument/2006/relationships/hyperlink" Target="https://www.adl.org/resources/backgrounder/boogaloo-movement" TargetMode="External"/><Relationship Id="rId617" Type="http://schemas.openxmlformats.org/officeDocument/2006/relationships/hyperlink" Target="https://www.adl.org/resources/hate-symbol/national-rebirth-poland" TargetMode="External"/><Relationship Id="rId824" Type="http://schemas.openxmlformats.org/officeDocument/2006/relationships/hyperlink" Target="https://www.adl.org/resources/hate-symbol/coors-family-skins" TargetMode="External"/><Relationship Id="rId1247" Type="http://schemas.openxmlformats.org/officeDocument/2006/relationships/hyperlink" Target="https://www.adl.org/resources/article/vitriolic-reactions-arouris-killing-highlight-his-importance-iranian-regimes-axis" TargetMode="External"/><Relationship Id="rId1454" Type="http://schemas.openxmlformats.org/officeDocument/2006/relationships/hyperlink" Target="https://www.adl.org/resources/backgrounder/alt-right-alt-lite-naming-hate" TargetMode="External"/><Relationship Id="rId1107" Type="http://schemas.openxmlformats.org/officeDocument/2006/relationships/hyperlink" Target="https://adl.org/resources/backgrounder/abbas-hamideh" TargetMode="External"/><Relationship Id="rId1314" Type="http://schemas.openxmlformats.org/officeDocument/2006/relationships/hyperlink" Target="https://www.adl.org/resources/news/911-anti-semitic-conspiracy-theories-still-abound" TargetMode="External"/><Relationship Id="rId1521" Type="http://schemas.openxmlformats.org/officeDocument/2006/relationships/hyperlink" Target="https://www.adl.org/resources/article/antisemites-implicate-jews-zionists-dc-violence" TargetMode="External"/><Relationship Id="rId20" Type="http://schemas.openxmlformats.org/officeDocument/2006/relationships/hyperlink" Target="https://www.adl.org/resources/backgrounder/incels-involuntary-celibates" TargetMode="External"/><Relationship Id="rId267" Type="http://schemas.openxmlformats.org/officeDocument/2006/relationships/hyperlink" Target="https://www.adl.org/resources/profile/nation-islam" TargetMode="External"/><Relationship Id="rId474" Type="http://schemas.openxmlformats.org/officeDocument/2006/relationships/hyperlink" Target="https://www.adl.org/resources/hate-symbol/silent-aryan-warriors" TargetMode="External"/><Relationship Id="rId127" Type="http://schemas.openxmlformats.org/officeDocument/2006/relationships/hyperlink" Target="https://www.adl.org/resources/article/online-amplifiers-anti-lgbtq-extremism" TargetMode="External"/><Relationship Id="rId681" Type="http://schemas.openxmlformats.org/officeDocument/2006/relationships/hyperlink" Target="https://www.adl.org/resources/hate-symbol/ku-klux-klan-hand-sign" TargetMode="External"/><Relationship Id="rId779" Type="http://schemas.openxmlformats.org/officeDocument/2006/relationships/hyperlink" Target="https://www.adl.org/resources/hate-symbol/fasces" TargetMode="External"/><Relationship Id="rId986" Type="http://schemas.openxmlformats.org/officeDocument/2006/relationships/hyperlink" Target="https://www.adl.org/resources/article/extremists-and-conspiracy-theorists-urge-resistance-medical-martial-law" TargetMode="External"/><Relationship Id="rId334" Type="http://schemas.openxmlformats.org/officeDocument/2006/relationships/hyperlink" Target="https://www.adl.org/resources/hate-symbol/skrewdriver" TargetMode="External"/><Relationship Id="rId541" Type="http://schemas.openxmlformats.org/officeDocument/2006/relationships/hyperlink" Target="https://www.adl.org/resources/backgrounder/loyal-white-knights-ku-klux-klan" TargetMode="External"/><Relationship Id="rId639" Type="http://schemas.openxmlformats.org/officeDocument/2006/relationships/hyperlink" Target="https://www.adl.org/resources/backgrounder/proud-boys" TargetMode="External"/><Relationship Id="rId1171" Type="http://schemas.openxmlformats.org/officeDocument/2006/relationships/hyperlink" Target="https://www.adl.org/resources/blog/anti-gay-rhetoric-english-language-isis-and-al-qaeda-magazines" TargetMode="External"/><Relationship Id="rId1269" Type="http://schemas.openxmlformats.org/officeDocument/2006/relationships/hyperlink" Target="https://www.adl.org/resources/article/extremists-far-right-figures-exploit-recent-changes-twitter" TargetMode="External"/><Relationship Id="rId1476" Type="http://schemas.openxmlformats.org/officeDocument/2006/relationships/hyperlink" Target="https://www.adl.org/resources/article/two-years-ago-they-marched-charlottesville-where-are-they-now" TargetMode="External"/><Relationship Id="rId401" Type="http://schemas.openxmlformats.org/officeDocument/2006/relationships/hyperlink" Target="https://www.adl.org/resources/hate-symbol/tyr-rune" TargetMode="External"/><Relationship Id="rId846" Type="http://schemas.openxmlformats.org/officeDocument/2006/relationships/hyperlink" Target="https://www.adl.org/resources/report/us-white-supremacist-propaganda-remained-historic-levels-2021-27-percent-rise" TargetMode="External"/><Relationship Id="rId1031" Type="http://schemas.openxmlformats.org/officeDocument/2006/relationships/hyperlink" Target="https://www.adl.org/resources/hate-symbol/anti-antifa-images" TargetMode="External"/><Relationship Id="rId1129" Type="http://schemas.openxmlformats.org/officeDocument/2006/relationships/hyperlink" Target="https://www.adl.org/resources/article/summer-hate-white-supremacist-activity-memorial-labor-day" TargetMode="External"/><Relationship Id="rId706" Type="http://schemas.openxmlformats.org/officeDocument/2006/relationships/hyperlink" Target="https://notoleranceforantisemitism.adl.org/resources/tools-and-strategies/gun-violence-and-mass-shootings" TargetMode="External"/><Relationship Id="rId913" Type="http://schemas.openxmlformats.org/officeDocument/2006/relationships/hyperlink" Target="https://extremismterms.adl.org/glossary/zyklon-b" TargetMode="External"/><Relationship Id="rId1336" Type="http://schemas.openxmlformats.org/officeDocument/2006/relationships/hyperlink" Target="https://www.adl.org/resources/report/tattered-robes-state-ku-klux-klan-united-states" TargetMode="External"/><Relationship Id="rId1543" Type="http://schemas.openxmlformats.org/officeDocument/2006/relationships/hyperlink" Target="https://www.adl.org/resources/hate-symbol/six-gorillion" TargetMode="External"/><Relationship Id="rId42" Type="http://schemas.openxmlformats.org/officeDocument/2006/relationships/hyperlink" Target="https://www.adl.org/holocaust-denial-anatomy-antisemitic-conspiracy-theory" TargetMode="External"/><Relationship Id="rId1403" Type="http://schemas.openxmlformats.org/officeDocument/2006/relationships/hyperlink" Target="https://www.adl.org/resources/profile/nation-islam" TargetMode="External"/><Relationship Id="rId191" Type="http://schemas.openxmlformats.org/officeDocument/2006/relationships/hyperlink" Target="https://www.adl.org/resources/backgrounder/rise-above-movement-ram" TargetMode="External"/><Relationship Id="rId289" Type="http://schemas.openxmlformats.org/officeDocument/2006/relationships/hyperlink" Target="https://www.adl.org/resources/backgrounder/sovereign-citizen-movement-united-states" TargetMode="External"/><Relationship Id="rId496" Type="http://schemas.openxmlformats.org/officeDocument/2006/relationships/hyperlink" Target="https://www.adl.org/resources/hate-symbol/south-african-flag-apartheid-era" TargetMode="External"/><Relationship Id="rId149" Type="http://schemas.openxmlformats.org/officeDocument/2006/relationships/hyperlink" Target="https://www.adl.org/resources/backgrounder/qanon" TargetMode="External"/><Relationship Id="rId356" Type="http://schemas.openxmlformats.org/officeDocument/2006/relationships/hyperlink" Target="https://extremismterms.adl.org/glossary/george-soros-conspiracy-theories" TargetMode="External"/><Relationship Id="rId563" Type="http://schemas.openxmlformats.org/officeDocument/2006/relationships/hyperlink" Target="https://www.adl.org/resources/hate-symbol/peckerwood-midwest" TargetMode="External"/><Relationship Id="rId770" Type="http://schemas.openxmlformats.org/officeDocument/2006/relationships/hyperlink" Target="https://www.adl.org/resources/hate-symbol/moon-man" TargetMode="External"/><Relationship Id="rId1193" Type="http://schemas.openxmlformats.org/officeDocument/2006/relationships/hyperlink" Target="https://www.adl.org/resources/backgrounder/764" TargetMode="External"/><Relationship Id="rId216" Type="http://schemas.openxmlformats.org/officeDocument/2006/relationships/hyperlink" Target="https://www.adl.org/resources/hate-symbol/336" TargetMode="External"/><Relationship Id="rId423" Type="http://schemas.openxmlformats.org/officeDocument/2006/relationships/hyperlink" Target="https://www.adl.org/resources/backgrounder/rise-above-movement-ram" TargetMode="External"/><Relationship Id="rId868" Type="http://schemas.openxmlformats.org/officeDocument/2006/relationships/hyperlink" Target="https://www.adl.org/resources/hate-symbol/blue-eyed-devils" TargetMode="External"/><Relationship Id="rId1053" Type="http://schemas.openxmlformats.org/officeDocument/2006/relationships/hyperlink" Target="https://www.adl.org/resources/hate-symbol/atlantic-city-skins" TargetMode="External"/><Relationship Id="rId1260" Type="http://schemas.openxmlformats.org/officeDocument/2006/relationships/hyperlink" Target="https://www.adl.org/resources/report/hate-keystone-state-extremism-antisemitism-pennsylvania" TargetMode="External"/><Relationship Id="rId1498" Type="http://schemas.openxmlformats.org/officeDocument/2006/relationships/hyperlink" Target="https://www.adl.org/resources/blog/despite-youtube-policy-update-anti-semitic-white-supremacist-channels-remain" TargetMode="External"/><Relationship Id="rId630" Type="http://schemas.openxmlformats.org/officeDocument/2006/relationships/hyperlink" Target="https://www.adl.org/resources/hate-symbol/moon-man" TargetMode="External"/><Relationship Id="rId728" Type="http://schemas.openxmlformats.org/officeDocument/2006/relationships/hyperlink" Target="https://www.adl.org/resources/hate-symbol/identitarian-lambda" TargetMode="External"/><Relationship Id="rId935" Type="http://schemas.openxmlformats.org/officeDocument/2006/relationships/hyperlink" Target="https://www.adl.org/resources/article/two-neo-nazis-including-jew-slayer-arrested-weapons-charges" TargetMode="External"/><Relationship Id="rId1358" Type="http://schemas.openxmlformats.org/officeDocument/2006/relationships/hyperlink" Target="https://www.adl.org/resources/hate-symbol/hsn" TargetMode="External"/><Relationship Id="rId1565" Type="http://schemas.openxmlformats.org/officeDocument/2006/relationships/hyperlink" Target="https://www.adl.org/resources/backgrounder/chant-khaybar-khaybar-oh-jews-army-mohammed-will-return" TargetMode="External"/><Relationship Id="rId64" Type="http://schemas.openxmlformats.org/officeDocument/2006/relationships/hyperlink" Target="https://extremismterms.adl.org/glossary/shield-wall-network-swn" TargetMode="External"/><Relationship Id="rId1120" Type="http://schemas.openxmlformats.org/officeDocument/2006/relationships/hyperlink" Target="https://www.adl.org/resources/backgrounder/sovereign-citizen-movement-united-states" TargetMode="External"/><Relationship Id="rId1218" Type="http://schemas.openxmlformats.org/officeDocument/2006/relationships/hyperlink" Target="https://adl.org/resources/backgrounder/white-lives-matter" TargetMode="External"/><Relationship Id="rId1425" Type="http://schemas.openxmlformats.org/officeDocument/2006/relationships/hyperlink" Target="https://www.adl.org/resources/article/arrest-united-constitutional-patriots-leader-renews-concerns-over-border" TargetMode="External"/><Relationship Id="rId280" Type="http://schemas.openxmlformats.org/officeDocument/2006/relationships/hyperlink" Target="https://www.adl.org/resources/hate-symbol/aryan-nations-tennessee-prison-gang" TargetMode="External"/><Relationship Id="rId140" Type="http://schemas.openxmlformats.org/officeDocument/2006/relationships/hyperlink" Target="https://www.adl.org/resources/backgrounder/base" TargetMode="External"/><Relationship Id="rId378" Type="http://schemas.openxmlformats.org/officeDocument/2006/relationships/hyperlink" Target="https://www.adl.org/resources/article/violence-and-hate-unite-right" TargetMode="External"/><Relationship Id="rId585" Type="http://schemas.openxmlformats.org/officeDocument/2006/relationships/hyperlink" Target="https://www.adl.org/resources/hate-symbol/nazi-party-flag" TargetMode="External"/><Relationship Id="rId792" Type="http://schemas.openxmlformats.org/officeDocument/2006/relationships/hyperlink" Target="https://www.adl.org/resources/backgrounder/accelerationism" TargetMode="External"/><Relationship Id="rId6" Type="http://schemas.openxmlformats.org/officeDocument/2006/relationships/hyperlink" Target="https://www.adl.org/resources/backgrounder/abbas-hamideh" TargetMode="External"/><Relationship Id="rId238" Type="http://schemas.openxmlformats.org/officeDocument/2006/relationships/hyperlink" Target="https://www.adl.org/resources/hate-symbol/9" TargetMode="External"/><Relationship Id="rId445" Type="http://schemas.openxmlformats.org/officeDocument/2006/relationships/hyperlink" Target="https://www.adl.org/resources/news/occidental-observer-online-anti-semitisms-new-voice" TargetMode="External"/><Relationship Id="rId652" Type="http://schemas.openxmlformats.org/officeDocument/2006/relationships/hyperlink" Target="https://www.adl.org/resources/backgrounder/great-replacement-explainer" TargetMode="External"/><Relationship Id="rId1075" Type="http://schemas.openxmlformats.org/officeDocument/2006/relationships/hyperlink" Target="https://www.adl.org/resources/article/extremist-medicine-cabinet-guide-online-pills" TargetMode="External"/><Relationship Id="rId1282" Type="http://schemas.openxmlformats.org/officeDocument/2006/relationships/hyperlink" Target="https://www.adl.org/resources/article/stew-peters-five-things-know" TargetMode="External"/><Relationship Id="rId305" Type="http://schemas.openxmlformats.org/officeDocument/2006/relationships/hyperlink" Target="https://www.adl.org/resources/backgrounder/alt-right-alt-lite-naming-hate" TargetMode="External"/><Relationship Id="rId512" Type="http://schemas.openxmlformats.org/officeDocument/2006/relationships/hyperlink" Target="https://www.adl.org/resources/article/road-power-idaho-outfit-behind-rash-racist-anti-semitic-robocalls" TargetMode="External"/><Relationship Id="rId957" Type="http://schemas.openxmlformats.org/officeDocument/2006/relationships/hyperlink" Target="https://www.adl.org/resources/report/hate-beyond-borders-internationalization-white-supremacy" TargetMode="External"/><Relationship Id="rId1142" Type="http://schemas.openxmlformats.org/officeDocument/2006/relationships/hyperlink" Target="https://www.adl.org/resources/report/anatomy-standoff" TargetMode="External"/><Relationship Id="rId86" Type="http://schemas.openxmlformats.org/officeDocument/2006/relationships/hyperlink" Target="https://www.adl.org/resources/backgrounder/great-replacement-explainer" TargetMode="External"/><Relationship Id="rId817" Type="http://schemas.openxmlformats.org/officeDocument/2006/relationships/hyperlink" Target="https://www.adl.org/resources/report/nordic-resistance-movement" TargetMode="External"/><Relationship Id="rId1002" Type="http://schemas.openxmlformats.org/officeDocument/2006/relationships/hyperlink" Target="https://www.adl.org/resources/article/holocaust-denier-bradley-smiths-legacy-lies" TargetMode="External"/><Relationship Id="rId1447" Type="http://schemas.openxmlformats.org/officeDocument/2006/relationships/hyperlink" Target="https://www.adl.org/resources/hate-symbol/order" TargetMode="External"/><Relationship Id="rId1307" Type="http://schemas.openxmlformats.org/officeDocument/2006/relationships/hyperlink" Target="https://www.adl.org/resources/report/murder-and-extremism-united-states-2017" TargetMode="External"/><Relationship Id="rId1514" Type="http://schemas.openxmlformats.org/officeDocument/2006/relationships/hyperlink" Target="https://www.adl.org/resources/article/coded-hate-extremists-weaponize-seemingly-innocuous-content-promote-bigotry" TargetMode="External"/><Relationship Id="rId13" Type="http://schemas.openxmlformats.org/officeDocument/2006/relationships/hyperlink" Target="https://www.adl.org/resources/backgrounder/incels-involuntary-celibates" TargetMode="External"/><Relationship Id="rId162" Type="http://schemas.openxmlformats.org/officeDocument/2006/relationships/hyperlink" Target="https://www.adl.org/resources/backgrounder/qanon" TargetMode="External"/><Relationship Id="rId467" Type="http://schemas.openxmlformats.org/officeDocument/2006/relationships/hyperlink" Target="https://www.adl.org/resources/backgrounder/proud-boys-0" TargetMode="External"/><Relationship Id="rId1097" Type="http://schemas.openxmlformats.org/officeDocument/2006/relationships/hyperlink" Target="https://www.adl.org/resources/article/racist-extremist-antisemitic-conspiracy-theories-surround-coronavirus-vaccine" TargetMode="External"/><Relationship Id="rId674" Type="http://schemas.openxmlformats.org/officeDocument/2006/relationships/hyperlink" Target="https://www.adl.org/resources/backgrounder/accelerationism" TargetMode="External"/><Relationship Id="rId881" Type="http://schemas.openxmlformats.org/officeDocument/2006/relationships/hyperlink" Target="https://www.adl.org/resources/report/new-hate-and-old-changing-face-american-white-supremacy" TargetMode="External"/><Relationship Id="rId979" Type="http://schemas.openxmlformats.org/officeDocument/2006/relationships/hyperlink" Target="https://www.adl.org/resources/report/hate-beyond-borders-internationalization-white-supremacy" TargetMode="External"/><Relationship Id="rId327" Type="http://schemas.openxmlformats.org/officeDocument/2006/relationships/hyperlink" Target="https://www.adl.org/resources/backgrounder/three-percenters" TargetMode="External"/><Relationship Id="rId534" Type="http://schemas.openxmlformats.org/officeDocument/2006/relationships/hyperlink" Target="https://www.adl.org/resources/hate-symbol/ohio-aryan-brotherhood" TargetMode="External"/><Relationship Id="rId741" Type="http://schemas.openxmlformats.org/officeDocument/2006/relationships/hyperlink" Target="https://www.adl.org/resources/hate-symbol/hammerskin-hand-sign" TargetMode="External"/><Relationship Id="rId839" Type="http://schemas.openxmlformats.org/officeDocument/2006/relationships/hyperlink" Target="https://www.adl.org/resources/profile/creativity-movement-formerly-world-church-creator" TargetMode="External"/><Relationship Id="rId1164" Type="http://schemas.openxmlformats.org/officeDocument/2006/relationships/hyperlink" Target="https://www.adl.org/resources/report/ecoterrorism-extremism-animal-rights-and-environmentalist-movements" TargetMode="External"/><Relationship Id="rId1371" Type="http://schemas.openxmlformats.org/officeDocument/2006/relationships/hyperlink" Target="https://www.adl.org/resources/article/fascist-forge-new-forum-hate" TargetMode="External"/><Relationship Id="rId1469" Type="http://schemas.openxmlformats.org/officeDocument/2006/relationships/hyperlink" Target="https://www.adl.org/resources/report/white-supremacist-propaganda-incidents-soar-record-high-2023" TargetMode="External"/><Relationship Id="rId601" Type="http://schemas.openxmlformats.org/officeDocument/2006/relationships/hyperlink" Target="https://www.adl.org/resources/article/white-supremacist-propaganda-focused-jews-and-immigrants-2024" TargetMode="External"/><Relationship Id="rId1024" Type="http://schemas.openxmlformats.org/officeDocument/2006/relationships/hyperlink" Target="https://www.adl.org/resources/backgrounder/ammon-bundy-and-peoples-rights" TargetMode="External"/><Relationship Id="rId1231" Type="http://schemas.openxmlformats.org/officeDocument/2006/relationships/hyperlink" Target="https://www.adl.org/resources/report/extremist-and-hate-groups-may-be-abusing-non-profit-status" TargetMode="External"/><Relationship Id="rId906" Type="http://schemas.openxmlformats.org/officeDocument/2006/relationships/hyperlink" Target="https://www.adl.org/resources/profile/act-america" TargetMode="External"/><Relationship Id="rId1329" Type="http://schemas.openxmlformats.org/officeDocument/2006/relationships/hyperlink" Target="https://www.adl.org/resources/hate-symbol/saxon-knights" TargetMode="External"/><Relationship Id="rId1536" Type="http://schemas.openxmlformats.org/officeDocument/2006/relationships/hyperlink" Target="https://www.adl.org/resources/blog/one-year-after-ban-holocaust-denial-remains-facebook" TargetMode="External"/><Relationship Id="rId35" Type="http://schemas.openxmlformats.org/officeDocument/2006/relationships/hyperlink" Target="https://www.adl.org/resources/article/qanon-adherents-reeling-wake-inauguration-trump-departure" TargetMode="External"/><Relationship Id="rId184" Type="http://schemas.openxmlformats.org/officeDocument/2006/relationships/hyperlink" Target="https://www.adl.org/resources/backgrounder/proud-boys-0" TargetMode="External"/><Relationship Id="rId391" Type="http://schemas.openxmlformats.org/officeDocument/2006/relationships/hyperlink" Target="https://adl.org/resources/backgrounder/keystone-state-skinheadskeystone-united" TargetMode="External"/><Relationship Id="rId251" Type="http://schemas.openxmlformats.org/officeDocument/2006/relationships/hyperlink" Target="https://www.adl.org/resources/backgrounder/goyim-defense-league" TargetMode="External"/><Relationship Id="rId489" Type="http://schemas.openxmlformats.org/officeDocument/2006/relationships/hyperlink" Target="https://www.adl.org/resources/backgrounder/sovereign-citizen-movement-united-states" TargetMode="External"/><Relationship Id="rId696" Type="http://schemas.openxmlformats.org/officeDocument/2006/relationships/hyperlink" Target="https://www.adl.org/resources/backgrounder/alt-right-alt-lite-naming-hate" TargetMode="External"/><Relationship Id="rId349" Type="http://schemas.openxmlformats.org/officeDocument/2006/relationships/hyperlink" Target="https://www.adl.org/resources/article/mass-shooting-el-paso-what-we-know" TargetMode="External"/><Relationship Id="rId556" Type="http://schemas.openxmlformats.org/officeDocument/2006/relationships/hyperlink" Target="https://www.adl.org/resources/hate-symbol/northwest-american-republic" TargetMode="External"/><Relationship Id="rId763" Type="http://schemas.openxmlformats.org/officeDocument/2006/relationships/hyperlink" Target="https://www.adl.org/resources/hate-symbol/georgia-aryan-brotherhood" TargetMode="External"/><Relationship Id="rId1186" Type="http://schemas.openxmlformats.org/officeDocument/2006/relationships/hyperlink" Target="https://www.adl.org/resources/backgrounder/qanon" TargetMode="External"/><Relationship Id="rId1393" Type="http://schemas.openxmlformats.org/officeDocument/2006/relationships/hyperlink" Target="https://www.adl.org/resources/article/deadly-shooting-california-chabad-highlights-threat-jewish-houses-worship" TargetMode="External"/><Relationship Id="rId111" Type="http://schemas.openxmlformats.org/officeDocument/2006/relationships/hyperlink" Target="https://www.adl.org/resources/backgrounder/nationalist-social-club-nsc-131" TargetMode="External"/><Relationship Id="rId209" Type="http://schemas.openxmlformats.org/officeDocument/2006/relationships/hyperlink" Target="https://www.adl.org/resources/backgrounder/ammon-bundy-and-peoples-rights" TargetMode="External"/><Relationship Id="rId416" Type="http://schemas.openxmlformats.org/officeDocument/2006/relationships/hyperlink" Target="https://www.adl.org/resources/hate-symbol/thors-hammer" TargetMode="External"/><Relationship Id="rId970" Type="http://schemas.openxmlformats.org/officeDocument/2006/relationships/hyperlink" Target="https://www.adl.org/resources/article/two-years-ago-they-marched-charlottesville-where-are-they-now" TargetMode="External"/><Relationship Id="rId1046" Type="http://schemas.openxmlformats.org/officeDocument/2006/relationships/hyperlink" Target="https://adl.org/resources/backgrounder/nationalist-front-formerly-known-aryan-nationalist-alliance" TargetMode="External"/><Relationship Id="rId1253" Type="http://schemas.openxmlformats.org/officeDocument/2006/relationships/hyperlink" Target="https://www.adl.org/resources/article/unity-fields-what-you-need-know" TargetMode="External"/><Relationship Id="rId623" Type="http://schemas.openxmlformats.org/officeDocument/2006/relationships/hyperlink" Target="https://www.adl.org/resources/backgrounder/764" TargetMode="External"/><Relationship Id="rId830" Type="http://schemas.openxmlformats.org/officeDocument/2006/relationships/hyperlink" Target="https://www.adl.org/resources/hate-symbol/336" TargetMode="External"/><Relationship Id="rId928" Type="http://schemas.openxmlformats.org/officeDocument/2006/relationships/hyperlink" Target="https://www.adl.org/resources/report/hate-beyond-borders-internationalization-white-supremacy" TargetMode="External"/><Relationship Id="rId1460" Type="http://schemas.openxmlformats.org/officeDocument/2006/relationships/hyperlink" Target="https://www.adl.org/resources/article/cpac-2023-anti-transgender-hate-took-center-stage" TargetMode="External"/><Relationship Id="rId1558" Type="http://schemas.openxmlformats.org/officeDocument/2006/relationships/hyperlink" Target="https://www.adl.org/resources/backgrounder/extremist-sects-within-black-hebrew-israelite-movement" TargetMode="External"/><Relationship Id="rId57" Type="http://schemas.openxmlformats.org/officeDocument/2006/relationships/hyperlink" Target="https://extremismterms.adl.org/glossary/supreme-white-alliance" TargetMode="External"/><Relationship Id="rId1113" Type="http://schemas.openxmlformats.org/officeDocument/2006/relationships/hyperlink" Target="https://antisemitism.adl.org/denial/" TargetMode="External"/><Relationship Id="rId1320" Type="http://schemas.openxmlformats.org/officeDocument/2006/relationships/hyperlink" Target="https://www.adl.org/resources/hate-symbol/skrewdriver" TargetMode="External"/><Relationship Id="rId1418" Type="http://schemas.openxmlformats.org/officeDocument/2006/relationships/hyperlink" Target="https://www.adl.org/resources/backgrounder/boogaloo-movement" TargetMode="External"/><Relationship Id="rId273" Type="http://schemas.openxmlformats.org/officeDocument/2006/relationships/hyperlink" Target="https://www.adl.org/resources/hate-symbol/zog" TargetMode="External"/><Relationship Id="rId480" Type="http://schemas.openxmlformats.org/officeDocument/2006/relationships/hyperlink" Target="https://www.adl.org/resources/news/occidental-observer-online-anti-semitisms-new-voice" TargetMode="External"/><Relationship Id="rId133" Type="http://schemas.openxmlformats.org/officeDocument/2006/relationships/hyperlink" Target="https://www.adl.org/resources/backgrounder/accelerationism" TargetMode="External"/><Relationship Id="rId340" Type="http://schemas.openxmlformats.org/officeDocument/2006/relationships/hyperlink" Target="https://www.adl.org/resources/backgrounder/proud-boys-0" TargetMode="External"/><Relationship Id="rId578" Type="http://schemas.openxmlformats.org/officeDocument/2006/relationships/hyperlink" Target="https://www.adl.org/resources/hate-symbol/new-aryan-empire" TargetMode="External"/><Relationship Id="rId785" Type="http://schemas.openxmlformats.org/officeDocument/2006/relationships/hyperlink" Target="https://www.adl.org/resources/report/white-supremacist-prison-gangs-2022-assessment" TargetMode="External"/><Relationship Id="rId992" Type="http://schemas.openxmlformats.org/officeDocument/2006/relationships/hyperlink" Target="https://adl.org/resources/backgrounder/rizza-islam" TargetMode="External"/><Relationship Id="rId200" Type="http://schemas.openxmlformats.org/officeDocument/2006/relationships/hyperlink" Target="https://www.adl.org/resources/backgrounder/groyper-army-and-america-first" TargetMode="External"/><Relationship Id="rId438" Type="http://schemas.openxmlformats.org/officeDocument/2006/relationships/hyperlink" Target="https://www.adl.org/resources/article/extremist-medicine-cabinet-guide-online-pills" TargetMode="External"/><Relationship Id="rId645" Type="http://schemas.openxmlformats.org/officeDocument/2006/relationships/hyperlink" Target="https://www.adl.org/resources/backgrounder/proud-boys" TargetMode="External"/><Relationship Id="rId852" Type="http://schemas.openxmlformats.org/officeDocument/2006/relationships/hyperlink" Target="https://www.adl.org/resources/article/extremists-far-right-figures-exploit-recent-changes-twitter" TargetMode="External"/><Relationship Id="rId1068" Type="http://schemas.openxmlformats.org/officeDocument/2006/relationships/hyperlink" Target="https://www.adl.org/resources/backgrounder/blood-tribe" TargetMode="External"/><Relationship Id="rId1275" Type="http://schemas.openxmlformats.org/officeDocument/2006/relationships/hyperlink" Target="https://www.adl.org/resources/backgrounder/qanon" TargetMode="External"/><Relationship Id="rId1482" Type="http://schemas.openxmlformats.org/officeDocument/2006/relationships/hyperlink" Target="https://www.adl.org/resources/news/frazier-glenn-millers-violent-comeback" TargetMode="External"/><Relationship Id="rId505" Type="http://schemas.openxmlformats.org/officeDocument/2006/relationships/hyperlink" Target="https://www.adl.org/resources/backgrounder/proud-boys" TargetMode="External"/><Relationship Id="rId712" Type="http://schemas.openxmlformats.org/officeDocument/2006/relationships/hyperlink" Target="https://www.adl.org/resources/article/behind-american-guard-hardcore-white-supremacists" TargetMode="External"/><Relationship Id="rId1135" Type="http://schemas.openxmlformats.org/officeDocument/2006/relationships/hyperlink" Target="https://www.adl.org/resources/backgrounder/accelerationism" TargetMode="External"/><Relationship Id="rId1342" Type="http://schemas.openxmlformats.org/officeDocument/2006/relationships/hyperlink" Target="https://www.adl.org/resources/article/virginia-man-links-neo-nazis-arrested-international-swatting-case" TargetMode="External"/><Relationship Id="rId79" Type="http://schemas.openxmlformats.org/officeDocument/2006/relationships/hyperlink" Target="https://extremismterms.adl.org/glossary/nationalist-social-club-nsc" TargetMode="External"/><Relationship Id="rId1202" Type="http://schemas.openxmlformats.org/officeDocument/2006/relationships/hyperlink" Target="https://www.adl.org/resources/backgrounder/national-socialist-movement" TargetMode="External"/><Relationship Id="rId1507" Type="http://schemas.openxmlformats.org/officeDocument/2006/relationships/hyperlink" Target="https://adl.org/resources/backgrounder/sovereign-citizen-movement-united-states" TargetMode="External"/><Relationship Id="rId295" Type="http://schemas.openxmlformats.org/officeDocument/2006/relationships/hyperlink" Target="https://www.adl.org/resources/backgrounder/alt-right-alt-lite-naming-hate" TargetMode="External"/><Relationship Id="rId155" Type="http://schemas.openxmlformats.org/officeDocument/2006/relationships/hyperlink" Target="https://www.adl.org/resources/hate-symbol/echo" TargetMode="External"/><Relationship Id="rId362" Type="http://schemas.openxmlformats.org/officeDocument/2006/relationships/hyperlink" Target="https://www.adl.org/resources/backgrounder/sovereign-citizen-movement-united-states" TargetMode="External"/><Relationship Id="rId1297" Type="http://schemas.openxmlformats.org/officeDocument/2006/relationships/hyperlink" Target="https://www.adl.org/resources/article/what-grooming-truth-behind-dangerous-bigoted-lie-targeting-lgbtq-community" TargetMode="External"/><Relationship Id="rId222" Type="http://schemas.openxmlformats.org/officeDocument/2006/relationships/hyperlink" Target="https://www.adl.org/resources/hate-symbol/5-words" TargetMode="External"/><Relationship Id="rId667" Type="http://schemas.openxmlformats.org/officeDocument/2006/relationships/hyperlink" Target="https://www.adl.org/resources/hate-symbol/pit-bull" TargetMode="External"/><Relationship Id="rId874" Type="http://schemas.openxmlformats.org/officeDocument/2006/relationships/hyperlink" Target="https://www.adl.org/resources/hate-symbol/atlantic-city-skins" TargetMode="External"/><Relationship Id="rId527" Type="http://schemas.openxmlformats.org/officeDocument/2006/relationships/hyperlink" Target="https://adl.org/resources/backgrounder/nationalist-front-formerly-known-aryan-nationalist-alliance" TargetMode="External"/><Relationship Id="rId734" Type="http://schemas.openxmlformats.org/officeDocument/2006/relationships/hyperlink" Target="https://www.adl.org/resources/backgrounder/new-independent-fundamental-baptist-new-ifb-movement" TargetMode="External"/><Relationship Id="rId941" Type="http://schemas.openxmlformats.org/officeDocument/2006/relationships/hyperlink" Target="https://www.adl.org/resources/backgrounder/alex-jones-five-things-know" TargetMode="External"/><Relationship Id="rId1157" Type="http://schemas.openxmlformats.org/officeDocument/2006/relationships/hyperlink" Target="https://www.adl.org/resources/backgrounder/sovereign-citizen-movement-united-states" TargetMode="External"/><Relationship Id="rId1364" Type="http://schemas.openxmlformats.org/officeDocument/2006/relationships/hyperlink" Target="https://www.adl.org/resources/hate-symbol/h8" TargetMode="External"/><Relationship Id="rId1571" Type="http://schemas.openxmlformats.org/officeDocument/2006/relationships/hyperlink" Target="https://www.adl.org/resources/backgrounder/short-history-holocaust-denial-united-states" TargetMode="External"/><Relationship Id="rId70" Type="http://schemas.openxmlformats.org/officeDocument/2006/relationships/hyperlink" Target="https://extremismterms.adl.org/glossary/proud-boys" TargetMode="External"/><Relationship Id="rId801" Type="http://schemas.openxmlformats.org/officeDocument/2006/relationships/hyperlink" Target="https://www.adl.org/resources/hate-symbol/ayak" TargetMode="External"/><Relationship Id="rId1017" Type="http://schemas.openxmlformats.org/officeDocument/2006/relationships/hyperlink" Target="https://www.adl.org/resources/article/nicholas-j-fuentes-five-things-know" TargetMode="External"/><Relationship Id="rId1224" Type="http://schemas.openxmlformats.org/officeDocument/2006/relationships/hyperlink" Target="https://www.adl.org/resources/news/westboro-baptist-church-legacy-hate" TargetMode="External"/><Relationship Id="rId1431" Type="http://schemas.openxmlformats.org/officeDocument/2006/relationships/hyperlink" Target="https://adl.org/resources/backgrounder/black-hebrew-israelites" TargetMode="External"/><Relationship Id="rId1529" Type="http://schemas.openxmlformats.org/officeDocument/2006/relationships/hyperlink" Target="https://www.adl.org/resources/article/us-representative-brings-holocaust-denier-meeting-capitol-hill" TargetMode="External"/><Relationship Id="rId28" Type="http://schemas.openxmlformats.org/officeDocument/2006/relationships/hyperlink" Target="https://extremismterms.adl.org/glossary/volcel" TargetMode="External"/><Relationship Id="rId177" Type="http://schemas.openxmlformats.org/officeDocument/2006/relationships/hyperlink" Target="https://www.adl.org/resources/backgrounder/proud-boys" TargetMode="External"/><Relationship Id="rId384" Type="http://schemas.openxmlformats.org/officeDocument/2006/relationships/hyperlink" Target="https://www.adl.org/resources/hate-symbol/we-wuz-kangs" TargetMode="External"/><Relationship Id="rId591" Type="http://schemas.openxmlformats.org/officeDocument/2006/relationships/hyperlink" Target="https://www.adl.org/resources/backgrounder/qanon" TargetMode="External"/><Relationship Id="rId244" Type="http://schemas.openxmlformats.org/officeDocument/2006/relationships/hyperlink" Target="https://www.adl.org/resources/backgrounder/national-socialist-movement" TargetMode="External"/><Relationship Id="rId689" Type="http://schemas.openxmlformats.org/officeDocument/2006/relationships/hyperlink" Target="https://www.adl.org/resources/hate-symbol/kabark" TargetMode="External"/><Relationship Id="rId896" Type="http://schemas.openxmlformats.org/officeDocument/2006/relationships/hyperlink" Target="https://www.adl.org/resources/report/hate-sunshine-state-extremism-antisemitism-florida-2020-2022" TargetMode="External"/><Relationship Id="rId1081" Type="http://schemas.openxmlformats.org/officeDocument/2006/relationships/hyperlink" Target="https://www.adl.org/resources/backgrounder/qanon" TargetMode="External"/><Relationship Id="rId451" Type="http://schemas.openxmlformats.org/officeDocument/2006/relationships/hyperlink" Target="https://www.adl.org/resources/article/extremist-medicine-cabinet-guide-online-pills" TargetMode="External"/><Relationship Id="rId549" Type="http://schemas.openxmlformats.org/officeDocument/2006/relationships/hyperlink" Target="https://www.adl.org/resources/backgrounder/incels-involuntary-celibates" TargetMode="External"/><Relationship Id="rId756" Type="http://schemas.openxmlformats.org/officeDocument/2006/relationships/hyperlink" Target="https://www.adl.org/resources/hate-symbol/golden-state-solidarity" TargetMode="External"/><Relationship Id="rId1179" Type="http://schemas.openxmlformats.org/officeDocument/2006/relationships/hyperlink" Target="https://www.adl.org/resources/profile/david-duke" TargetMode="External"/><Relationship Id="rId1386" Type="http://schemas.openxmlformats.org/officeDocument/2006/relationships/hyperlink" Target="https://www.adl.org/resources/news/four-lessons-boston-marathon-bombing" TargetMode="External"/><Relationship Id="rId104" Type="http://schemas.openxmlformats.org/officeDocument/2006/relationships/hyperlink" Target="https://www.adl.org/resources/hate-symbol/28" TargetMode="External"/><Relationship Id="rId311" Type="http://schemas.openxmlformats.org/officeDocument/2006/relationships/hyperlink" Target="https://www.adl.org/resources/backgrounder/accelerationism" TargetMode="External"/><Relationship Id="rId409" Type="http://schemas.openxmlformats.org/officeDocument/2006/relationships/hyperlink" Target="https://www.adl.org/resources/backgrounder/alt-right-alt-lite-naming-hate" TargetMode="External"/><Relationship Id="rId963" Type="http://schemas.openxmlformats.org/officeDocument/2006/relationships/hyperlink" Target="https://www.adl.org/resources/report/hate-beyond-borders-internationalization-white-supremacy" TargetMode="External"/><Relationship Id="rId1039" Type="http://schemas.openxmlformats.org/officeDocument/2006/relationships/hyperlink" Target="https://www.adl.org/resources/hate-symbol/aryan-circle" TargetMode="External"/><Relationship Id="rId1246" Type="http://schemas.openxmlformats.org/officeDocument/2006/relationships/hyperlink" Target="https://www.adl.org/resources/backgrounder/traditionalist-youth-network" TargetMode="External"/><Relationship Id="rId92" Type="http://schemas.openxmlformats.org/officeDocument/2006/relationships/hyperlink" Target="https://www.adl.org/resources/backgrounder/sovereign-citizen-movement-united-states" TargetMode="External"/><Relationship Id="rId616" Type="http://schemas.openxmlformats.org/officeDocument/2006/relationships/hyperlink" Target="https://www.adl.org/resources/news/extremism-america-richard-butler" TargetMode="External"/><Relationship Id="rId823" Type="http://schemas.openxmlformats.org/officeDocument/2006/relationships/hyperlink" Target="https://www.adl.org/resources/news/council-conservative-citizens-declining-bastion-hate" TargetMode="External"/><Relationship Id="rId1453" Type="http://schemas.openxmlformats.org/officeDocument/2006/relationships/hyperlink" Target="https://www.adl.org/resources/backgrounder/traditionalist-worker-party-twp" TargetMode="External"/><Relationship Id="rId1106" Type="http://schemas.openxmlformats.org/officeDocument/2006/relationships/hyperlink" Target="https://adl.org/resources/backgrounder/abbas-hamideh" TargetMode="External"/><Relationship Id="rId1313" Type="http://schemas.openxmlformats.org/officeDocument/2006/relationships/hyperlink" Target="https://www.adl.org/resources/backgrounder/764" TargetMode="External"/><Relationship Id="rId1520" Type="http://schemas.openxmlformats.org/officeDocument/2006/relationships/hyperlink" Target="https://www.adl.org/sites/default/files/documents/assets/pdf/combating-hate/Sovereign-Citizen-Documentary-Identifiers.pdf" TargetMode="External"/><Relationship Id="rId199" Type="http://schemas.openxmlformats.org/officeDocument/2006/relationships/hyperlink" Target="https://www.adl.org/resources/backgrounder/patriot-front" TargetMode="External"/><Relationship Id="rId266" Type="http://schemas.openxmlformats.org/officeDocument/2006/relationships/hyperlink" Target="https://www.adl.org/resources/backgrounder/sovereign-citizen-movement-united-states" TargetMode="External"/><Relationship Id="rId473" Type="http://schemas.openxmlformats.org/officeDocument/2006/relationships/hyperlink" Target="https://www.adl.org/resources/hate-symbol/order" TargetMode="External"/><Relationship Id="rId680" Type="http://schemas.openxmlformats.org/officeDocument/2006/relationships/hyperlink" Target="https://www.adl.org/resources/report/hate-beyond-borders-internationalization-white-supremacy" TargetMode="External"/><Relationship Id="rId126" Type="http://schemas.openxmlformats.org/officeDocument/2006/relationships/hyperlink" Target="https://www.adl.org/resources/backgrounder/accelerationism" TargetMode="External"/><Relationship Id="rId333" Type="http://schemas.openxmlformats.org/officeDocument/2006/relationships/hyperlink" Target="https://www.adl.org/resources/article/how-antisemites-extremists-and-conspiracy-theorists-are-exploiting-anti-vax" TargetMode="External"/><Relationship Id="rId540" Type="http://schemas.openxmlformats.org/officeDocument/2006/relationships/hyperlink" Target="https://www.adl.org/resources/backgrounder/oath-keepers" TargetMode="External"/><Relationship Id="rId778" Type="http://schemas.openxmlformats.org/officeDocument/2006/relationships/hyperlink" Target="https://www.adl.org/resources/backgrounder/militia-movement-2020" TargetMode="External"/><Relationship Id="rId985" Type="http://schemas.openxmlformats.org/officeDocument/2006/relationships/hyperlink" Target="https://www.adl.org/resources/report/hate-golden-state-extremism-antisemitism-california-2021-2022" TargetMode="External"/><Relationship Id="rId1170" Type="http://schemas.openxmlformats.org/officeDocument/2006/relationships/hyperlink" Target="https://www.adl.org/resources/hate-symbol/goyim-knowshut-it-down" TargetMode="External"/><Relationship Id="rId638" Type="http://schemas.openxmlformats.org/officeDocument/2006/relationships/hyperlink" Target="https://www.adl.org/resources/backgrounder/incels-involuntary-celibates" TargetMode="External"/><Relationship Id="rId845" Type="http://schemas.openxmlformats.org/officeDocument/2006/relationships/hyperlink" Target="https://www.adl.org/resources/news/two-ties-white-supremacy-suspected-plot-bomb-boston-sites" TargetMode="External"/><Relationship Id="rId1030" Type="http://schemas.openxmlformats.org/officeDocument/2006/relationships/hyperlink" Target="https://www.adl.org/resources/hate-symbol/anti-racist-code-anti-white" TargetMode="External"/><Relationship Id="rId1268" Type="http://schemas.openxmlformats.org/officeDocument/2006/relationships/hyperlink" Target="https://www.adl.org/resources/backgrounder/alex-jones-five-things-know" TargetMode="External"/><Relationship Id="rId1475" Type="http://schemas.openxmlformats.org/officeDocument/2006/relationships/hyperlink" Target="https://www.adl.org/resources/news/don-blackstormfront" TargetMode="External"/><Relationship Id="rId400" Type="http://schemas.openxmlformats.org/officeDocument/2006/relationships/hyperlink" Target="https://www.adl.org/resources/article/cpac-2023-anti-transgender-hate-took-center-stage" TargetMode="External"/><Relationship Id="rId705" Type="http://schemas.openxmlformats.org/officeDocument/2006/relationships/hyperlink" Target="https://www.adl.org/resources/hate-symbol/jera-rune" TargetMode="External"/><Relationship Id="rId1128" Type="http://schemas.openxmlformats.org/officeDocument/2006/relationships/hyperlink" Target="https://www.adl.org/resources/article/racist-skinhead-crew-aryan-strikeforce-88-stands-8-arrests-8-months" TargetMode="External"/><Relationship Id="rId1335" Type="http://schemas.openxmlformats.org/officeDocument/2006/relationships/hyperlink" Target="https://www.adl.org/resources/article/al-qaeda-renews-its-focus-antisemitism-and-attacking-israel" TargetMode="External"/><Relationship Id="rId1542" Type="http://schemas.openxmlformats.org/officeDocument/2006/relationships/hyperlink" Target="https://www.adl.org/resources/hate-symbol/six-gorillion" TargetMode="External"/><Relationship Id="rId912" Type="http://schemas.openxmlformats.org/officeDocument/2006/relationships/hyperlink" Target="https://www.adl.org/resources/backgrounder/active-club-network" TargetMode="External"/><Relationship Id="rId41" Type="http://schemas.openxmlformats.org/officeDocument/2006/relationships/hyperlink" Target="https://www.adl.org/resources/backgrounder/qanon" TargetMode="External"/><Relationship Id="rId1402" Type="http://schemas.openxmlformats.org/officeDocument/2006/relationships/hyperlink" Target="https://www.adl.org/resources/article/nation-islam-espouses-new-pot-plot-anti-semitic-conspiracy-theory" TargetMode="External"/><Relationship Id="rId190" Type="http://schemas.openxmlformats.org/officeDocument/2006/relationships/hyperlink" Target="https://www.adl.org/resources/backgrounder/rise-above-movement-ram" TargetMode="External"/><Relationship Id="rId288" Type="http://schemas.openxmlformats.org/officeDocument/2006/relationships/hyperlink" Target="https://www.adl.org/resources/backgrounder/sovereign-citizen-movement-united-states" TargetMode="External"/><Relationship Id="rId495" Type="http://schemas.openxmlformats.org/officeDocument/2006/relationships/hyperlink" Target="https://adl.org/resources/backgrounder/national-alliance-backgrounder" TargetMode="External"/><Relationship Id="rId148" Type="http://schemas.openxmlformats.org/officeDocument/2006/relationships/hyperlink" Target="https://www.adl.org/resources/backgrounder/qanon" TargetMode="External"/><Relationship Id="rId355" Type="http://schemas.openxmlformats.org/officeDocument/2006/relationships/hyperlink" Target="https://www.adl.org/resources/backgrounder/proud-boys" TargetMode="External"/><Relationship Id="rId562" Type="http://schemas.openxmlformats.org/officeDocument/2006/relationships/hyperlink" Target="https://www.adl.org/resources/hate-symbol/peckerwood-hand-sign" TargetMode="External"/><Relationship Id="rId1192" Type="http://schemas.openxmlformats.org/officeDocument/2006/relationships/hyperlink" Target="https://www.adl.org/resources/hate-symbol/creativity-movement" TargetMode="External"/><Relationship Id="rId215" Type="http://schemas.openxmlformats.org/officeDocument/2006/relationships/hyperlink" Target="https://www.adl.org/resources/backgrounder/qanon" TargetMode="External"/><Relationship Id="rId422" Type="http://schemas.openxmlformats.org/officeDocument/2006/relationships/hyperlink" Target="https://www.adl.org/resources/backgrounder/alt-right-alt-lite-naming-hate" TargetMode="External"/><Relationship Id="rId867" Type="http://schemas.openxmlformats.org/officeDocument/2006/relationships/hyperlink" Target="https://www.adl.org/resources/hate-symbol/boots-and-laces" TargetMode="External"/><Relationship Id="rId1052" Type="http://schemas.openxmlformats.org/officeDocument/2006/relationships/hyperlink" Target="https://www.adl.org/resources/backgrounder/incels-involuntary-celibates" TargetMode="External"/><Relationship Id="rId1497" Type="http://schemas.openxmlformats.org/officeDocument/2006/relationships/hyperlink" Target="https://www.adl.org/resources/blog/despite-youtube-policy-update-anti-semitic-white-supremacist-channels-remain" TargetMode="External"/><Relationship Id="rId727" Type="http://schemas.openxmlformats.org/officeDocument/2006/relationships/hyperlink" Target="https://www.adl.org/resources/article/2022-midterms-false-and-misleading-election-narratives" TargetMode="External"/><Relationship Id="rId934" Type="http://schemas.openxmlformats.org/officeDocument/2006/relationships/hyperlink" Target="https://www.adl.org/resources/backgrounder/qanon" TargetMode="External"/><Relationship Id="rId1357" Type="http://schemas.openxmlformats.org/officeDocument/2006/relationships/hyperlink" Target="https://www.adl.org/resources/hate-symbol/identitarian-lambda" TargetMode="External"/><Relationship Id="rId1564" Type="http://schemas.openxmlformats.org/officeDocument/2006/relationships/hyperlink" Target="https://www.adl.org/resources/article/proud-boys-bigotry-full-display" TargetMode="External"/><Relationship Id="rId63" Type="http://schemas.openxmlformats.org/officeDocument/2006/relationships/hyperlink" Target="https://www.adl.org/resources/article/coded-hate-extremists-weaponize-seemingly-innocuous-content-promote-bigotry" TargetMode="External"/><Relationship Id="rId1217" Type="http://schemas.openxmlformats.org/officeDocument/2006/relationships/hyperlink" Target="https://www.adl.org/resources/article/extremist-medicine-cabinet-guide-online-pills" TargetMode="External"/><Relationship Id="rId1424" Type="http://schemas.openxmlformats.org/officeDocument/2006/relationships/hyperlink" Target="https://www.adl.org/resources/article/great-reset-conspiracy-flourishes-amid-continued-pandemic" TargetMode="External"/><Relationship Id="rId377" Type="http://schemas.openxmlformats.org/officeDocument/2006/relationships/hyperlink" Target="https://www.adl.org/resources/backgrounder/sovereign-citizen-movement-united-states" TargetMode="External"/><Relationship Id="rId584" Type="http://schemas.openxmlformats.org/officeDocument/2006/relationships/hyperlink" Target="https://www.adl.org/resources/article/extremist-medicine-cabinet-guide-online-pills" TargetMode="External"/><Relationship Id="rId5" Type="http://schemas.openxmlformats.org/officeDocument/2006/relationships/hyperlink" Target="https://www.adl.org/resources/hate-symbol/alabama-aryan-brotherhood" TargetMode="External"/><Relationship Id="rId237" Type="http://schemas.openxmlformats.org/officeDocument/2006/relationships/hyperlink" Target="https://www.adl.org/resources/backgrounder/proud-boys-0" TargetMode="External"/><Relationship Id="rId791" Type="http://schemas.openxmlformats.org/officeDocument/2006/relationships/hyperlink" Target="https://www.adl.org/resources/profile/david-duke" TargetMode="External"/><Relationship Id="rId889" Type="http://schemas.openxmlformats.org/officeDocument/2006/relationships/hyperlink" Target="https://www.adl.org/resources/news/ties-between-anti-immigrant-movement-and-eugenics" TargetMode="External"/><Relationship Id="rId1074" Type="http://schemas.openxmlformats.org/officeDocument/2006/relationships/hyperlink" Target="https://www.adl.org/resources/hate-symbol/bound-glory" TargetMode="External"/><Relationship Id="rId444" Type="http://schemas.openxmlformats.org/officeDocument/2006/relationships/hyperlink" Target="https://www.adl.org/resources/backgrounder/turner-diaries" TargetMode="External"/><Relationship Id="rId651" Type="http://schemas.openxmlformats.org/officeDocument/2006/relationships/hyperlink" Target="https://www.adl.org/resources/backgrounder/goyim-defense-league" TargetMode="External"/><Relationship Id="rId749" Type="http://schemas.openxmlformats.org/officeDocument/2006/relationships/hyperlink" Target="https://www.adl.org/resources/report/hate-cascade-states-extremism-antisemitism-oregon-washington" TargetMode="External"/><Relationship Id="rId1281" Type="http://schemas.openxmlformats.org/officeDocument/2006/relationships/hyperlink" Target="https://www.adl.org/resources/news/flood-racist-fliers-masks-shrinking-klan-membership" TargetMode="External"/><Relationship Id="rId1379" Type="http://schemas.openxmlformats.org/officeDocument/2006/relationships/hyperlink" Target="https://www.adl.org/resources/article/alison-weirs-new-billboard-campaign-promotes-uss-liberty-conspiracies" TargetMode="External"/><Relationship Id="rId304" Type="http://schemas.openxmlformats.org/officeDocument/2006/relationships/hyperlink" Target="https://www.adl.org/resources/hate-symbol/white-knights" TargetMode="External"/><Relationship Id="rId511" Type="http://schemas.openxmlformats.org/officeDocument/2006/relationships/hyperlink" Target="https://www.adl.org/resources/hate-symbol/peckerwood-hand-sign" TargetMode="External"/><Relationship Id="rId609" Type="http://schemas.openxmlformats.org/officeDocument/2006/relationships/hyperlink" Target="https://www.adl.org/resources/profile/national-alliance" TargetMode="External"/><Relationship Id="rId956" Type="http://schemas.openxmlformats.org/officeDocument/2006/relationships/hyperlink" Target="https://www.adl.org/resources/article/what-grooming-truth-behind-dangerous-bigoted-lie-targeting-lgbtq-community" TargetMode="External"/><Relationship Id="rId1141" Type="http://schemas.openxmlformats.org/officeDocument/2006/relationships/hyperlink" Target="https://www.adl.org/resources/blog/buffalo-shooters-manifesto-promotes-great-replacement-theory-antisemitism-and-previous-mass-shooters" TargetMode="External"/><Relationship Id="rId1239" Type="http://schemas.openxmlformats.org/officeDocument/2006/relationships/hyperlink" Target="https://www.adl.org/resources/backgrounder/american-blackshirts-movement-abm" TargetMode="External"/><Relationship Id="rId85" Type="http://schemas.openxmlformats.org/officeDocument/2006/relationships/hyperlink" Target="https://www.adl.org/resources/backgrounder/great-replacement-explainer" TargetMode="External"/><Relationship Id="rId816" Type="http://schemas.openxmlformats.org/officeDocument/2006/relationships/hyperlink" Target="https://www.adl.org/resources/article/coded-hate-extremists-weaponize-seemingly-innocuous-content-promote-bigotry" TargetMode="External"/><Relationship Id="rId1001" Type="http://schemas.openxmlformats.org/officeDocument/2006/relationships/hyperlink" Target="https://www.adl.org/resources/article/behind-american-guard-hardcore-white-supremacists" TargetMode="External"/><Relationship Id="rId1446" Type="http://schemas.openxmlformats.org/officeDocument/2006/relationships/hyperlink" Target="https://www.adl.org/resources/hate-symbol/runic-writing-racist" TargetMode="External"/><Relationship Id="rId1306" Type="http://schemas.openxmlformats.org/officeDocument/2006/relationships/hyperlink" Target="https://www.adl.org/resources/article/mens-rights-activists-what-you-need-know" TargetMode="External"/><Relationship Id="rId1513" Type="http://schemas.openxmlformats.org/officeDocument/2006/relationships/hyperlink" Target="https://www.adl.org/resources/backgrounder/e-michael-jones" TargetMode="External"/><Relationship Id="rId12" Type="http://schemas.openxmlformats.org/officeDocument/2006/relationships/hyperlink" Target="https://www.adl.org/resources/backgrounder/incels-involuntary-celibates" TargetMode="External"/><Relationship Id="rId161" Type="http://schemas.openxmlformats.org/officeDocument/2006/relationships/hyperlink" Target="https://www.adl.org/resources/backgrounder/qanon" TargetMode="External"/><Relationship Id="rId399" Type="http://schemas.openxmlformats.org/officeDocument/2006/relationships/hyperlink" Target="https://www.adl.org/resources/backgrounder/sovereign-citizen-movement-united-states" TargetMode="External"/><Relationship Id="rId259" Type="http://schemas.openxmlformats.org/officeDocument/2006/relationships/hyperlink" Target="https://www.adl.org/resources/article/pakistani-woman-linked-al-qaeda-found-guilty-new-york" TargetMode="External"/><Relationship Id="rId466" Type="http://schemas.openxmlformats.org/officeDocument/2006/relationships/hyperlink" Target="https://adl.org/resources/backgrounder/militia-movement" TargetMode="External"/><Relationship Id="rId673" Type="http://schemas.openxmlformats.org/officeDocument/2006/relationships/hyperlink" Target="https://www.adl.org/resources/report/when-women-are-enemy-intersection-misogyny-and-white-supremacy" TargetMode="External"/><Relationship Id="rId880" Type="http://schemas.openxmlformats.org/officeDocument/2006/relationships/hyperlink" Target="https://www.adl.org/resources/hate-symbol/othala-rune" TargetMode="External"/><Relationship Id="rId1096" Type="http://schemas.openxmlformats.org/officeDocument/2006/relationships/hyperlink" Target="https://www.adl.org/resources/backgrounder/qanon" TargetMode="External"/><Relationship Id="rId23" Type="http://schemas.openxmlformats.org/officeDocument/2006/relationships/hyperlink" Target="https://www.adl.org/resources/backgrounder/incels-involuntary-celibates" TargetMode="External"/><Relationship Id="rId119" Type="http://schemas.openxmlformats.org/officeDocument/2006/relationships/hyperlink" Target="https://www.adl.org/resources/backgrounder/qanon" TargetMode="External"/><Relationship Id="rId326" Type="http://schemas.openxmlformats.org/officeDocument/2006/relationships/hyperlink" Target="https://www.adl.org/resources/backgrounder/boogaloo-movement" TargetMode="External"/><Relationship Id="rId533" Type="http://schemas.openxmlformats.org/officeDocument/2006/relationships/hyperlink" Target="https://www.adl.org/resources/hate-symbol/you-will-not-replace-us" TargetMode="External"/><Relationship Id="rId978" Type="http://schemas.openxmlformats.org/officeDocument/2006/relationships/hyperlink" Target="https://www.adl.org/resources/article/jewish-problem-conference-kentucky-brings-together-antisemites-extremists-across" TargetMode="External"/><Relationship Id="rId1163" Type="http://schemas.openxmlformats.org/officeDocument/2006/relationships/hyperlink" Target="https://www.adl.org/resources/report/hate-beyond-borders-internationalization-white-supremacy" TargetMode="External"/><Relationship Id="rId1370" Type="http://schemas.openxmlformats.org/officeDocument/2006/relationships/hyperlink" Target="https://www.adl.org/resources/hate-symbol/featherwood" TargetMode="External"/><Relationship Id="rId740" Type="http://schemas.openxmlformats.org/officeDocument/2006/relationships/hyperlink" Target="https://www.adl.org/resources/hate-symbol/happy-merchant" TargetMode="External"/><Relationship Id="rId838" Type="http://schemas.openxmlformats.org/officeDocument/2006/relationships/hyperlink" Target="https://www.adl.org/resources/report/hate-beyond-borders-internationalization-white-supremacy" TargetMode="External"/><Relationship Id="rId1023" Type="http://schemas.openxmlformats.org/officeDocument/2006/relationships/hyperlink" Target="https://www.adl.org/resources/backgrounder/ammon-bundy-and-peoples-rights" TargetMode="External"/><Relationship Id="rId1468" Type="http://schemas.openxmlformats.org/officeDocument/2006/relationships/hyperlink" Target="https://www.adl.org/resources/article/summer-hate-white-supremacist-activity-memorial-labor-day" TargetMode="External"/><Relationship Id="rId172" Type="http://schemas.openxmlformats.org/officeDocument/2006/relationships/hyperlink" Target="https://www.adl.org/resources/backgrounder/qanon" TargetMode="External"/><Relationship Id="rId477" Type="http://schemas.openxmlformats.org/officeDocument/2006/relationships/hyperlink" Target="https://www.adl.org/resources/backgrounder/who-are-antifa" TargetMode="External"/><Relationship Id="rId600" Type="http://schemas.openxmlformats.org/officeDocument/2006/relationships/hyperlink" Target="https://www.adl.org/resources/article/extremist-medicine-cabinet-guide-online-pills" TargetMode="External"/><Relationship Id="rId684" Type="http://schemas.openxmlformats.org/officeDocument/2006/relationships/hyperlink" Target="https://www.adl.org/resources/article/extremist-medicine-cabinet-guide-online-pills" TargetMode="External"/><Relationship Id="rId1230" Type="http://schemas.openxmlformats.org/officeDocument/2006/relationships/hyperlink" Target="https://www.adl.org/resources/hate-symbol/vinlanders-social-club" TargetMode="External"/><Relationship Id="rId1328" Type="http://schemas.openxmlformats.org/officeDocument/2006/relationships/hyperlink" Target="https://adl.org/resources/backgrounder/shield-wall-network-swn" TargetMode="External"/><Relationship Id="rId1535" Type="http://schemas.openxmlformats.org/officeDocument/2006/relationships/hyperlink" Target="https://www.adl.org/resources/blog/one-year-after-ban-holocaust-denial-remains-facebook" TargetMode="External"/><Relationship Id="rId337" Type="http://schemas.openxmlformats.org/officeDocument/2006/relationships/hyperlink" Target="https://www.adl.org/resources/news/don-blackstormfront" TargetMode="External"/><Relationship Id="rId891" Type="http://schemas.openxmlformats.org/officeDocument/2006/relationships/hyperlink" Target="https://www.adl.org/resources/report/hate-beyond-borders-internationalization-white-supremacy" TargetMode="External"/><Relationship Id="rId905" Type="http://schemas.openxmlformats.org/officeDocument/2006/relationships/hyperlink" Target="https://www.adl.org/resources/hate-symbol/aryan-brotherhood-texas" TargetMode="External"/><Relationship Id="rId989" Type="http://schemas.openxmlformats.org/officeDocument/2006/relationships/hyperlink" Target="https://www.adl.org/resources/news/richard-spencer-five-things-know" TargetMode="External"/><Relationship Id="rId34" Type="http://schemas.openxmlformats.org/officeDocument/2006/relationships/hyperlink" Target="https://extremismterms.adl.org/glossary/three-percenters" TargetMode="External"/><Relationship Id="rId544" Type="http://schemas.openxmlformats.org/officeDocument/2006/relationships/hyperlink" Target="https://www.adl.org/resources/backgrounder/accelerationism" TargetMode="External"/><Relationship Id="rId751" Type="http://schemas.openxmlformats.org/officeDocument/2006/relationships/hyperlink" Target="https://www.adl.org/resources/hate-symbol/ku-klux-klan-robes" TargetMode="External"/><Relationship Id="rId849" Type="http://schemas.openxmlformats.org/officeDocument/2006/relationships/hyperlink" Target="https://www.adl.org/resources/hate-symbol/ohio-aryan-brotherhood" TargetMode="External"/><Relationship Id="rId1174" Type="http://schemas.openxmlformats.org/officeDocument/2006/relationships/hyperlink" Target="https://adl.org/resources/backgrounder/daily-stormer-book-clubs-sbc" TargetMode="External"/><Relationship Id="rId1381" Type="http://schemas.openxmlformats.org/officeDocument/2006/relationships/hyperlink" Target="https://www.adl.org/resources/backgrounder/extremist-sects-within-black-hebrew-israelite-movement" TargetMode="External"/><Relationship Id="rId1479" Type="http://schemas.openxmlformats.org/officeDocument/2006/relationships/hyperlink" Target="https://www.adl.org/resources/article/white-supremacist-music-prevalent-spotify-while-platform-largely-declines-act" TargetMode="External"/><Relationship Id="rId183" Type="http://schemas.openxmlformats.org/officeDocument/2006/relationships/hyperlink" Target="https://www.adl.org/resources/backgrounder/proud-boys-0" TargetMode="External"/><Relationship Id="rId390" Type="http://schemas.openxmlformats.org/officeDocument/2006/relationships/hyperlink" Target="https://adl.org/resources/backgrounder/keystone-state-skinheadskeystone-united" TargetMode="External"/><Relationship Id="rId404" Type="http://schemas.openxmlformats.org/officeDocument/2006/relationships/hyperlink" Target="https://www.adl.org/resources/backgrounder/national-socialist-movement" TargetMode="External"/><Relationship Id="rId611" Type="http://schemas.openxmlformats.org/officeDocument/2006/relationships/hyperlink" Target="https://www.adl.org/resources/article/extremist-medicine-cabinet-guide-online-pills" TargetMode="External"/><Relationship Id="rId1034" Type="http://schemas.openxmlformats.org/officeDocument/2006/relationships/hyperlink" Target="https://www.adl.org/resources/hate-symbol/anudda-shoah" TargetMode="External"/><Relationship Id="rId1241" Type="http://schemas.openxmlformats.org/officeDocument/2006/relationships/hyperlink" Target="https://www.adl.org/resources/article/great-reset-conspiracy-flourishes-amid-continued-pandemic" TargetMode="External"/><Relationship Id="rId1339" Type="http://schemas.openxmlformats.org/officeDocument/2006/relationships/hyperlink" Target="https://www.adl.org/resources/news/white-supremacist-shooting-spree-leaves-bloody-trail-massachusetts" TargetMode="External"/><Relationship Id="rId250" Type="http://schemas.openxmlformats.org/officeDocument/2006/relationships/hyperlink" Target="https://www.adl.org/resources/backgrounder/sovereign-citizen-movement-united-states" TargetMode="External"/><Relationship Id="rId488" Type="http://schemas.openxmlformats.org/officeDocument/2006/relationships/hyperlink" Target="https://www.adl.org/resources/article/ye-right-antisemitic-campaign-continues" TargetMode="External"/><Relationship Id="rId695" Type="http://schemas.openxmlformats.org/officeDocument/2006/relationships/hyperlink" Target="https://www.adl.org/resources/article/convicted-terrorist-address-jewish-voice-peace-conference-chicago%20,%20https:/www.adl.org/resources/article/some-us-anti-israel-activists-express-support-terrorist-activity" TargetMode="External"/><Relationship Id="rId709" Type="http://schemas.openxmlformats.org/officeDocument/2006/relationships/hyperlink" Target="https://www.adl.org/resources/report/new-hate-and-old-changing-face-american-white-supremacy" TargetMode="External"/><Relationship Id="rId916" Type="http://schemas.openxmlformats.org/officeDocument/2006/relationships/hyperlink" Target="https://www.adl.org/resources/news/jim-rizoli-promotes-holocaust-denial-public-access-tv" TargetMode="External"/><Relationship Id="rId1101" Type="http://schemas.openxmlformats.org/officeDocument/2006/relationships/hyperlink" Target="https://www.adl.org/resources/report/hate-beyond-borders-internationalization-white-supremacy" TargetMode="External"/><Relationship Id="rId1546" Type="http://schemas.openxmlformats.org/officeDocument/2006/relationships/hyperlink" Target="https://www.adl.org/resources/report/online-holocaust-denial-report-card-investigation-online-platforms-policies-and" TargetMode="External"/><Relationship Id="rId45" Type="http://schemas.openxmlformats.org/officeDocument/2006/relationships/hyperlink" Target="https://antisemitism.adl.org/denial/" TargetMode="External"/><Relationship Id="rId110" Type="http://schemas.openxmlformats.org/officeDocument/2006/relationships/hyperlink" Target="https://www.adl.org/resources/backgrounder/militia-movement-2020" TargetMode="External"/><Relationship Id="rId348" Type="http://schemas.openxmlformats.org/officeDocument/2006/relationships/hyperlink" Target="https://www.adl.org/resources/blog/buffalo-shooters-manifesto-promotes-great-replacement-theory-antisemitism-and-previous-mass-shooters" TargetMode="External"/><Relationship Id="rId555" Type="http://schemas.openxmlformats.org/officeDocument/2006/relationships/hyperlink" Target="https://www.adl.org/resources/hate-symbol/northwest-american-republic" TargetMode="External"/><Relationship Id="rId762" Type="http://schemas.openxmlformats.org/officeDocument/2006/relationships/hyperlink" Target="https://www.adl.org/resources/hate-symbol/meine-ehre-heisst-treue" TargetMode="External"/><Relationship Id="rId1185" Type="http://schemas.openxmlformats.org/officeDocument/2006/relationships/hyperlink" Target="https://www.adl.org/resources/backgrounder/sovereign-citizen-movement-united-states" TargetMode="External"/><Relationship Id="rId1392" Type="http://schemas.openxmlformats.org/officeDocument/2006/relationships/hyperlink" Target="https://www.adl.org/resources/article/antisemitic-language-surges-4chan-during-israel-hamas-conflict" TargetMode="External"/><Relationship Id="rId1406" Type="http://schemas.openxmlformats.org/officeDocument/2006/relationships/hyperlink" Target="https://www.adl.org/resources/backgrounder/extremist-sects-within-black-hebrew-israelite-movement" TargetMode="External"/><Relationship Id="rId194" Type="http://schemas.openxmlformats.org/officeDocument/2006/relationships/hyperlink" Target="https://www.adl.org/resources/backgrounder/rise-above-movement-ram" TargetMode="External"/><Relationship Id="rId208" Type="http://schemas.openxmlformats.org/officeDocument/2006/relationships/hyperlink" Target="https://www.adl.org/resources/backgrounder/turner-diaries" TargetMode="External"/><Relationship Id="rId415" Type="http://schemas.openxmlformats.org/officeDocument/2006/relationships/hyperlink" Target="https://www.adl.org/resources/backgrounder/incels-involuntary-celibates" TargetMode="External"/><Relationship Id="rId622" Type="http://schemas.openxmlformats.org/officeDocument/2006/relationships/hyperlink" Target="https://www.adl.org/resources/backgrounder/incels-involuntary-celibates" TargetMode="External"/><Relationship Id="rId1045" Type="http://schemas.openxmlformats.org/officeDocument/2006/relationships/hyperlink" Target="https://www.adl.org/resources/hate-symbol/aryan-knights" TargetMode="External"/><Relationship Id="rId1252" Type="http://schemas.openxmlformats.org/officeDocument/2006/relationships/hyperlink" Target="https://www.adl.org/resources/article/who-are-primary-groups-behind-us-anti-israel-rallies" TargetMode="External"/><Relationship Id="rId261" Type="http://schemas.openxmlformats.org/officeDocument/2006/relationships/hyperlink" Target="https://www.adl.org/resources/backgrounder/sovereign-citizen-movement-united-states" TargetMode="External"/><Relationship Id="rId499" Type="http://schemas.openxmlformats.org/officeDocument/2006/relationships/hyperlink" Target="https://www.adl.org/resources/hate-symbol/roa" TargetMode="External"/><Relationship Id="rId927" Type="http://schemas.openxmlformats.org/officeDocument/2006/relationships/hyperlink" Target="https://www.adl.org/resources/article/white-supremacist-tracked-coe-arrested-weapons-charges-florida" TargetMode="External"/><Relationship Id="rId1112" Type="http://schemas.openxmlformats.org/officeDocument/2006/relationships/hyperlink" Target="https://www.adl.org/resources/report/hate-beyond-borders-internationalization-white-supremacy" TargetMode="External"/><Relationship Id="rId1557" Type="http://schemas.openxmlformats.org/officeDocument/2006/relationships/hyperlink" Target="https://www.adl.org/resources/backgrounder/extremist-sects-within-black-hebrew-israelite-movement" TargetMode="External"/><Relationship Id="rId56" Type="http://schemas.openxmlformats.org/officeDocument/2006/relationships/hyperlink" Target="https://www.adl.org/resources/article/coded-hate-extremists-weaponize-seemingly-innocuous-content-promote-bigotry" TargetMode="External"/><Relationship Id="rId359" Type="http://schemas.openxmlformats.org/officeDocument/2006/relationships/hyperlink" Target="https://www.adl.org/resources/article/online-amplifiers-anti-lgbtq-extremism" TargetMode="External"/><Relationship Id="rId566" Type="http://schemas.openxmlformats.org/officeDocument/2006/relationships/hyperlink" Target="https://www.adl.org/resources/hate-symbol/peni" TargetMode="External"/><Relationship Id="rId773" Type="http://schemas.openxmlformats.org/officeDocument/2006/relationships/hyperlink" Target="https://www.adl.org/resources/profile/nation-islam" TargetMode="External"/><Relationship Id="rId1196" Type="http://schemas.openxmlformats.org/officeDocument/2006/relationships/hyperlink" Target="https://www.adl.org/resources/report/ecoterrorism-extremism-animal-rights-and-environmentalist-movements" TargetMode="External"/><Relationship Id="rId1417" Type="http://schemas.openxmlformats.org/officeDocument/2006/relationships/hyperlink" Target="https://extremismterms.adl.org/glossary/overton-window" TargetMode="External"/><Relationship Id="rId121" Type="http://schemas.openxmlformats.org/officeDocument/2006/relationships/hyperlink" Target="https://www.adl.org/resources/backgrounder/proud-boys" TargetMode="External"/><Relationship Id="rId219" Type="http://schemas.openxmlformats.org/officeDocument/2006/relationships/hyperlink" Target="https://www.adl.org/resources/backgrounder/qanon" TargetMode="External"/><Relationship Id="rId426" Type="http://schemas.openxmlformats.org/officeDocument/2006/relationships/hyperlink" Target="https://www.adl.org/resources/article/coded-hate-extremists-weaponize-seemingly-innocuous-content-promote-bigotry" TargetMode="External"/><Relationship Id="rId633" Type="http://schemas.openxmlformats.org/officeDocument/2006/relationships/hyperlink" Target="https://www.adl.org/resources/backgrounder/qanon" TargetMode="External"/><Relationship Id="rId980" Type="http://schemas.openxmlformats.org/officeDocument/2006/relationships/hyperlink" Target="https://www.adl.org/resources/report/ecoterrorism-extremism-animal-rights-and-environmentalist-movements" TargetMode="External"/><Relationship Id="rId1056" Type="http://schemas.openxmlformats.org/officeDocument/2006/relationships/hyperlink" Target="https://www.adl.org/resources/hate-symbol/ayak" TargetMode="External"/><Relationship Id="rId1263" Type="http://schemas.openxmlformats.org/officeDocument/2006/relationships/hyperlink" Target="https://www.adl.org/resources/article/911-video-al-qaeda-doubles-down-enmity-toward-jews-and-israel" TargetMode="External"/><Relationship Id="rId840" Type="http://schemas.openxmlformats.org/officeDocument/2006/relationships/hyperlink" Target="https://www.adl.org/resources/backgrounder/blood-tribe" TargetMode="External"/><Relationship Id="rId938" Type="http://schemas.openxmlformats.org/officeDocument/2006/relationships/hyperlink" Target="https://www.adl.org/resources/report/hate-keystone-state-extremism-antisemitism-pennsylvania" TargetMode="External"/><Relationship Id="rId1470" Type="http://schemas.openxmlformats.org/officeDocument/2006/relationships/hyperlink" Target="https://www.adl.org/resources/report/white-supremacist-propaganda-incidents-soar-record-high-2023" TargetMode="External"/><Relationship Id="rId1568" Type="http://schemas.openxmlformats.org/officeDocument/2006/relationships/hyperlink" Target="https://www.adl.org/resources/article/conspiracy-theories-some-antisemitic-roots-crop-2023-shareholder-proposals" TargetMode="External"/><Relationship Id="rId67" Type="http://schemas.openxmlformats.org/officeDocument/2006/relationships/hyperlink" Target="https://adl.org/resources/backgrounder/rizza-islam" TargetMode="External"/><Relationship Id="rId272" Type="http://schemas.openxmlformats.org/officeDocument/2006/relationships/hyperlink" Target="https://www.adl.org/resources/article/what-zoombombing-and-who-behind-it" TargetMode="External"/><Relationship Id="rId577" Type="http://schemas.openxmlformats.org/officeDocument/2006/relationships/hyperlink" Target="https://www.adl.org/resources/backgrounder/qanon" TargetMode="External"/><Relationship Id="rId700" Type="http://schemas.openxmlformats.org/officeDocument/2006/relationships/hyperlink" Target="https://www.adl.org/resources/backgrounder/qanon" TargetMode="External"/><Relationship Id="rId1123" Type="http://schemas.openxmlformats.org/officeDocument/2006/relationships/hyperlink" Target="https://www.adl.org/resources/article/white-supremacist-propaganda-focused-jews-and-immigrants-2024" TargetMode="External"/><Relationship Id="rId1330" Type="http://schemas.openxmlformats.org/officeDocument/2006/relationships/hyperlink" Target="https://www.adl.org/resources/article/road-power-idaho-outfit-behind-rash-racist-anti-semitic-robocalls" TargetMode="External"/><Relationship Id="rId1428" Type="http://schemas.openxmlformats.org/officeDocument/2006/relationships/hyperlink" Target="https://www.adl.org/resources/report/ecoterrorism-extremism-animal-rights-and-environmentalist-movements" TargetMode="External"/><Relationship Id="rId132" Type="http://schemas.openxmlformats.org/officeDocument/2006/relationships/hyperlink" Target="https://www.adl.org/resources/backgrounder/rise-above-movement-ram" TargetMode="External"/><Relationship Id="rId784" Type="http://schemas.openxmlformats.org/officeDocument/2006/relationships/hyperlink" Target="https://www.adl.org/resources/news/extremism-america-matt-hale" TargetMode="External"/><Relationship Id="rId991" Type="http://schemas.openxmlformats.org/officeDocument/2006/relationships/hyperlink" Target="https://www.adl.org/resources/backgrounder/rise-above-movement-ram" TargetMode="External"/><Relationship Id="rId1067" Type="http://schemas.openxmlformats.org/officeDocument/2006/relationships/hyperlink" Target="https://www.adl.org/resources/backgrounder/764" TargetMode="External"/><Relationship Id="rId437" Type="http://schemas.openxmlformats.org/officeDocument/2006/relationships/hyperlink" Target="https://www.adl.org/resources/article/extremist-medicine-cabinet-guide-online-pills" TargetMode="External"/><Relationship Id="rId644" Type="http://schemas.openxmlformats.org/officeDocument/2006/relationships/hyperlink" Target="https://www.adl.org/resources/news/jared-taylor-academic-racist" TargetMode="External"/><Relationship Id="rId851" Type="http://schemas.openxmlformats.org/officeDocument/2006/relationships/hyperlink" Target="https://www.adl.org/resources/hate-symbol/oklahoma-aryan-brotherhood" TargetMode="External"/><Relationship Id="rId1274" Type="http://schemas.openxmlformats.org/officeDocument/2006/relationships/hyperlink" Target="https://www.adl.org/resources/backgrounder/qanon" TargetMode="External"/><Relationship Id="rId1481" Type="http://schemas.openxmlformats.org/officeDocument/2006/relationships/hyperlink" Target="https://www.adl.org/resources/report/us-white-supremacist-propaganda-remained-historic-levels-2021-27-percent-rise" TargetMode="External"/><Relationship Id="rId1579" Type="http://schemas.openxmlformats.org/officeDocument/2006/relationships/hyperlink" Target="https://www.adl.org/resources/blog/despite-youtube-policy-update-anti-semitic-white-supremacist-channels-remain" TargetMode="External"/><Relationship Id="rId283" Type="http://schemas.openxmlformats.org/officeDocument/2006/relationships/hyperlink" Target="https://www.adl.org/resources/backgrounder/sovereign-citizen-movement-united-states" TargetMode="External"/><Relationship Id="rId490" Type="http://schemas.openxmlformats.org/officeDocument/2006/relationships/hyperlink" Target="https://www.adl.org/resources/backgrounder/new-independent-fundamental-baptist-new-ifb-movement" TargetMode="External"/><Relationship Id="rId504" Type="http://schemas.openxmlformats.org/officeDocument/2006/relationships/hyperlink" Target="https://www.adl.org/resources/hate-symbol/rahowa" TargetMode="External"/><Relationship Id="rId711" Type="http://schemas.openxmlformats.org/officeDocument/2006/relationships/hyperlink" Target="https://www.adl.org/resources/hate-symbol/itsub" TargetMode="External"/><Relationship Id="rId949" Type="http://schemas.openxmlformats.org/officeDocument/2006/relationships/hyperlink" Target="https://www.adl.org/resources/report/white-supremacist-propaganda-spikes-2020" TargetMode="External"/><Relationship Id="rId1134" Type="http://schemas.openxmlformats.org/officeDocument/2006/relationships/hyperlink" Target="https://www.adl.org/resources/backgrounder/sovereign-citizen-movement-united-states" TargetMode="External"/><Relationship Id="rId1341" Type="http://schemas.openxmlformats.org/officeDocument/2006/relationships/hyperlink" Target="https://www.adl.org/resources/article/domestic-islamist-extremism-2019" TargetMode="External"/><Relationship Id="rId78" Type="http://schemas.openxmlformats.org/officeDocument/2006/relationships/hyperlink" Target="https://www.adl.org/resources/backgrounder/qanon" TargetMode="External"/><Relationship Id="rId143" Type="http://schemas.openxmlformats.org/officeDocument/2006/relationships/hyperlink" Target="https://www.adl.org/resources/backgrounder/accelerationism" TargetMode="External"/><Relationship Id="rId350" Type="http://schemas.openxmlformats.org/officeDocument/2006/relationships/hyperlink" Target="https://www.adl.org/resources/hate-symbol/737" TargetMode="External"/><Relationship Id="rId588" Type="http://schemas.openxmlformats.org/officeDocument/2006/relationships/hyperlink" Target="https://www.adl.org/resources/article/trunews-antisemitism-and-conspiracies-reach-growing-facebook-audience" TargetMode="External"/><Relationship Id="rId795" Type="http://schemas.openxmlformats.org/officeDocument/2006/relationships/hyperlink" Target="https://www.adl.org/resources/hate-symbol/23-hand-sign" TargetMode="External"/><Relationship Id="rId809" Type="http://schemas.openxmlformats.org/officeDocument/2006/relationships/hyperlink" Target="https://www.adl.org/resources/hate-symbol/38" TargetMode="External"/><Relationship Id="rId1201" Type="http://schemas.openxmlformats.org/officeDocument/2006/relationships/hyperlink" Target="https://www.adl.org/resources/backgrounder/national-socialist-movement" TargetMode="External"/><Relationship Id="rId1439" Type="http://schemas.openxmlformats.org/officeDocument/2006/relationships/hyperlink" Target="https://extremismterms.adl.org/resources/backgrounder/sovereign-citizen-movement-united-states" TargetMode="External"/><Relationship Id="rId9" Type="http://schemas.openxmlformats.org/officeDocument/2006/relationships/hyperlink" Target="https://www.adl.org/resources/backgrounder/incels-involuntary-celibates" TargetMode="External"/><Relationship Id="rId210" Type="http://schemas.openxmlformats.org/officeDocument/2006/relationships/hyperlink" Target="https://www.adl.org/resources/backgrounder/nationalist-social-club-nsc-131" TargetMode="External"/><Relationship Id="rId448" Type="http://schemas.openxmlformats.org/officeDocument/2006/relationships/hyperlink" Target="https://adl.org/resources/backgrounder/farrakhan-his-own-words" TargetMode="External"/><Relationship Id="rId655" Type="http://schemas.openxmlformats.org/officeDocument/2006/relationships/hyperlink" Target="https://adl.org/resources/backgrounder/groyper-army-and-america-first" TargetMode="External"/><Relationship Id="rId862" Type="http://schemas.openxmlformats.org/officeDocument/2006/relationships/hyperlink" Target="https://www.adl.org/resources/news/kevin-macdonald" TargetMode="External"/><Relationship Id="rId1078" Type="http://schemas.openxmlformats.org/officeDocument/2006/relationships/hyperlink" Target="https://www.adl.org/resources/hate-symbol/brotherhood-forever" TargetMode="External"/><Relationship Id="rId1285" Type="http://schemas.openxmlformats.org/officeDocument/2006/relationships/hyperlink" Target="https://www.adl.org/resources/article/islamists-launch-three-new-magazines-hoping-one-will-inspire" TargetMode="External"/><Relationship Id="rId1492" Type="http://schemas.openxmlformats.org/officeDocument/2006/relationships/hyperlink" Target="https://www.adl.org/resources/backgrounder/alt-right-alt-lite-naming-hate" TargetMode="External"/><Relationship Id="rId1506" Type="http://schemas.openxmlformats.org/officeDocument/2006/relationships/hyperlink" Target="https://www.adl.org/resources/backgrounder/militia-movement-2020" TargetMode="External"/><Relationship Id="rId294" Type="http://schemas.openxmlformats.org/officeDocument/2006/relationships/hyperlink" Target="https://www.adl.org/resources/backgrounder/alt-right-alt-lite-naming-hate" TargetMode="External"/><Relationship Id="rId308" Type="http://schemas.openxmlformats.org/officeDocument/2006/relationships/hyperlink" Target="https://www.adl.org/resources/hate-symbol/war-arkansas-prison-gang" TargetMode="External"/><Relationship Id="rId515" Type="http://schemas.openxmlformats.org/officeDocument/2006/relationships/hyperlink" Target="https://www.adl.org/resources/hate-symbol/saxon-knights" TargetMode="External"/><Relationship Id="rId722" Type="http://schemas.openxmlformats.org/officeDocument/2006/relationships/hyperlink" Target="https://www.adl.org/resources/report/us-white-supremacist-propaganda-remained-historic-levels-2021-27-percent-rise" TargetMode="External"/><Relationship Id="rId1145" Type="http://schemas.openxmlformats.org/officeDocument/2006/relationships/hyperlink" Target="https://adl.org/resources/backgrounder/christian-identity-movement" TargetMode="External"/><Relationship Id="rId1352" Type="http://schemas.openxmlformats.org/officeDocument/2006/relationships/hyperlink" Target="https://www.adl.org/resources/hate-symbol/its-okay-be-white" TargetMode="External"/><Relationship Id="rId89" Type="http://schemas.openxmlformats.org/officeDocument/2006/relationships/hyperlink" Target="https://extremismterms.adl.org/glossary/national-alliance" TargetMode="External"/><Relationship Id="rId154" Type="http://schemas.openxmlformats.org/officeDocument/2006/relationships/hyperlink" Target="https://www.adl.org/resources/hate-symbol/phineas-priesthood" TargetMode="External"/><Relationship Id="rId361" Type="http://schemas.openxmlformats.org/officeDocument/2006/relationships/hyperlink" Target="https://www.adl.org/resources/backgrounder/militia-movement-2020" TargetMode="External"/><Relationship Id="rId599" Type="http://schemas.openxmlformats.org/officeDocument/2006/relationships/hyperlink" Target="https://www.adl.org/resources/article/extremist-medicine-cabinet-guide-online-pills" TargetMode="External"/><Relationship Id="rId1005" Type="http://schemas.openxmlformats.org/officeDocument/2006/relationships/hyperlink" Target="https://www.adl.org/resources/article/summer-hate-white-supremacist-activity-memorial-labor-day" TargetMode="External"/><Relationship Id="rId1212" Type="http://schemas.openxmlformats.org/officeDocument/2006/relationships/hyperlink" Target="https://www.adl.org/resources/hate-symbol/wolfsangel" TargetMode="External"/><Relationship Id="rId459" Type="http://schemas.openxmlformats.org/officeDocument/2006/relationships/hyperlink" Target="https://www.adl.org/resources/hate-symbol/ss-bolts" TargetMode="External"/><Relationship Id="rId666" Type="http://schemas.openxmlformats.org/officeDocument/2006/relationships/hyperlink" Target="https://adl.org/resources/backgrounder/hezbollah" TargetMode="External"/><Relationship Id="rId873" Type="http://schemas.openxmlformats.org/officeDocument/2006/relationships/hyperlink" Target="https://www.adl.org/resources/news/white-supremacist-shooting-spree-leaves-bloody-trail-massachusetts" TargetMode="External"/><Relationship Id="rId1089" Type="http://schemas.openxmlformats.org/officeDocument/2006/relationships/hyperlink" Target="https://www.adl.org/resources/backgrounder/sovereign-citizen-movement-united-states" TargetMode="External"/><Relationship Id="rId1296" Type="http://schemas.openxmlformats.org/officeDocument/2006/relationships/hyperlink" Target="https://www.adl.org/resources/news/don-blackstormfront" TargetMode="External"/><Relationship Id="rId1517" Type="http://schemas.openxmlformats.org/officeDocument/2006/relationships/hyperlink" Target="https://www.adl.org/resources/backgrounder/boogaloo-movement" TargetMode="External"/><Relationship Id="rId16" Type="http://schemas.openxmlformats.org/officeDocument/2006/relationships/hyperlink" Target="https://www.adl.org/resources/backgrounder/incels-involuntary-celibates" TargetMode="External"/><Relationship Id="rId221" Type="http://schemas.openxmlformats.org/officeDocument/2006/relationships/hyperlink" Target="https://www.adl.org/resources/backgrounder/qanon" TargetMode="External"/><Relationship Id="rId319" Type="http://schemas.openxmlformats.org/officeDocument/2006/relationships/hyperlink" Target="https://www.adl.org/resources/backgrounder/764" TargetMode="External"/><Relationship Id="rId526" Type="http://schemas.openxmlformats.org/officeDocument/2006/relationships/hyperlink" Target="https://www.adl.org/resources/backgrounder/students-justice-palestine-sjp" TargetMode="External"/><Relationship Id="rId1156" Type="http://schemas.openxmlformats.org/officeDocument/2006/relationships/hyperlink" Target="https://www.adl.org/resources/article/online-harassment-extremists-ramp-trolling-doxxing-efforts" TargetMode="External"/><Relationship Id="rId1363" Type="http://schemas.openxmlformats.org/officeDocument/2006/relationships/hyperlink" Target="https://www.adl.org/resources/profile/hammerskin-nation" TargetMode="External"/><Relationship Id="rId733" Type="http://schemas.openxmlformats.org/officeDocument/2006/relationships/hyperlink" Target="https://www.adl.org/resources/hate-symbol/hitler-salute-hand-sign" TargetMode="External"/><Relationship Id="rId940" Type="http://schemas.openxmlformats.org/officeDocument/2006/relationships/hyperlink" Target="https://www.adl.org/resources/report/despite-internal-turmoil-klan-groups-persist" TargetMode="External"/><Relationship Id="rId1016" Type="http://schemas.openxmlformats.org/officeDocument/2006/relationships/hyperlink" Target="https://www.adl.org/resources/article/nicholas-j-fuentes-five-things-know" TargetMode="External"/><Relationship Id="rId1570" Type="http://schemas.openxmlformats.org/officeDocument/2006/relationships/hyperlink" Target="https://www.adl.org/sites/default/files/documents/assets/pdf/combating-hate/Sovereign-Citizen-Documentary-Identifiers.pdf" TargetMode="External"/><Relationship Id="rId165" Type="http://schemas.openxmlformats.org/officeDocument/2006/relationships/hyperlink" Target="https://www.adl.org/resources/hate-symbol/109110" TargetMode="External"/><Relationship Id="rId372" Type="http://schemas.openxmlformats.org/officeDocument/2006/relationships/hyperlink" Target="https://www.adl.org/resources/backgrounder/legion-saint-ambrose-losa" TargetMode="External"/><Relationship Id="rId677" Type="http://schemas.openxmlformats.org/officeDocument/2006/relationships/hyperlink" Target="https://www.adl.org/resources/hate-symbol/lotie" TargetMode="External"/><Relationship Id="rId800" Type="http://schemas.openxmlformats.org/officeDocument/2006/relationships/hyperlink" Target="https://www.adl.org/resources/hate-symbol/new-aryan-empire" TargetMode="External"/><Relationship Id="rId1223" Type="http://schemas.openxmlformats.org/officeDocument/2006/relationships/hyperlink" Target="https://www.adl.org/resources/backgrounder/proud-boys" TargetMode="External"/><Relationship Id="rId1430" Type="http://schemas.openxmlformats.org/officeDocument/2006/relationships/hyperlink" Target="https://www.adl.org/resources/backgrounder/764" TargetMode="External"/><Relationship Id="rId1528" Type="http://schemas.openxmlformats.org/officeDocument/2006/relationships/hyperlink" Target="https://www.adl.org/resources/article/us-representative-brings-holocaust-denier-meeting-capitol-hill" TargetMode="External"/><Relationship Id="rId232" Type="http://schemas.openxmlformats.org/officeDocument/2006/relationships/hyperlink" Target="https://www.adl.org/resources/backgrounder/qanon" TargetMode="External"/><Relationship Id="rId884" Type="http://schemas.openxmlformats.org/officeDocument/2006/relationships/hyperlink" Target="https://www.adl.org/resources/article/palestinian-youth-movement-pym-five-things-know" TargetMode="External"/><Relationship Id="rId27" Type="http://schemas.openxmlformats.org/officeDocument/2006/relationships/hyperlink" Target="https://www.adl.org/resources/article/mens-rights-activists-what-you-need-know" TargetMode="External"/><Relationship Id="rId537" Type="http://schemas.openxmlformats.org/officeDocument/2006/relationships/hyperlink" Target="https://www.adl.org/resources/article/qanon-adherents-reeling-wake-inauguration-trump-departure" TargetMode="External"/><Relationship Id="rId744" Type="http://schemas.openxmlformats.org/officeDocument/2006/relationships/hyperlink" Target="https://www.adl.org/resources/profile/hammerskin-nation" TargetMode="External"/><Relationship Id="rId951" Type="http://schemas.openxmlformats.org/officeDocument/2006/relationships/hyperlink" Target="https://www.adl.org/resources/article/islamic-republic-iran-decades-long-record-promoting-antisemitism" TargetMode="External"/><Relationship Id="rId1167" Type="http://schemas.openxmlformats.org/officeDocument/2006/relationships/hyperlink" Target="https://www.adl.org/resources/hate-symbol/crossed-grenades" TargetMode="External"/><Relationship Id="rId1374" Type="http://schemas.openxmlformats.org/officeDocument/2006/relationships/hyperlink" Target="https://www.adl.org/resources/hate-symbol/bowlcutdylann-roof" TargetMode="External"/><Relationship Id="rId1581" Type="http://schemas.openxmlformats.org/officeDocument/2006/relationships/hyperlink" Target="https://www.adl.org/resources/article/road-power-idaho-outfit-behind-rash-racist-anti-semitic-robocalls" TargetMode="External"/><Relationship Id="rId80" Type="http://schemas.openxmlformats.org/officeDocument/2006/relationships/hyperlink" Target="https://extremismterms.adl.org/glossary/nationalist-front" TargetMode="External"/><Relationship Id="rId176" Type="http://schemas.openxmlformats.org/officeDocument/2006/relationships/hyperlink" Target="https://www.adl.org/resources/backgrounder/qanon" TargetMode="External"/><Relationship Id="rId383" Type="http://schemas.openxmlformats.org/officeDocument/2006/relationships/hyperlink" Target="https://www.adl.org/resources/hate-symbol/wolfsangel" TargetMode="External"/><Relationship Id="rId590" Type="http://schemas.openxmlformats.org/officeDocument/2006/relationships/hyperlink" Target="https://www.adl.org/resources/backgrounder/qanon" TargetMode="External"/><Relationship Id="rId604" Type="http://schemas.openxmlformats.org/officeDocument/2006/relationships/hyperlink" Target="https://www.adl.org/resources/hate-symbol/nazi-eagle" TargetMode="External"/><Relationship Id="rId811" Type="http://schemas.openxmlformats.org/officeDocument/2006/relationships/hyperlink" Target="https://www.adl.org/resources/backgrounder/militia-movement-2020" TargetMode="External"/><Relationship Id="rId1027" Type="http://schemas.openxmlformats.org/officeDocument/2006/relationships/hyperlink" Target="https://www.adl.org/resources/article/andrew-tate-five-things-know" TargetMode="External"/><Relationship Id="rId1234" Type="http://schemas.openxmlformats.org/officeDocument/2006/relationships/hyperlink" Target="https://www.adl.org/resources/hate-symbol/valknot" TargetMode="External"/><Relationship Id="rId1441" Type="http://schemas.openxmlformats.org/officeDocument/2006/relationships/hyperlink" Target="https://www.adl.org/resources/report/constitutional-sheriffs-and-peace-officers-association-cspoa-and-richard-mack-how" TargetMode="External"/><Relationship Id="rId243" Type="http://schemas.openxmlformats.org/officeDocument/2006/relationships/hyperlink" Target="https://www.adl.org/resources/backgrounder/sovereign-citizen-movement-united-states" TargetMode="External"/><Relationship Id="rId450" Type="http://schemas.openxmlformats.org/officeDocument/2006/relationships/hyperlink" Target="https://www.adl.org/resources/article/extremist-medicine-cabinet-guide-online-pills" TargetMode="External"/><Relationship Id="rId688" Type="http://schemas.openxmlformats.org/officeDocument/2006/relationships/hyperlink" Target="https://www.adl.org/resources/report/hate-beyond-borders-internationalization-white-supremacy" TargetMode="External"/><Relationship Id="rId895" Type="http://schemas.openxmlformats.org/officeDocument/2006/relationships/hyperlink" Target="https://www.adl.org/resources/hate-symbol/aryan-cowboy-brotherhood" TargetMode="External"/><Relationship Id="rId909" Type="http://schemas.openxmlformats.org/officeDocument/2006/relationships/hyperlink" Target="https://www.adl.org/resources/hate-symbol/arrow-cross" TargetMode="External"/><Relationship Id="rId1080" Type="http://schemas.openxmlformats.org/officeDocument/2006/relationships/hyperlink" Target="https://www.adl.org/resources/hate-symbol/burning-cross" TargetMode="External"/><Relationship Id="rId1301" Type="http://schemas.openxmlformats.org/officeDocument/2006/relationships/hyperlink" Target="https://www.adl.org/resources/backgrounder/incels-involuntary-celibates" TargetMode="External"/><Relationship Id="rId1539" Type="http://schemas.openxmlformats.org/officeDocument/2006/relationships/hyperlink" Target="https://www.adl.org/resources/backgrounder/short-history-holocaust-denial-united-states" TargetMode="External"/><Relationship Id="rId38" Type="http://schemas.openxmlformats.org/officeDocument/2006/relationships/hyperlink" Target="https://adl.org/resources/backgrounder/base" TargetMode="External"/><Relationship Id="rId103" Type="http://schemas.openxmlformats.org/officeDocument/2006/relationships/hyperlink" Target="https://www.adl.org/resources/hate-symbol/18" TargetMode="External"/><Relationship Id="rId310" Type="http://schemas.openxmlformats.org/officeDocument/2006/relationships/hyperlink" Target="https://www.adl.org/resources/backgrounder/proud-boys" TargetMode="External"/><Relationship Id="rId548" Type="http://schemas.openxmlformats.org/officeDocument/2006/relationships/hyperlink" Target="https://www.adl.org/resources/backgrounder/sovereign-citizen-movement-united-states" TargetMode="External"/><Relationship Id="rId755" Type="http://schemas.openxmlformats.org/officeDocument/2006/relationships/hyperlink" Target="https://www.adl.org/resources/hate-symbol/gtkrwn" TargetMode="External"/><Relationship Id="rId962" Type="http://schemas.openxmlformats.org/officeDocument/2006/relationships/hyperlink" Target="https://www.adl.org/resources/news/jared-taylor-academic-racist" TargetMode="External"/><Relationship Id="rId1178" Type="http://schemas.openxmlformats.org/officeDocument/2006/relationships/hyperlink" Target="https://www.adl.org/resources/blog/evidence-extremist-ideology-emerges-jersey-city-attack" TargetMode="External"/><Relationship Id="rId1385" Type="http://schemas.openxmlformats.org/officeDocument/2006/relationships/hyperlink" Target="https://www.adl.org/resources/profile/nation-islam" TargetMode="External"/><Relationship Id="rId91" Type="http://schemas.openxmlformats.org/officeDocument/2006/relationships/hyperlink" Target="https://extremismterms.adl.org/glossary/feuerkrieg-division-fkd" TargetMode="External"/><Relationship Id="rId187" Type="http://schemas.openxmlformats.org/officeDocument/2006/relationships/hyperlink" Target="https://www.adl.org/resources/hate-symbol/1488" TargetMode="External"/><Relationship Id="rId394" Type="http://schemas.openxmlformats.org/officeDocument/2006/relationships/hyperlink" Target="https://www.adl.org/resources/backgrounder/alt-right-alt-lite-naming-hate" TargetMode="External"/><Relationship Id="rId408" Type="http://schemas.openxmlformats.org/officeDocument/2006/relationships/hyperlink" Target="https://www.adl.org/resources/backgrounder/alt-right-alt-lite-naming-hate" TargetMode="External"/><Relationship Id="rId615" Type="http://schemas.openxmlformats.org/officeDocument/2006/relationships/hyperlink" Target="https://www.adl.org/resources/hate-symbol/national-socialist-legion" TargetMode="External"/><Relationship Id="rId822" Type="http://schemas.openxmlformats.org/officeDocument/2006/relationships/hyperlink" Target="https://www.adl.org/resources/hate-symbol/not-equal" TargetMode="External"/><Relationship Id="rId1038" Type="http://schemas.openxmlformats.org/officeDocument/2006/relationships/hyperlink" Target="https://www.adl.org/resources/hate-symbol/aryan-brotherhood-texas-hand-sign" TargetMode="External"/><Relationship Id="rId1245" Type="http://schemas.openxmlformats.org/officeDocument/2006/relationships/hyperlink" Target="https://www.adl.org/resources/hate-symbol/triangular-klan-symbol" TargetMode="External"/><Relationship Id="rId1452" Type="http://schemas.openxmlformats.org/officeDocument/2006/relationships/hyperlink" Target="https://www.adl.org/resources/news/adolf-hitlers-mein-kampf-introduction" TargetMode="External"/><Relationship Id="rId254" Type="http://schemas.openxmlformats.org/officeDocument/2006/relationships/hyperlink" Target="https://www.adl.org/resources/article/andrew-torba-five-things-know" TargetMode="External"/><Relationship Id="rId699" Type="http://schemas.openxmlformats.org/officeDocument/2006/relationships/hyperlink" Target="https://www.adl.org/resources/article/anti-semitic-senate-candidate-patrick-little-blames-jews-his-crushing-primary" TargetMode="External"/><Relationship Id="rId1091" Type="http://schemas.openxmlformats.org/officeDocument/2006/relationships/hyperlink" Target="https://www.adl.org/resources/backgrounder/sovereign-citizen-movement-united-states" TargetMode="External"/><Relationship Id="rId1105" Type="http://schemas.openxmlformats.org/officeDocument/2006/relationships/hyperlink" Target="https://www.adl.org/resources/article/pakistani-woman-linked-al-qaeda-found-guilty-new-york" TargetMode="External"/><Relationship Id="rId1312" Type="http://schemas.openxmlformats.org/officeDocument/2006/relationships/hyperlink" Target="https://www.adl.org/resources/hate-symbol/sonnenrad" TargetMode="External"/><Relationship Id="rId49" Type="http://schemas.openxmlformats.org/officeDocument/2006/relationships/hyperlink" Target="https://www.adl.org/resources/backgrounder/sovereign-citizen-movement-united-states" TargetMode="External"/><Relationship Id="rId114" Type="http://schemas.openxmlformats.org/officeDocument/2006/relationships/hyperlink" Target="https://www.adl.org/resources/hate-symbol/737" TargetMode="External"/><Relationship Id="rId461" Type="http://schemas.openxmlformats.org/officeDocument/2006/relationships/hyperlink" Target="https://www.adl.org/resources/backgrounder/party-socialism-and-liberation-psl" TargetMode="External"/><Relationship Id="rId559" Type="http://schemas.openxmlformats.org/officeDocument/2006/relationships/hyperlink" Target="https://www.adl.org/resources/article/white-supremacists-help-raise-hundreds-thousands-woman-who-hurled-slur-black" TargetMode="External"/><Relationship Id="rId766" Type="http://schemas.openxmlformats.org/officeDocument/2006/relationships/hyperlink" Target="https://www.adl.org/resources/hate-symbol/mississippi-aryan-brotherhood" TargetMode="External"/><Relationship Id="rId1189" Type="http://schemas.openxmlformats.org/officeDocument/2006/relationships/hyperlink" Target="https://www.adl.org/resources/article/what-zoombombing-and-who-behind-it" TargetMode="External"/><Relationship Id="rId1396" Type="http://schemas.openxmlformats.org/officeDocument/2006/relationships/hyperlink" Target="https://www.adl.org/resources/backgrounder/new-independent-fundamental-baptist-new-ifb-movement" TargetMode="External"/><Relationship Id="rId198" Type="http://schemas.openxmlformats.org/officeDocument/2006/relationships/hyperlink" Target="https://www.adl.org/resources/article/nicholas-j-fuentes-five-things-know" TargetMode="External"/><Relationship Id="rId321" Type="http://schemas.openxmlformats.org/officeDocument/2006/relationships/hyperlink" Target="https://www.adl.org/resources/backgrounder/nationalist-social-club-nsc-131" TargetMode="External"/><Relationship Id="rId419" Type="http://schemas.openxmlformats.org/officeDocument/2006/relationships/hyperlink" Target="https://www.adl.org/resources/backgrounder/militia-movement-2020" TargetMode="External"/><Relationship Id="rId626" Type="http://schemas.openxmlformats.org/officeDocument/2006/relationships/hyperlink" Target="https://adl.org/resources/backgrounder/feuerkrieg-division-fkd" TargetMode="External"/><Relationship Id="rId973" Type="http://schemas.openxmlformats.org/officeDocument/2006/relationships/hyperlink" Target="https://www.adl.org/resources/hate-symbol/bowlcutdylann-roof" TargetMode="External"/><Relationship Id="rId1049" Type="http://schemas.openxmlformats.org/officeDocument/2006/relationships/hyperlink" Target="https://www.adl.org/resources/hate-symbol/aryan-renaissance-society" TargetMode="External"/><Relationship Id="rId1256" Type="http://schemas.openxmlformats.org/officeDocument/2006/relationships/hyperlink" Target="https://www.adl.org/resources/blog/leila-khaled-her-own-words" TargetMode="External"/><Relationship Id="rId833" Type="http://schemas.openxmlformats.org/officeDocument/2006/relationships/hyperlink" Target="https://www.adl.org/resources/profiles/aryan-nationschurch-jesus-christ-christian" TargetMode="External"/><Relationship Id="rId1116" Type="http://schemas.openxmlformats.org/officeDocument/2006/relationships/hyperlink" Target="https://www.adl.org/resources/news/david-lane-white-supremacist-terrorist-and-ideologue-dies-prison" TargetMode="External"/><Relationship Id="rId1463" Type="http://schemas.openxmlformats.org/officeDocument/2006/relationships/hyperlink" Target="https://www.adl.org/resources/hate-symbol/jera-rune" TargetMode="External"/><Relationship Id="rId265" Type="http://schemas.openxmlformats.org/officeDocument/2006/relationships/hyperlink" Target="https://www.adl.org/resources/backgrounder/sovereign-citizen-movement-united-states" TargetMode="External"/><Relationship Id="rId472" Type="http://schemas.openxmlformats.org/officeDocument/2006/relationships/hyperlink" Target="https://adl.org/resources/backgrounder/milo-yiannopoulos-five-things-know" TargetMode="External"/><Relationship Id="rId900" Type="http://schemas.openxmlformats.org/officeDocument/2006/relationships/hyperlink" Target="https://www.adl.org/resources/article/deadly-shooting-california-chabad-highlights-threat-jewish-houses-worship" TargetMode="External"/><Relationship Id="rId1323" Type="http://schemas.openxmlformats.org/officeDocument/2006/relationships/hyperlink" Target="https://www.adl.org/resources/backgrounder/accelerationism" TargetMode="External"/><Relationship Id="rId1530" Type="http://schemas.openxmlformats.org/officeDocument/2006/relationships/hyperlink" Target="https://www.adl.org/resources/article/anti-semitic-conspiracy-theorist-christopher-bollyn-speaks-brooklyn" TargetMode="External"/><Relationship Id="rId125" Type="http://schemas.openxmlformats.org/officeDocument/2006/relationships/hyperlink" Target="https://www.adl.org/resources/backgrounder/qanon" TargetMode="External"/><Relationship Id="rId332" Type="http://schemas.openxmlformats.org/officeDocument/2006/relationships/hyperlink" Target="https://www.adl.org/resources/article/deadly-shooting-pittsburgh-synagogue" TargetMode="External"/><Relationship Id="rId777" Type="http://schemas.openxmlformats.org/officeDocument/2006/relationships/hyperlink" Target="https://www.adl.org/resources/backgrounder/black-hebrew-israelites" TargetMode="External"/><Relationship Id="rId984" Type="http://schemas.openxmlformats.org/officeDocument/2006/relationships/hyperlink" Target="https://www.adl.org/resources/article/hostage-crisis-texas-highlights-decade-old-terror-case" TargetMode="External"/><Relationship Id="rId637" Type="http://schemas.openxmlformats.org/officeDocument/2006/relationships/hyperlink" Target="https://www.adl.org/resources/hate-symbol/blood-drop-cross" TargetMode="External"/><Relationship Id="rId844" Type="http://schemas.openxmlformats.org/officeDocument/2006/relationships/hyperlink" Target="https://www.adl.org/resources/backgrounder/alt-right-alt-lite-naming-hate" TargetMode="External"/><Relationship Id="rId1267" Type="http://schemas.openxmlformats.org/officeDocument/2006/relationships/hyperlink" Target="https://www.adl.org/resources/backgrounder/qanon" TargetMode="External"/><Relationship Id="rId1474" Type="http://schemas.openxmlformats.org/officeDocument/2006/relationships/hyperlink" Target="https://www.adl.org/resources/backgrounder/rise-above-movement-ram" TargetMode="External"/><Relationship Id="rId276" Type="http://schemas.openxmlformats.org/officeDocument/2006/relationships/hyperlink" Target="https://www.adl.org/resources/hate-symbol/28" TargetMode="External"/><Relationship Id="rId483" Type="http://schemas.openxmlformats.org/officeDocument/2006/relationships/hyperlink" Target="https://www.adl.org/resources/hate-symbol/runic-writing-racist" TargetMode="External"/><Relationship Id="rId690" Type="http://schemas.openxmlformats.org/officeDocument/2006/relationships/hyperlink" Target="https://www.adl.org/resources/backgrounder/proud-boys" TargetMode="External"/><Relationship Id="rId704" Type="http://schemas.openxmlformats.org/officeDocument/2006/relationships/hyperlink" Target="https://www.adl.org/resources/profile/david-duke" TargetMode="External"/><Relationship Id="rId911" Type="http://schemas.openxmlformats.org/officeDocument/2006/relationships/hyperlink" Target="https://extremismterms.adl.org/glossary/washitaw-empirenation" TargetMode="External"/><Relationship Id="rId1127" Type="http://schemas.openxmlformats.org/officeDocument/2006/relationships/hyperlink" Target="https://www.adl.org/resources/hate-symbol/aryan-nations-tennessee-prison-gang" TargetMode="External"/><Relationship Id="rId1334" Type="http://schemas.openxmlformats.org/officeDocument/2006/relationships/hyperlink" Target="https://www.adl.org/resources/news/extremism-america-matt-hale" TargetMode="External"/><Relationship Id="rId1541" Type="http://schemas.openxmlformats.org/officeDocument/2006/relationships/hyperlink" Target="https://extremismterms.adl.org/glossary/gorillion-gorrillion" TargetMode="External"/><Relationship Id="rId40" Type="http://schemas.openxmlformats.org/officeDocument/2006/relationships/hyperlink" Target="https://www.adl.org/resources/backgrounder/qanon" TargetMode="External"/><Relationship Id="rId136" Type="http://schemas.openxmlformats.org/officeDocument/2006/relationships/hyperlink" Target="https://www.adl.org/resources/backgrounder/proud-boys-0" TargetMode="External"/><Relationship Id="rId343" Type="http://schemas.openxmlformats.org/officeDocument/2006/relationships/hyperlink" Target="https://www.adl.org/resources/profile/volksfront" TargetMode="External"/><Relationship Id="rId550" Type="http://schemas.openxmlformats.org/officeDocument/2006/relationships/hyperlink" Target="https://www.adl.org/resources/hate-symbol/not-equal" TargetMode="External"/><Relationship Id="rId788" Type="http://schemas.openxmlformats.org/officeDocument/2006/relationships/hyperlink" Target="https://www.adl.org/resources/backgrounder/alt-right-alt-lite-naming-hate" TargetMode="External"/><Relationship Id="rId995" Type="http://schemas.openxmlformats.org/officeDocument/2006/relationships/hyperlink" Target="https://www.adl.org/resources/backgrounder/rise-above-movement-ram" TargetMode="External"/><Relationship Id="rId1180" Type="http://schemas.openxmlformats.org/officeDocument/2006/relationships/hyperlink" Target="https://www.adl.org/holocaust-denial-anatomy-antisemitic-conspiracy-theory" TargetMode="External"/><Relationship Id="rId1401" Type="http://schemas.openxmlformats.org/officeDocument/2006/relationships/hyperlink" Target="https://www.adl.org/resources/profile/nation-islam" TargetMode="External"/><Relationship Id="rId203" Type="http://schemas.openxmlformats.org/officeDocument/2006/relationships/hyperlink" Target="https://www.adl.org/resources/article/nicholas-j-fuentes-five-things-know" TargetMode="External"/><Relationship Id="rId648" Type="http://schemas.openxmlformats.org/officeDocument/2006/relationships/hyperlink" Target="https://www.adl.org/resources/article/orlando-shooters-many-paths-violence" TargetMode="External"/><Relationship Id="rId855" Type="http://schemas.openxmlformats.org/officeDocument/2006/relationships/hyperlink" Target="https://www.adl.org/resources/hate-symbol/orion" TargetMode="External"/><Relationship Id="rId1040" Type="http://schemas.openxmlformats.org/officeDocument/2006/relationships/hyperlink" Target="https://www.adl.org/resources/hate-symbol/aryan-circle-hand-sign" TargetMode="External"/><Relationship Id="rId1278" Type="http://schemas.openxmlformats.org/officeDocument/2006/relationships/hyperlink" Target="https://www.adl.org/resources/backgrounder/qanon" TargetMode="External"/><Relationship Id="rId1485" Type="http://schemas.openxmlformats.org/officeDocument/2006/relationships/hyperlink" Target="https://www.adl.org/resources/report/white-supremacist-prison-gangs-2022-assessment" TargetMode="External"/><Relationship Id="rId287" Type="http://schemas.openxmlformats.org/officeDocument/2006/relationships/hyperlink" Target="https://www.adl.org/resources/backgrounder/sovereign-citizen-movement-united-states" TargetMode="External"/><Relationship Id="rId410" Type="http://schemas.openxmlformats.org/officeDocument/2006/relationships/hyperlink" Target="https://www.adl.org/resources/backgrounder/loyal-white-knights-ku-klux-klan" TargetMode="External"/><Relationship Id="rId494" Type="http://schemas.openxmlformats.org/officeDocument/2006/relationships/hyperlink" Target="https://www.adl.org/resources/backgrounder/alt-right-alt-lite-naming-hate" TargetMode="External"/><Relationship Id="rId508" Type="http://schemas.openxmlformats.org/officeDocument/2006/relationships/hyperlink" Target="https://www.adl.org/resources/hate-symbol/anti-sharp-imagery" TargetMode="External"/><Relationship Id="rId715" Type="http://schemas.openxmlformats.org/officeDocument/2006/relationships/hyperlink" Target="https://www.adl.org/resources/news/significance-oklahoma-city-bombing" TargetMode="External"/><Relationship Id="rId922" Type="http://schemas.openxmlformats.org/officeDocument/2006/relationships/hyperlink" Target="https://www.adl.org/resources/article/anti-semitic-senate-candidate-patrick-little-blames-jews-his-crushing-primary" TargetMode="External"/><Relationship Id="rId1138" Type="http://schemas.openxmlformats.org/officeDocument/2006/relationships/hyperlink" Target="https://www.adl.org/resources/backgrounder/accelerationism" TargetMode="External"/><Relationship Id="rId1345" Type="http://schemas.openxmlformats.org/officeDocument/2006/relationships/hyperlink" Target="https://www.adl.org/resources/report/hate-sunshine-state-extremism-antisemitism-florida-2020-2022" TargetMode="External"/><Relationship Id="rId1552" Type="http://schemas.openxmlformats.org/officeDocument/2006/relationships/hyperlink" Target="https://www.adl.org/resources/backgrounder/debunking-holocaust-denial-claims" TargetMode="External"/><Relationship Id="rId147" Type="http://schemas.openxmlformats.org/officeDocument/2006/relationships/hyperlink" Target="https://www.adl.org/resources/backgrounder/christian-identity-movement" TargetMode="External"/><Relationship Id="rId354" Type="http://schemas.openxmlformats.org/officeDocument/2006/relationships/hyperlink" Target="https://www.adl.org/resources/backgrounder/national-socialist-movement" TargetMode="External"/><Relationship Id="rId799" Type="http://schemas.openxmlformats.org/officeDocument/2006/relationships/hyperlink" Target="https://www.adl.org/resources/hate-symbol/crucified-skinhead" TargetMode="External"/><Relationship Id="rId1191" Type="http://schemas.openxmlformats.org/officeDocument/2006/relationships/hyperlink" Target="https://www.adl.org/resources/report/ecoterrorism-extremism-animal-rights-and-environmentalist-movements" TargetMode="External"/><Relationship Id="rId1205" Type="http://schemas.openxmlformats.org/officeDocument/2006/relationships/hyperlink" Target="https://www.adl.org/resources/backgrounder/qanon" TargetMode="External"/><Relationship Id="rId51" Type="http://schemas.openxmlformats.org/officeDocument/2006/relationships/hyperlink" Target="https://www.adl.org/resources/article/another-weekend-hate-neo-nazis-gather-florida" TargetMode="External"/><Relationship Id="rId561" Type="http://schemas.openxmlformats.org/officeDocument/2006/relationships/hyperlink" Target="https://www.adl.org/resources/hate-symbol/peckerwood" TargetMode="External"/><Relationship Id="rId659" Type="http://schemas.openxmlformats.org/officeDocument/2006/relationships/hyperlink" Target="https://www.adl.org/resources/backgrounder/league-south-los" TargetMode="External"/><Relationship Id="rId866" Type="http://schemas.openxmlformats.org/officeDocument/2006/relationships/hyperlink" Target="https://www.adl.org/resources/hate-symbol/blut-und-ehre" TargetMode="External"/><Relationship Id="rId1289" Type="http://schemas.openxmlformats.org/officeDocument/2006/relationships/hyperlink" Target="https://www.adl.org/resources/hate-symbol/swp" TargetMode="External"/><Relationship Id="rId1412" Type="http://schemas.openxmlformats.org/officeDocument/2006/relationships/hyperlink" Target="https://www.adl.org/resources/backgrounder/extremist-sects-within-black-hebrew-israelite-movement" TargetMode="External"/><Relationship Id="rId1496" Type="http://schemas.openxmlformats.org/officeDocument/2006/relationships/hyperlink" Target="https://www.adl.org/resources/article/farrakhan-spokesperson-ava-muhammad-spouts-vile-anti-semitism" TargetMode="External"/><Relationship Id="rId214" Type="http://schemas.openxmlformats.org/officeDocument/2006/relationships/hyperlink" Target="https://www.adl.org/resources/backgrounder/qanon" TargetMode="External"/><Relationship Id="rId298" Type="http://schemas.openxmlformats.org/officeDocument/2006/relationships/hyperlink" Target="https://www.adl.org/resources/article/extremist-medicine-cabinet-guide-online-pills" TargetMode="External"/><Relationship Id="rId421" Type="http://schemas.openxmlformats.org/officeDocument/2006/relationships/hyperlink" Target="https://www.adl.org/resources/hate-symbol/hated" TargetMode="External"/><Relationship Id="rId519" Type="http://schemas.openxmlformats.org/officeDocument/2006/relationships/hyperlink" Target="https://www.adl.org/resources/hate-symbol/othala-rune" TargetMode="External"/><Relationship Id="rId1051" Type="http://schemas.openxmlformats.org/officeDocument/2006/relationships/hyperlink" Target="https://www.adl.org/resources/hate-symbol/aryan-warriors" TargetMode="External"/><Relationship Id="rId1149" Type="http://schemas.openxmlformats.org/officeDocument/2006/relationships/hyperlink" Target="https://www.adl.org/resources/backgrounder/alt-right-alt-lite-naming-hate" TargetMode="External"/><Relationship Id="rId1356" Type="http://schemas.openxmlformats.org/officeDocument/2006/relationships/hyperlink" Target="https://www.adl.org/resources/hate-symbol/imperial-german-flag" TargetMode="External"/><Relationship Id="rId158" Type="http://schemas.openxmlformats.org/officeDocument/2006/relationships/hyperlink" Target="https://www.adl.org/resources/backgrounder/qanon" TargetMode="External"/><Relationship Id="rId726" Type="http://schemas.openxmlformats.org/officeDocument/2006/relationships/hyperlink" Target="https://www.adl.org/resources/report/hate-cascade-states-extremism-antisemitism-oregon-washington" TargetMode="External"/><Relationship Id="rId933" Type="http://schemas.openxmlformats.org/officeDocument/2006/relationships/hyperlink" Target="https://www.adl.org/resources/news/white-supremacist-shooting-spree-leaves-bloody-trail-massachusetts" TargetMode="External"/><Relationship Id="rId1009" Type="http://schemas.openxmlformats.org/officeDocument/2006/relationships/hyperlink" Target="https://www.adl.org/resources/hate-symbol/alabama-aryan-brotherhood" TargetMode="External"/><Relationship Id="rId1563" Type="http://schemas.openxmlformats.org/officeDocument/2006/relationships/hyperlink" Target="https://www.adl.org/resources/report/qanons-antisemitism-and-what-comes-next" TargetMode="External"/><Relationship Id="rId62" Type="http://schemas.openxmlformats.org/officeDocument/2006/relationships/hyperlink" Target="https://www.adl.org/resources/article/coded-hate-extremists-weaponize-seemingly-innocuous-content-promote-bigotry" TargetMode="External"/><Relationship Id="rId365" Type="http://schemas.openxmlformats.org/officeDocument/2006/relationships/hyperlink" Target="https://www.adl.org/resources/backgrounder/sovereign-citizen-movement-united-states" TargetMode="External"/><Relationship Id="rId572" Type="http://schemas.openxmlformats.org/officeDocument/2006/relationships/hyperlink" Target="https://www.adl.org/resources/hate-symbol/no-race-mixing" TargetMode="External"/><Relationship Id="rId1216" Type="http://schemas.openxmlformats.org/officeDocument/2006/relationships/hyperlink" Target="https://www.adl.org/resources/hate-symbol/white-power-hand-sign" TargetMode="External"/><Relationship Id="rId1423" Type="http://schemas.openxmlformats.org/officeDocument/2006/relationships/hyperlink" Target="https://www.adl.org/resources/article/arrest-united-constitutional-patriots-leader-renews-concerns-over-border" TargetMode="External"/><Relationship Id="rId225" Type="http://schemas.openxmlformats.org/officeDocument/2006/relationships/hyperlink" Target="https://www.adl.org/resources/backgrounder/qanon" TargetMode="External"/><Relationship Id="rId432" Type="http://schemas.openxmlformats.org/officeDocument/2006/relationships/hyperlink" Target="https://www.adl.org/resources/hate-symbol/swp" TargetMode="External"/><Relationship Id="rId877" Type="http://schemas.openxmlformats.org/officeDocument/2006/relationships/hyperlink" Target="https://www.adl.org/resources/blog/anti-gay-rhetoric-english-language-isis-and-al-qaeda-magazines" TargetMode="External"/><Relationship Id="rId1062" Type="http://schemas.openxmlformats.org/officeDocument/2006/relationships/hyperlink" Target="https://adl.org/resources/backgrounder/black-hebrew-israelites" TargetMode="External"/><Relationship Id="rId737" Type="http://schemas.openxmlformats.org/officeDocument/2006/relationships/hyperlink" Target="https://www.adl.org/resources/news/jared-taylor-academic-racist" TargetMode="External"/><Relationship Id="rId944" Type="http://schemas.openxmlformats.org/officeDocument/2006/relationships/hyperlink" Target="https://www.adl.org/resources/hate-symbol/12" TargetMode="External"/><Relationship Id="rId1367" Type="http://schemas.openxmlformats.org/officeDocument/2006/relationships/hyperlink" Target="https://www.adl.org/resources/hate-symbol/golden-state-solidarity" TargetMode="External"/><Relationship Id="rId1574" Type="http://schemas.openxmlformats.org/officeDocument/2006/relationships/hyperlink" Target="https://www.adl.org/resources/profile/nation-islam" TargetMode="External"/><Relationship Id="rId73" Type="http://schemas.openxmlformats.org/officeDocument/2006/relationships/hyperlink" Target="https://www.adl.org/resources/backgrounder/patriot-front" TargetMode="External"/><Relationship Id="rId169" Type="http://schemas.openxmlformats.org/officeDocument/2006/relationships/hyperlink" Target="https://www.adl.org/resources/backgrounder/sovereign-citizen-movement-united-states" TargetMode="External"/><Relationship Id="rId376" Type="http://schemas.openxmlformats.org/officeDocument/2006/relationships/hyperlink" Target="https://www.adl.org/resources/backgrounder/rise-above-movement-ram" TargetMode="External"/><Relationship Id="rId583" Type="http://schemas.openxmlformats.org/officeDocument/2006/relationships/hyperlink" Target="https://www.adl.org/resources/article/how-antisemites-extremists-and-conspiracy-theorists-are-exploiting-anti-vax" TargetMode="External"/><Relationship Id="rId790" Type="http://schemas.openxmlformats.org/officeDocument/2006/relationships/hyperlink" Target="https://www.adl.org/resources/hate-symbol/national-socialist-legion" TargetMode="External"/><Relationship Id="rId804" Type="http://schemas.openxmlformats.org/officeDocument/2006/relationships/hyperlink" Target="https://extremismterms.adl.org/glossary/12" TargetMode="External"/><Relationship Id="rId1227" Type="http://schemas.openxmlformats.org/officeDocument/2006/relationships/hyperlink" Target="https://www.adl.org/resources/article/white-supremacists-respond-coronavirus-violent-plots-and-online-hate" TargetMode="External"/><Relationship Id="rId1434" Type="http://schemas.openxmlformats.org/officeDocument/2006/relationships/hyperlink" Target="https://www.adl.org/resources/hate-symbol/zog" TargetMode="External"/><Relationship Id="rId4" Type="http://schemas.openxmlformats.org/officeDocument/2006/relationships/hyperlink" Target="https://adl.org/resources/backgrounder/white-lives-matter" TargetMode="External"/><Relationship Id="rId236" Type="http://schemas.openxmlformats.org/officeDocument/2006/relationships/hyperlink" Target="https://www.adl.org/resources/article/ye-kanye-west-what-you-need-know" TargetMode="External"/><Relationship Id="rId443" Type="http://schemas.openxmlformats.org/officeDocument/2006/relationships/hyperlink" Target="https://www.adl.org/resources/article/extremist-medicine-cabinet-guide-online-pills" TargetMode="External"/><Relationship Id="rId650" Type="http://schemas.openxmlformats.org/officeDocument/2006/relationships/hyperlink" Target="https://www.adl.org/resources/backgrounder/goyim-defense-league" TargetMode="External"/><Relationship Id="rId888" Type="http://schemas.openxmlformats.org/officeDocument/2006/relationships/hyperlink" Target="https://www.adl.org/resources/hate-symbol/aryan-renaissance-society" TargetMode="External"/><Relationship Id="rId1073" Type="http://schemas.openxmlformats.org/officeDocument/2006/relationships/hyperlink" Target="https://www.adl.org/resources/hate-symbol/boots-and-laces" TargetMode="External"/><Relationship Id="rId1280" Type="http://schemas.openxmlformats.org/officeDocument/2006/relationships/hyperlink" Target="https://www.adl.org/resources/backgrounder/qanon" TargetMode="External"/><Relationship Id="rId1501" Type="http://schemas.openxmlformats.org/officeDocument/2006/relationships/hyperlink" Target="https://www.adl.org/resources/article/while-vying-attention-small-california-klan-encounters-conflict" TargetMode="External"/><Relationship Id="rId303" Type="http://schemas.openxmlformats.org/officeDocument/2006/relationships/hyperlink" Target="https://www.adl.org/resources/backgrounder/sovereign-citizen-movement-united-states" TargetMode="External"/><Relationship Id="rId748" Type="http://schemas.openxmlformats.org/officeDocument/2006/relationships/hyperlink" Target="https://www.adl.org/resources/hate-symbol/klasp" TargetMode="External"/><Relationship Id="rId955" Type="http://schemas.openxmlformats.org/officeDocument/2006/relationships/hyperlink" Target="https://www.adl.org/resources/report/hate-keystone-state-extremism-antisemitism-pennsylvania" TargetMode="External"/><Relationship Id="rId1140" Type="http://schemas.openxmlformats.org/officeDocument/2006/relationships/hyperlink" Target="https://www.adl.org/resources/backgrounder/new-independent-fundamental-baptist-new-ifb-movement" TargetMode="External"/><Relationship Id="rId1378" Type="http://schemas.openxmlformats.org/officeDocument/2006/relationships/hyperlink" Target="https://extremismterms.adl.org/glossary/stefan-molyneux" TargetMode="External"/><Relationship Id="rId1585" Type="http://schemas.microsoft.com/office/2017/10/relationships/threadedComment" Target="../threadedComments/threadedComment1.xml"/><Relationship Id="rId84" Type="http://schemas.openxmlformats.org/officeDocument/2006/relationships/hyperlink" Target="https://adl.org/resources/backgrounder/national-socialist-front-nsf" TargetMode="External"/><Relationship Id="rId387" Type="http://schemas.openxmlformats.org/officeDocument/2006/relationships/hyperlink" Target="https://www.adl.org/resources/report/extremist-and-hate-groups-may-be-abusing-non-profit-status" TargetMode="External"/><Relationship Id="rId510" Type="http://schemas.openxmlformats.org/officeDocument/2006/relationships/hyperlink" Target="https://www.adl.org/resources/hate-symbol/peckerwood-midwest" TargetMode="External"/><Relationship Id="rId594" Type="http://schemas.openxmlformats.org/officeDocument/2006/relationships/hyperlink" Target="https://www.adl.org/resources/backgrounder/qanon" TargetMode="External"/><Relationship Id="rId608" Type="http://schemas.openxmlformats.org/officeDocument/2006/relationships/hyperlink" Target="https://www.adl.org/resources/article/extremist-medicine-cabinet-guide-online-pills" TargetMode="External"/><Relationship Id="rId815" Type="http://schemas.openxmlformats.org/officeDocument/2006/relationships/hyperlink" Target="https://www.adl.org/resources/hate-symbol/noose" TargetMode="External"/><Relationship Id="rId1238" Type="http://schemas.openxmlformats.org/officeDocument/2006/relationships/hyperlink" Target="https://www.adl.org/resources/hate-symbol/usas" TargetMode="External"/><Relationship Id="rId1445" Type="http://schemas.openxmlformats.org/officeDocument/2006/relationships/hyperlink" Target="https://www.adl.org/resources/backgrounder/incels-involuntary-celibates" TargetMode="External"/><Relationship Id="rId247" Type="http://schemas.openxmlformats.org/officeDocument/2006/relationships/hyperlink" Target="https://www.adl.org/resources/backgrounder/national-socialist-movement" TargetMode="External"/><Relationship Id="rId899" Type="http://schemas.openxmlformats.org/officeDocument/2006/relationships/hyperlink" Target="https://www.adl.org/resources/hate-symbol/aryan-brotherhood-texas-hand-sign" TargetMode="External"/><Relationship Id="rId1000" Type="http://schemas.openxmlformats.org/officeDocument/2006/relationships/hyperlink" Target="https://www.adl.org/resources/backgrounder/alt-right-alt-lite-naming-hate" TargetMode="External"/><Relationship Id="rId1084" Type="http://schemas.openxmlformats.org/officeDocument/2006/relationships/hyperlink" Target="https://www.adl.org/resources/news/2015-begins-heinous-anti-semitic-attack" TargetMode="External"/><Relationship Id="rId1305" Type="http://schemas.openxmlformats.org/officeDocument/2006/relationships/hyperlink" Target="https://www.adl.org/resources/hate-symbol/ss-bolts" TargetMode="External"/><Relationship Id="rId107" Type="http://schemas.openxmlformats.org/officeDocument/2006/relationships/hyperlink" Target="https://www.adl.org/resources/hate-symbol/83" TargetMode="External"/><Relationship Id="rId454" Type="http://schemas.openxmlformats.org/officeDocument/2006/relationships/hyperlink" Target="https://www.adl.org/resources/report/report-new-black-panther-party-self-defense-nbpp" TargetMode="External"/><Relationship Id="rId661" Type="http://schemas.openxmlformats.org/officeDocument/2006/relationships/hyperlink" Target="https://www.adl.org/resources/blog/qanon-conspiracies-facebook-could-prompt-real-world-violence" TargetMode="External"/><Relationship Id="rId759" Type="http://schemas.openxmlformats.org/officeDocument/2006/relationships/hyperlink" Target="https://www.adl.org/resources/report/white-supremacist-prison-gangs-2022-assessment" TargetMode="External"/><Relationship Id="rId966" Type="http://schemas.openxmlformats.org/officeDocument/2006/relationships/hyperlink" Target="https://www.adl.org/resources/backgrounder/alt-right-alt-lite-naming-hate" TargetMode="External"/><Relationship Id="rId1291" Type="http://schemas.openxmlformats.org/officeDocument/2006/relationships/hyperlink" Target="https://adl.org/resources/backgrounder/supreme-white-alliance-adl-backgrounder" TargetMode="External"/><Relationship Id="rId1389" Type="http://schemas.openxmlformats.org/officeDocument/2006/relationships/hyperlink" Target="https://www.adl.org/resources/backgrounder/jewish-control-federal-reserve-classic-antisemitic-myth" TargetMode="External"/><Relationship Id="rId1512" Type="http://schemas.openxmlformats.org/officeDocument/2006/relationships/hyperlink" Target="https://www.adl.org/resources/backgrounder/e-michael-jones" TargetMode="External"/><Relationship Id="rId11" Type="http://schemas.openxmlformats.org/officeDocument/2006/relationships/hyperlink" Target="https://www.adl.org/resources/backgrounder/incels-involuntary-celibates" TargetMode="External"/><Relationship Id="rId314" Type="http://schemas.openxmlformats.org/officeDocument/2006/relationships/hyperlink" Target="https://www.adl.org/resources/backgrounder/alt-right-alt-lite-naming-hate" TargetMode="External"/><Relationship Id="rId398" Type="http://schemas.openxmlformats.org/officeDocument/2006/relationships/hyperlink" Target="https://www.adl.org/resources/hate-symbol/universal-aryan-brotherhood" TargetMode="External"/><Relationship Id="rId521" Type="http://schemas.openxmlformats.org/officeDocument/2006/relationships/hyperlink" Target="https://adl.org/resources/backgrounder/atomwaffen-division-awd-national-socialist-order-nso" TargetMode="External"/><Relationship Id="rId619" Type="http://schemas.openxmlformats.org/officeDocument/2006/relationships/hyperlink" Target="https://www.adl.org/resources/hate-symbol/national-rebirth-poland" TargetMode="External"/><Relationship Id="rId1151" Type="http://schemas.openxmlformats.org/officeDocument/2006/relationships/hyperlink" Target="https://www.adl.org/resources/article/extremists-and-conspiracy-theorists-urge-resistance-medical-martial-law" TargetMode="External"/><Relationship Id="rId1249" Type="http://schemas.openxmlformats.org/officeDocument/2006/relationships/hyperlink" Target="https://www.adl.org/resources/blog/amid-chaos-islamist-extremists-celebrate-talibans-success-afghanistan" TargetMode="External"/><Relationship Id="rId95" Type="http://schemas.openxmlformats.org/officeDocument/2006/relationships/hyperlink" Target="https://www.adl.org/resources/backgrounder/boogaloo-movement" TargetMode="External"/><Relationship Id="rId160" Type="http://schemas.openxmlformats.org/officeDocument/2006/relationships/hyperlink" Target="https://www.adl.org/resources/backgrounder/qanon" TargetMode="External"/><Relationship Id="rId826" Type="http://schemas.openxmlformats.org/officeDocument/2006/relationships/hyperlink" Target="https://www.adl.org/resources/report/hate-beyond-borders-internationalization-white-supremacy" TargetMode="External"/><Relationship Id="rId1011" Type="http://schemas.openxmlformats.org/officeDocument/2006/relationships/hyperlink" Target="https://adl.org/resources/backgrounder/alex-jones-five-things-know" TargetMode="External"/><Relationship Id="rId1109" Type="http://schemas.openxmlformats.org/officeDocument/2006/relationships/hyperlink" Target="https://www.adl.org/resources/article/new-trolling-efforts-target-jews-appearance-attempt-sow-political-division" TargetMode="External"/><Relationship Id="rId1456" Type="http://schemas.openxmlformats.org/officeDocument/2006/relationships/hyperlink" Target="https://www.adl.org/resources/report/hate-beyond-borders-internationalization-white-supremacy" TargetMode="External"/><Relationship Id="rId258" Type="http://schemas.openxmlformats.org/officeDocument/2006/relationships/hyperlink" Target="https://www.adl.org/resources/backgrounder/sovereign-citizen-movement-united-states" TargetMode="External"/><Relationship Id="rId465" Type="http://schemas.openxmlformats.org/officeDocument/2006/relationships/hyperlink" Target="https://www.adl.org/resources/backgrounder/alt-right-alt-lite-naming-hate" TargetMode="External"/><Relationship Id="rId672" Type="http://schemas.openxmlformats.org/officeDocument/2006/relationships/hyperlink" Target="https://adl.org/resources/backgrounder/incels-involuntary-celibates" TargetMode="External"/><Relationship Id="rId1095" Type="http://schemas.openxmlformats.org/officeDocument/2006/relationships/hyperlink" Target="https://www.adl.org/resources/hate-symbol/38" TargetMode="External"/><Relationship Id="rId1316" Type="http://schemas.openxmlformats.org/officeDocument/2006/relationships/hyperlink" Target="https://www.adl.org/resources/report/steam-powered-hate-top-gaming-site-rife-extremism-antisemitism" TargetMode="External"/><Relationship Id="rId1523" Type="http://schemas.openxmlformats.org/officeDocument/2006/relationships/hyperlink" Target="https://www.adl.org/sites/default/files/Gilad-Atzmon-one-pager-final.pdf" TargetMode="External"/><Relationship Id="rId22" Type="http://schemas.openxmlformats.org/officeDocument/2006/relationships/hyperlink" Target="https://www.adl.org/resources/backgrounder/incels-involuntary-celibates" TargetMode="External"/><Relationship Id="rId118" Type="http://schemas.openxmlformats.org/officeDocument/2006/relationships/hyperlink" Target="https://www.adl.org/resources/article/how-antisemites-extremists-and-conspiracy-theorists-are-exploiting-anti-vax" TargetMode="External"/><Relationship Id="rId325" Type="http://schemas.openxmlformats.org/officeDocument/2006/relationships/hyperlink" Target="https://www.adl.org/resources/backgrounder/militia-movement-2020" TargetMode="External"/><Relationship Id="rId532" Type="http://schemas.openxmlformats.org/officeDocument/2006/relationships/hyperlink" Target="https://www.adl.org/resources/backgrounder/nationalist-social-club-nsc-131" TargetMode="External"/><Relationship Id="rId977" Type="http://schemas.openxmlformats.org/officeDocument/2006/relationships/hyperlink" Target="https://www.adl.org/resources/blog/evidence-extremist-ideology-emerges-jersey-city-attack" TargetMode="External"/><Relationship Id="rId1162" Type="http://schemas.openxmlformats.org/officeDocument/2006/relationships/hyperlink" Target="https://www.adl.org/resources/news/council-conservative-citizens-declining-bastion-hate" TargetMode="External"/><Relationship Id="rId171" Type="http://schemas.openxmlformats.org/officeDocument/2006/relationships/hyperlink" Target="https://www.adl.org/resources/backgrounder/qanon" TargetMode="External"/><Relationship Id="rId837" Type="http://schemas.openxmlformats.org/officeDocument/2006/relationships/hyperlink" Target="https://www.adl.org/resources/backgrounder/oath-keepers" TargetMode="External"/><Relationship Id="rId1022" Type="http://schemas.openxmlformats.org/officeDocument/2006/relationships/hyperlink" Target="https://www.adl.org/resources/hate-symbol/american-identity-movement-aim" TargetMode="External"/><Relationship Id="rId1467" Type="http://schemas.openxmlformats.org/officeDocument/2006/relationships/hyperlink" Target="https://www.adl.org/resources/hate-symbol/trollface-racist-versions" TargetMode="External"/><Relationship Id="rId269" Type="http://schemas.openxmlformats.org/officeDocument/2006/relationships/hyperlink" Target="https://www.adl.org/resources/backgrounder/sovereign-citizen-movement-united-states" TargetMode="External"/><Relationship Id="rId476" Type="http://schemas.openxmlformats.org/officeDocument/2006/relationships/hyperlink" Target="https://www.adl.org/resources/hate-symbol/sieg-heil" TargetMode="External"/><Relationship Id="rId683" Type="http://schemas.openxmlformats.org/officeDocument/2006/relationships/hyperlink" Target="https://www.adl.org/resources/article/masar-badil-what-you-need-know" TargetMode="External"/><Relationship Id="rId890" Type="http://schemas.openxmlformats.org/officeDocument/2006/relationships/hyperlink" Target="https://notoleranceforantisemitism.adl.org/resources/hate-symbol/aryan-nations-hand-sign-tennessee-prison-gang" TargetMode="External"/><Relationship Id="rId904" Type="http://schemas.openxmlformats.org/officeDocument/2006/relationships/hyperlink" Target="https://www.adl.org/resources/article/islamist-terror-incidents-targeting-us-increase-2024" TargetMode="External"/><Relationship Id="rId1327" Type="http://schemas.openxmlformats.org/officeDocument/2006/relationships/hyperlink" Target="https://adl.org/resources/backgrounder/shield-wall-network-swn" TargetMode="External"/><Relationship Id="rId1534" Type="http://schemas.openxmlformats.org/officeDocument/2006/relationships/hyperlink" Target="https://www.adl.org/resources/report/antisemitic-conspiracies-about-911-endure-20-years-later" TargetMode="External"/><Relationship Id="rId33" Type="http://schemas.openxmlformats.org/officeDocument/2006/relationships/hyperlink" Target="https://extremismterms.adl.org/glossary/traditionalist-worker-party" TargetMode="External"/><Relationship Id="rId129" Type="http://schemas.openxmlformats.org/officeDocument/2006/relationships/hyperlink" Target="https://www.adl.org/resources/backgrounder/accelerationism" TargetMode="External"/><Relationship Id="rId336" Type="http://schemas.openxmlformats.org/officeDocument/2006/relationships/hyperlink" Target="https://www.adl.org/resources/backgrounder/accelerationism" TargetMode="External"/><Relationship Id="rId543" Type="http://schemas.openxmlformats.org/officeDocument/2006/relationships/hyperlink" Target="https://www.adl.org/resources/article/nicholas-j-fuentes-five-things-know" TargetMode="External"/><Relationship Id="rId988" Type="http://schemas.openxmlformats.org/officeDocument/2006/relationships/hyperlink" Target="https://www.adl.org/resources/article/colorado-white-supremacist-arrested-plotting-blow-synagogue" TargetMode="External"/><Relationship Id="rId1173" Type="http://schemas.openxmlformats.org/officeDocument/2006/relationships/hyperlink" Target="https://adl.org/resources/backgrounder/daily-stormer-book-clubs-sbc" TargetMode="External"/><Relationship Id="rId1380" Type="http://schemas.openxmlformats.org/officeDocument/2006/relationships/hyperlink" Target="https://antisemitism.adl.org/" TargetMode="External"/><Relationship Id="rId182" Type="http://schemas.openxmlformats.org/officeDocument/2006/relationships/hyperlink" Target="https://www.adl.org/resources/backgrounder/proud-boys" TargetMode="External"/><Relationship Id="rId403" Type="http://schemas.openxmlformats.org/officeDocument/2006/relationships/hyperlink" Target="https://www.adl.org/resources/profile/nation-islam" TargetMode="External"/><Relationship Id="rId750" Type="http://schemas.openxmlformats.org/officeDocument/2006/relationships/hyperlink" Target="https://www.adl.org/resources/hate-symbol/ku-klux-klan-hand-sign" TargetMode="External"/><Relationship Id="rId848" Type="http://schemas.openxmlformats.org/officeDocument/2006/relationships/hyperlink" Target="https://www.adl.org/resources/blog/leila-khaled-her-own-words" TargetMode="External"/><Relationship Id="rId1033" Type="http://schemas.openxmlformats.org/officeDocument/2006/relationships/hyperlink" Target="https://adl.org/resources/backgrounder/who-are-antifa" TargetMode="External"/><Relationship Id="rId1478" Type="http://schemas.openxmlformats.org/officeDocument/2006/relationships/hyperlink" Target="https://www.adl.org/resources/hate-symbol/fasces" TargetMode="External"/><Relationship Id="rId487" Type="http://schemas.openxmlformats.org/officeDocument/2006/relationships/hyperlink" Target="https://www.adl.org/resources/backgrounder/sovereign-citizen-movement-united-states" TargetMode="External"/><Relationship Id="rId610" Type="http://schemas.openxmlformats.org/officeDocument/2006/relationships/hyperlink" Target="https://www.adl.org/resources/report/despite-internal-turmoil-klan-groups-persist" TargetMode="External"/><Relationship Id="rId694" Type="http://schemas.openxmlformats.org/officeDocument/2006/relationships/hyperlink" Target="https://www.adl.org/resources/backgrounder/militia-movement-2020" TargetMode="External"/><Relationship Id="rId708" Type="http://schemas.openxmlformats.org/officeDocument/2006/relationships/hyperlink" Target="https://www.adl.org/resources/backgrounder/qanon" TargetMode="External"/><Relationship Id="rId915" Type="http://schemas.openxmlformats.org/officeDocument/2006/relationships/hyperlink" Target="https://www.adl.org/resources/hate-symbol/anti-antifa-images" TargetMode="External"/><Relationship Id="rId1240" Type="http://schemas.openxmlformats.org/officeDocument/2006/relationships/hyperlink" Target="https://www.adl.org/resources/article/great-reset-conspiracy-flourishes-amid-continued-pandemic" TargetMode="External"/><Relationship Id="rId1338" Type="http://schemas.openxmlformats.org/officeDocument/2006/relationships/hyperlink" Target="https://lasvegas.adl.org/tragedy-in-sri-lanka-may-be-connected-to-isiss-global-influence/" TargetMode="External"/><Relationship Id="rId1545" Type="http://schemas.openxmlformats.org/officeDocument/2006/relationships/hyperlink" Target="https://www.adl.org/resources/report/online-holocaust-denial-report-card-investigation-online-platforms-policies-and" TargetMode="External"/><Relationship Id="rId347" Type="http://schemas.openxmlformats.org/officeDocument/2006/relationships/hyperlink" Target="https://www.adl.org/resources/hate-symbol/european-kindred" TargetMode="External"/><Relationship Id="rId999" Type="http://schemas.openxmlformats.org/officeDocument/2006/relationships/hyperlink" Target="https://www.adl.org/resources/backgrounder/new-independent-fundamental-baptist-new-ifb-movement" TargetMode="External"/><Relationship Id="rId1100" Type="http://schemas.openxmlformats.org/officeDocument/2006/relationships/hyperlink" Target="https://www.adl.org/resources/profile/ahmad-abousamra" TargetMode="External"/><Relationship Id="rId1184" Type="http://schemas.openxmlformats.org/officeDocument/2006/relationships/hyperlink" Target="https://www.adl.org/resources/hate-symbol/day-rope" TargetMode="External"/><Relationship Id="rId1405" Type="http://schemas.openxmlformats.org/officeDocument/2006/relationships/hyperlink" Target="https://www.adl.org/resources/profile/nation-islam" TargetMode="External"/><Relationship Id="rId44" Type="http://schemas.openxmlformats.org/officeDocument/2006/relationships/hyperlink" Target="https://www.adl.org/resources/article/coded-hate-extremists-weaponize-seemingly-innocuous-content-promote-bigotry" TargetMode="External"/><Relationship Id="rId554" Type="http://schemas.openxmlformats.org/officeDocument/2006/relationships/hyperlink" Target="https://www.adl.org/resources/backgrounder/sovereign-citizen-movement-united-states" TargetMode="External"/><Relationship Id="rId761" Type="http://schemas.openxmlformats.org/officeDocument/2006/relationships/hyperlink" Target="https://www.adl.org/resources/article/masar-badil-what-you-need-know" TargetMode="External"/><Relationship Id="rId859" Type="http://schemas.openxmlformats.org/officeDocument/2006/relationships/hyperlink" Target="https://www.adl.org/resources/hate-symbol/brotherhood-forever" TargetMode="External"/><Relationship Id="rId1391" Type="http://schemas.openxmlformats.org/officeDocument/2006/relationships/hyperlink" Target="https://www.adl.org/resources/hate-symbol/trollface-racist-versions" TargetMode="External"/><Relationship Id="rId1489" Type="http://schemas.openxmlformats.org/officeDocument/2006/relationships/hyperlink" Target="https://www.adl.org/resources/hate-symbol/hitler-salute-hand-sign" TargetMode="External"/><Relationship Id="rId193" Type="http://schemas.openxmlformats.org/officeDocument/2006/relationships/hyperlink" Target="https://www.adl.org/resources/backgrounder/active-club-network" TargetMode="External"/><Relationship Id="rId207" Type="http://schemas.openxmlformats.org/officeDocument/2006/relationships/hyperlink" Target="https://www.adl.org/resources/report/anatomy-standoff" TargetMode="External"/><Relationship Id="rId414" Type="http://schemas.openxmlformats.org/officeDocument/2006/relationships/hyperlink" Target="https://adl.org/resources/backgrounder/three-percenters" TargetMode="External"/><Relationship Id="rId498" Type="http://schemas.openxmlformats.org/officeDocument/2006/relationships/hyperlink" Target="https://www.adl.org/resources/backgrounder/national-justice-party" TargetMode="External"/><Relationship Id="rId621" Type="http://schemas.openxmlformats.org/officeDocument/2006/relationships/hyperlink" Target="https://www.adl.org/resources/news/white-supremacist-shooting-spree-leaves-bloody-trail-massachusetts" TargetMode="External"/><Relationship Id="rId1044" Type="http://schemas.openxmlformats.org/officeDocument/2006/relationships/hyperlink" Target="https://www.adl.org/resources/backgrounder/aryan-freedom-network-afn" TargetMode="External"/><Relationship Id="rId1251" Type="http://schemas.openxmlformats.org/officeDocument/2006/relationships/hyperlink" Target="https://www.adl.org/resources/article/unity-fields-what-you-need-know" TargetMode="External"/><Relationship Id="rId1349" Type="http://schemas.openxmlformats.org/officeDocument/2006/relationships/hyperlink" Target="https://www.adl.org/resources/news/jared-taylor-academic-racist" TargetMode="External"/><Relationship Id="rId260" Type="http://schemas.openxmlformats.org/officeDocument/2006/relationships/hyperlink" Target="https://www.adl.org/resources/backgrounder/sovereign-citizen-movement-united-states" TargetMode="External"/><Relationship Id="rId719" Type="http://schemas.openxmlformats.org/officeDocument/2006/relationships/hyperlink" Target="https://www.adl.org/resources/hate-symbol/inland-empire-skinheads" TargetMode="External"/><Relationship Id="rId926" Type="http://schemas.openxmlformats.org/officeDocument/2006/relationships/hyperlink" Target="https://www.adl.org/resources/report/new-hate-and-old-changing-face-american-white-supremacy" TargetMode="External"/><Relationship Id="rId1111" Type="http://schemas.openxmlformats.org/officeDocument/2006/relationships/hyperlink" Target="https://www.adl.org/resources/report/hate-beyond-borders-internationalization-white-supremacy" TargetMode="External"/><Relationship Id="rId1556" Type="http://schemas.openxmlformats.org/officeDocument/2006/relationships/hyperlink" Target="https://www.adl.org/resources/backgrounder/extremist-sects-within-black-hebrew-israelite-movement" TargetMode="External"/><Relationship Id="rId55" Type="http://schemas.openxmlformats.org/officeDocument/2006/relationships/hyperlink" Target="https://www.adl.org/resources/article/coded-hate-extremists-weaponize-seemingly-innocuous-content-promote-bigotry" TargetMode="External"/><Relationship Id="rId120" Type="http://schemas.openxmlformats.org/officeDocument/2006/relationships/hyperlink" Target="https://www.adl.org/resources/backgrounder/qanon" TargetMode="External"/><Relationship Id="rId358" Type="http://schemas.openxmlformats.org/officeDocument/2006/relationships/hyperlink" Target="https://www.adl.org/resources/backgrounder/goyim-defense-league" TargetMode="External"/><Relationship Id="rId565" Type="http://schemas.openxmlformats.org/officeDocument/2006/relationships/hyperlink" Target="https://www.adl.org/resources/backgrounder/qanon" TargetMode="External"/><Relationship Id="rId772" Type="http://schemas.openxmlformats.org/officeDocument/2006/relationships/hyperlink" Target="https://www.adl.org/resources/hate-symbol/fgrn" TargetMode="External"/><Relationship Id="rId1195" Type="http://schemas.openxmlformats.org/officeDocument/2006/relationships/hyperlink" Target="https://www.adl.org/resources/report/despite-internal-turmoil-klan-groups-persist" TargetMode="External"/><Relationship Id="rId1209" Type="http://schemas.openxmlformats.org/officeDocument/2006/relationships/hyperlink" Target="https://www.adl.org/resources/hate-symbol/wp" TargetMode="External"/><Relationship Id="rId1416" Type="http://schemas.openxmlformats.org/officeDocument/2006/relationships/hyperlink" Target="https://www.adl.org/resources/backgrounder/new-independent-fundamental-baptist-new-ifb-movement" TargetMode="External"/><Relationship Id="rId218" Type="http://schemas.openxmlformats.org/officeDocument/2006/relationships/hyperlink" Target="https://www.adl.org/resources/backgrounder/qanon" TargetMode="External"/><Relationship Id="rId425" Type="http://schemas.openxmlformats.org/officeDocument/2006/relationships/hyperlink" Target="https://www.adl.org/resources/hate-symbol/creativity-movement" TargetMode="External"/><Relationship Id="rId632" Type="http://schemas.openxmlformats.org/officeDocument/2006/relationships/hyperlink" Target="https://www.adl.org/resources/backgrounder/sovereign-citizen-movement-united-states" TargetMode="External"/><Relationship Id="rId1055" Type="http://schemas.openxmlformats.org/officeDocument/2006/relationships/hyperlink" Target="https://adl.org/resources/backgrounder/atomwaffen-division-awd-national-socialist-order-nso" TargetMode="External"/><Relationship Id="rId1262" Type="http://schemas.openxmlformats.org/officeDocument/2006/relationships/hyperlink" Target="https://www.adl.org/resources/backgrounder/loyal-white-knights-ku-klux-klan" TargetMode="External"/><Relationship Id="rId271" Type="http://schemas.openxmlformats.org/officeDocument/2006/relationships/hyperlink" Target="https://www.adl.org/resources/hate-symbol/14" TargetMode="External"/><Relationship Id="rId937" Type="http://schemas.openxmlformats.org/officeDocument/2006/relationships/hyperlink" Target="https://www.adl.org/resources/hate-symbol/atomwaffen-division" TargetMode="External"/><Relationship Id="rId1122" Type="http://schemas.openxmlformats.org/officeDocument/2006/relationships/hyperlink" Target="https://www.adl.org/resources/article/white-supremacist-propaganda-focused-jews-and-immigrants-2024" TargetMode="External"/><Relationship Id="rId1567" Type="http://schemas.openxmlformats.org/officeDocument/2006/relationships/hyperlink" Target="https://www.adl.org/resources/article/conspiracy-theories-some-antisemitic-roots-crop-2023-shareholder-proposals" TargetMode="External"/><Relationship Id="rId66" Type="http://schemas.openxmlformats.org/officeDocument/2006/relationships/hyperlink" Target="https://extremismterms.adl.org/glossary/rizza-islam" TargetMode="External"/><Relationship Id="rId131" Type="http://schemas.openxmlformats.org/officeDocument/2006/relationships/hyperlink" Target="https://www.adl.org/resources/backgrounder/accelerationism" TargetMode="External"/><Relationship Id="rId369" Type="http://schemas.openxmlformats.org/officeDocument/2006/relationships/hyperlink" Target="https://www.adl.org/resources/article/white-supremacists-respond-coronavirus-violent-plots-and-online-hate" TargetMode="External"/><Relationship Id="rId576" Type="http://schemas.openxmlformats.org/officeDocument/2006/relationships/hyperlink" Target="https://www.adl.org/resources/backgrounder/militia-movement-2020" TargetMode="External"/><Relationship Id="rId783" Type="http://schemas.openxmlformats.org/officeDocument/2006/relationships/hyperlink" Target="https://www.adl.org/resources/backgrounder/traditionalist-worker-party-twp" TargetMode="External"/><Relationship Id="rId990" Type="http://schemas.openxmlformats.org/officeDocument/2006/relationships/hyperlink" Target="https://www.adl.org/resources/report/hate-their-hearts-state-white-supremacy-united-states" TargetMode="External"/><Relationship Id="rId1427" Type="http://schemas.openxmlformats.org/officeDocument/2006/relationships/hyperlink" Target="https://www.adl.org/resources/blog/thirteen-men-arrested-plotting-kidnap-michigan-governor-gretchen-whitmer" TargetMode="External"/><Relationship Id="rId229" Type="http://schemas.openxmlformats.org/officeDocument/2006/relationships/hyperlink" Target="https://www.adl.org/resources/backgrounder/qanon" TargetMode="External"/><Relationship Id="rId436" Type="http://schemas.openxmlformats.org/officeDocument/2006/relationships/hyperlink" Target="https://www.adl.org/resources/hate-symbol/swastika" TargetMode="External"/><Relationship Id="rId643" Type="http://schemas.openxmlformats.org/officeDocument/2006/relationships/hyperlink" Target="https://www.adl.org/resources/hate-symbol/1488" TargetMode="External"/><Relationship Id="rId1066" Type="http://schemas.openxmlformats.org/officeDocument/2006/relationships/hyperlink" Target="https://www.adl.org/resources/hate-symbol/blood-drop-cross" TargetMode="External"/><Relationship Id="rId1273" Type="http://schemas.openxmlformats.org/officeDocument/2006/relationships/hyperlink" Target="https://www.adl.org/resources/backgrounder/qanon" TargetMode="External"/><Relationship Id="rId1480" Type="http://schemas.openxmlformats.org/officeDocument/2006/relationships/hyperlink" Target="https://www.adl.org/resources/hate-symbol/firm-22" TargetMode="External"/><Relationship Id="rId850" Type="http://schemas.openxmlformats.org/officeDocument/2006/relationships/hyperlink" Target="https://www.adl.org/resources/hate-symbol/okay-hand-gesture" TargetMode="External"/><Relationship Id="rId948" Type="http://schemas.openxmlformats.org/officeDocument/2006/relationships/hyperlink" Target="https://www.adl.org/resources/blog/qanon-conspiracies-facebook-could-prompt-real-world-violence" TargetMode="External"/><Relationship Id="rId1133" Type="http://schemas.openxmlformats.org/officeDocument/2006/relationships/hyperlink" Target="https://www.adl.org/resources/article/bitchute-hotbed-hate" TargetMode="External"/><Relationship Id="rId1578" Type="http://schemas.openxmlformats.org/officeDocument/2006/relationships/hyperlink" Target="https://www.adl.org/resources/blog/white-supremacists-commodify-coronavirus-racism" TargetMode="External"/><Relationship Id="rId77" Type="http://schemas.openxmlformats.org/officeDocument/2006/relationships/hyperlink" Target="https://extremismterms.adl.org/glossary/new-jersey-european-heritage-association-njeha" TargetMode="External"/><Relationship Id="rId282" Type="http://schemas.openxmlformats.org/officeDocument/2006/relationships/hyperlink" Target="https://www.adl.org/resources/article/racist-skinhead-crew-aryan-strikeforce-88-stands-8-arrests-8-months" TargetMode="External"/><Relationship Id="rId503" Type="http://schemas.openxmlformats.org/officeDocument/2006/relationships/hyperlink" Target="https://www.adl.org/resources/backgrounder/qanon" TargetMode="External"/><Relationship Id="rId587" Type="http://schemas.openxmlformats.org/officeDocument/2006/relationships/hyperlink" Target="https://www.adl.org/resources/backgrounder/qanon" TargetMode="External"/><Relationship Id="rId710" Type="http://schemas.openxmlformats.org/officeDocument/2006/relationships/hyperlink" Target="https://www.adl.org/resources/article/who-are-primary-groups-behind-us-anti-israel-rallies" TargetMode="External"/><Relationship Id="rId808" Type="http://schemas.openxmlformats.org/officeDocument/2006/relationships/hyperlink" Target="https://adl.org/resources/backgrounder/new-jersey-european-heritage-association-njeha" TargetMode="External"/><Relationship Id="rId1340" Type="http://schemas.openxmlformats.org/officeDocument/2006/relationships/hyperlink" Target="https://www.adl.org/resources/news/ties-between-anti-immigrant-movement-and-eugenics" TargetMode="External"/><Relationship Id="rId1438" Type="http://schemas.openxmlformats.org/officeDocument/2006/relationships/hyperlink" Target="https://extremismterms.adl.org/resources/backgrounder/sovereign-citizen-movement-united-states" TargetMode="External"/><Relationship Id="rId8" Type="http://schemas.openxmlformats.org/officeDocument/2006/relationships/hyperlink" Target="https://www.adl.org/resources/backgrounder/incels-involuntary-celibates" TargetMode="External"/><Relationship Id="rId142" Type="http://schemas.openxmlformats.org/officeDocument/2006/relationships/hyperlink" Target="https://www.adl.org/resources/backgrounder/christian-identity-movement" TargetMode="External"/><Relationship Id="rId447" Type="http://schemas.openxmlformats.org/officeDocument/2006/relationships/hyperlink" Target="https://www.adl.org/resources/article/extremist-medicine-cabinet-guide-online-pills" TargetMode="External"/><Relationship Id="rId794" Type="http://schemas.openxmlformats.org/officeDocument/2006/relationships/hyperlink" Target="https://www.adl.org/resources/news/andrew-anglin-five-things-know" TargetMode="External"/><Relationship Id="rId1077" Type="http://schemas.openxmlformats.org/officeDocument/2006/relationships/hyperlink" Target="https://www.adl.org/resources/blog/brigitte-gabriel-continues-years-long-campaign-islamophobia" TargetMode="External"/><Relationship Id="rId1200" Type="http://schemas.openxmlformats.org/officeDocument/2006/relationships/hyperlink" Target="https://www.adl.org/resources/article/terrorgram-collective-international-terrorists-promoting-violence-and-white" TargetMode="External"/><Relationship Id="rId654" Type="http://schemas.openxmlformats.org/officeDocument/2006/relationships/hyperlink" Target="https://www.adl.org/resources/article/extremist-medicine-cabinet-guide-online-pills" TargetMode="External"/><Relationship Id="rId861" Type="http://schemas.openxmlformats.org/officeDocument/2006/relationships/hyperlink" Target="https://www.adl.org/resources/hate-symbol/blood-honour" TargetMode="External"/><Relationship Id="rId959" Type="http://schemas.openxmlformats.org/officeDocument/2006/relationships/hyperlink" Target="https://www.adl.org/resources/backgrounder/hoax-hate-protocols-learned-elders-zion" TargetMode="External"/><Relationship Id="rId1284" Type="http://schemas.openxmlformats.org/officeDocument/2006/relationships/hyperlink" Target="https://www.adl.org/resources/article/deadly-shooting-pittsburgh-synagogue" TargetMode="External"/><Relationship Id="rId1491" Type="http://schemas.openxmlformats.org/officeDocument/2006/relationships/hyperlink" Target="https://www.adl.org/resources/report/white-supremacist-propaganda-spikes-2020" TargetMode="External"/><Relationship Id="rId1505" Type="http://schemas.openxmlformats.org/officeDocument/2006/relationships/hyperlink" Target="https://www.adl.org/resources/article/twenty-five-years-later-oklahoma-city-bombing-inspires-new-generation-extremists" TargetMode="External"/><Relationship Id="rId293" Type="http://schemas.openxmlformats.org/officeDocument/2006/relationships/hyperlink" Target="https://www.adl.org/resources/backgrounder/alt-right-alt-lite-naming-hate" TargetMode="External"/><Relationship Id="rId307" Type="http://schemas.openxmlformats.org/officeDocument/2006/relationships/hyperlink" Target="https://www.adl.org/resources/backgrounder/alt-right-alt-lite-naming-hate" TargetMode="External"/><Relationship Id="rId514" Type="http://schemas.openxmlformats.org/officeDocument/2006/relationships/hyperlink" Target="https://www.adl.org/resources/news/richard-spencer-five-things-know" TargetMode="External"/><Relationship Id="rId721" Type="http://schemas.openxmlformats.org/officeDocument/2006/relationships/hyperlink" Target="https://www.adl.org/resources/hate-symbol/indiana-aryan-brotherhood" TargetMode="External"/><Relationship Id="rId1144" Type="http://schemas.openxmlformats.org/officeDocument/2006/relationships/hyperlink" Target="https://www.adl.org/resources/article/free-speech-rally-planned-boston" TargetMode="External"/><Relationship Id="rId1351" Type="http://schemas.openxmlformats.org/officeDocument/2006/relationships/hyperlink" Target="https://www.adl.org/resources/hate-symbol/itsub" TargetMode="External"/><Relationship Id="rId1449" Type="http://schemas.openxmlformats.org/officeDocument/2006/relationships/hyperlink" Target="https://www.adl.org/resources/backgrounder/base" TargetMode="External"/><Relationship Id="rId88" Type="http://schemas.openxmlformats.org/officeDocument/2006/relationships/hyperlink" Target="https://extremismterms.adl.org/glossary/national-justice-party" TargetMode="External"/><Relationship Id="rId153" Type="http://schemas.openxmlformats.org/officeDocument/2006/relationships/hyperlink" Target="https://www.adl.org/resources/backgrounder/qanon" TargetMode="External"/><Relationship Id="rId360" Type="http://schemas.openxmlformats.org/officeDocument/2006/relationships/hyperlink" Target="https://www.adl.org/resources/article/coded-hate-extremists-weaponize-seemingly-innocuous-content-promote-bigotry" TargetMode="External"/><Relationship Id="rId598" Type="http://schemas.openxmlformats.org/officeDocument/2006/relationships/hyperlink" Target="https://www.adl.org/resources/backgrounder/incels-involuntary-celibates" TargetMode="External"/><Relationship Id="rId819" Type="http://schemas.openxmlformats.org/officeDocument/2006/relationships/hyperlink" Target="https://www.adl.org/resources/hate-symbol/northwest-american-republic" TargetMode="External"/><Relationship Id="rId1004" Type="http://schemas.openxmlformats.org/officeDocument/2006/relationships/hyperlink" Target="https://www.adl.org/resources/article/bitchute-hotbed-hate" TargetMode="External"/><Relationship Id="rId1211" Type="http://schemas.openxmlformats.org/officeDocument/2006/relationships/hyperlink" Target="https://www.adl.org/resources/backgrounder/boogaloo-movement" TargetMode="External"/><Relationship Id="rId220" Type="http://schemas.openxmlformats.org/officeDocument/2006/relationships/hyperlink" Target="https://www.adl.org/resources/backgrounder/qanon" TargetMode="External"/><Relationship Id="rId458" Type="http://schemas.openxmlformats.org/officeDocument/2006/relationships/hyperlink" Target="https://www.adl.org/resources/backgrounder/league-south-los" TargetMode="External"/><Relationship Id="rId665" Type="http://schemas.openxmlformats.org/officeDocument/2006/relationships/hyperlink" Target="https://adl.org/resources/backgrounder/hamas" TargetMode="External"/><Relationship Id="rId872" Type="http://schemas.openxmlformats.org/officeDocument/2006/relationships/hyperlink" Target="https://www.adl.org/resources/backgrounder/shield-wall-network-swn" TargetMode="External"/><Relationship Id="rId1088" Type="http://schemas.openxmlformats.org/officeDocument/2006/relationships/hyperlink" Target="https://www.adl.org/resources/profiles/aryan-nationschurch-jesus-christ-christian" TargetMode="External"/><Relationship Id="rId1295" Type="http://schemas.openxmlformats.org/officeDocument/2006/relationships/hyperlink" Target="https://www.adl.org/resources/backgrounder/incels-involuntary-celibates" TargetMode="External"/><Relationship Id="rId1309" Type="http://schemas.openxmlformats.org/officeDocument/2006/relationships/hyperlink" Target="https://www.adl.org/resources/hate-symbol/totenkopf" TargetMode="External"/><Relationship Id="rId1516" Type="http://schemas.openxmlformats.org/officeDocument/2006/relationships/hyperlink" Target="https://www.adl.org/resources/backgrounder/militia-movement-2020" TargetMode="External"/><Relationship Id="rId15" Type="http://schemas.openxmlformats.org/officeDocument/2006/relationships/hyperlink" Target="https://www.adl.org/resources/backgrounder/incels-involuntary-celibates" TargetMode="External"/><Relationship Id="rId318" Type="http://schemas.openxmlformats.org/officeDocument/2006/relationships/hyperlink" Target="https://www.adl.org/resources/backgrounder/764" TargetMode="External"/><Relationship Id="rId525" Type="http://schemas.openxmlformats.org/officeDocument/2006/relationships/hyperlink" Target="https://notoleranceforantisemitism.adl.org/resources/backgrounder/atomwaffen-division-awd-national-socialist-order-nso" TargetMode="External"/><Relationship Id="rId732" Type="http://schemas.openxmlformats.org/officeDocument/2006/relationships/hyperlink" Target="https://www.adl.org/resources/hate-symbol/hsn" TargetMode="External"/><Relationship Id="rId1155" Type="http://schemas.openxmlformats.org/officeDocument/2006/relationships/hyperlink" Target="https://www.adl.org/resources/article/hostage-crisis-texas-highlights-decade-old-terror-case" TargetMode="External"/><Relationship Id="rId1362" Type="http://schemas.openxmlformats.org/officeDocument/2006/relationships/hyperlink" Target="https://www.adl.org/resources/hate-symbol/hammerskin-hand-sign" TargetMode="External"/><Relationship Id="rId99" Type="http://schemas.openxmlformats.org/officeDocument/2006/relationships/hyperlink" Target="https://www.adl.org/resources/hate-symbol/14" TargetMode="External"/><Relationship Id="rId164" Type="http://schemas.openxmlformats.org/officeDocument/2006/relationships/hyperlink" Target="https://www.adl.org/resources/backgrounder/qanon" TargetMode="External"/><Relationship Id="rId371" Type="http://schemas.openxmlformats.org/officeDocument/2006/relationships/hyperlink" Target="https://adl.org/resources/backgrounder/legion-saint-ambrose-losa" TargetMode="External"/><Relationship Id="rId1015" Type="http://schemas.openxmlformats.org/officeDocument/2006/relationships/hyperlink" Target="https://adl.org/resources/backgrounder/groyper-army-and-america-first" TargetMode="External"/><Relationship Id="rId1222" Type="http://schemas.openxmlformats.org/officeDocument/2006/relationships/hyperlink" Target="https://www.adl.org/resources/hate-symbol/war-arkansas-prison-gang" TargetMode="External"/><Relationship Id="rId469" Type="http://schemas.openxmlformats.org/officeDocument/2006/relationships/hyperlink" Target="https://adl.org/resources/backgrounder/militia-movement" TargetMode="External"/><Relationship Id="rId676" Type="http://schemas.openxmlformats.org/officeDocument/2006/relationships/hyperlink" Target="https://www.adl.org/resources/blog/white-supremacists-and-other-extremists-welcomed-cpac-2019" TargetMode="External"/><Relationship Id="rId883" Type="http://schemas.openxmlformats.org/officeDocument/2006/relationships/hyperlink" Target="https://www.adl.org/resources/hate-symbol/aryan-terror-brigade" TargetMode="External"/><Relationship Id="rId1099" Type="http://schemas.openxmlformats.org/officeDocument/2006/relationships/hyperlink" Target="https://www.adl.org/resources/article/racist-extremist-antisemitic-conspiracy-theories-surround-coronavirus-vaccine" TargetMode="External"/><Relationship Id="rId1527" Type="http://schemas.openxmlformats.org/officeDocument/2006/relationships/hyperlink" Target="https://www.adl.org/resources/news/911-anti-semitic-conspiracy-theories-still-abound" TargetMode="External"/><Relationship Id="rId26" Type="http://schemas.openxmlformats.org/officeDocument/2006/relationships/hyperlink" Target="https://www.adl.org/resources/backgrounder/incels-involuntary-celibates" TargetMode="External"/><Relationship Id="rId231" Type="http://schemas.openxmlformats.org/officeDocument/2006/relationships/hyperlink" Target="https://www.adl.org/resources/backgrounder/qanon" TargetMode="External"/><Relationship Id="rId329" Type="http://schemas.openxmlformats.org/officeDocument/2006/relationships/hyperlink" Target="https://www.adl.org/resources/backgrounder/militia-movement-2020" TargetMode="External"/><Relationship Id="rId536" Type="http://schemas.openxmlformats.org/officeDocument/2006/relationships/hyperlink" Target="https://www.adl.org/resources/article/samidoun-what-you-need-know" TargetMode="External"/><Relationship Id="rId1166" Type="http://schemas.openxmlformats.org/officeDocument/2006/relationships/hyperlink" Target="https://www.adl.org/resources/profile/creativity-movement-formerly-world-church-creator" TargetMode="External"/><Relationship Id="rId1373" Type="http://schemas.openxmlformats.org/officeDocument/2006/relationships/hyperlink" Target="https://www.adl.org/resources/hate-symbol/european-kindred" TargetMode="External"/><Relationship Id="rId175" Type="http://schemas.openxmlformats.org/officeDocument/2006/relationships/hyperlink" Target="https://www.adl.org/resources/backgrounder/qanon" TargetMode="External"/><Relationship Id="rId743" Type="http://schemas.openxmlformats.org/officeDocument/2006/relationships/hyperlink" Target="https://www.adl.org/resources/profile/hammerskin-nation" TargetMode="External"/><Relationship Id="rId950" Type="http://schemas.openxmlformats.org/officeDocument/2006/relationships/hyperlink" Target="https://www.adl.org/resources/article/white-supremacists-plan-rally-dayton-ohio" TargetMode="External"/><Relationship Id="rId1026" Type="http://schemas.openxmlformats.org/officeDocument/2006/relationships/hyperlink" Target="https://www.adl.org/resources/backgrounder/alt-right-alt-lite-naming-hate" TargetMode="External"/><Relationship Id="rId1580" Type="http://schemas.openxmlformats.org/officeDocument/2006/relationships/hyperlink" Target="https://www.adl.org/resources/blog/despite-youtube-policy-update-anti-semitic-white-supremacist-channels-remain" TargetMode="External"/><Relationship Id="rId382" Type="http://schemas.openxmlformats.org/officeDocument/2006/relationships/hyperlink" Target="https://www.adl.org/resources/backgrounder/alt-right-alt-lite-naming-hate" TargetMode="External"/><Relationship Id="rId603" Type="http://schemas.openxmlformats.org/officeDocument/2006/relationships/hyperlink" Target="https://www.adl.org/resources/hate-symbol/nazi-low-riders" TargetMode="External"/><Relationship Id="rId687" Type="http://schemas.openxmlformats.org/officeDocument/2006/relationships/hyperlink" Target="https://www.adl.org/resources/hate-symbol/kigy" TargetMode="External"/><Relationship Id="rId810" Type="http://schemas.openxmlformats.org/officeDocument/2006/relationships/hyperlink" Target="https://adl.org/resources/backgrounder/new-jersey-european-heritage-association-njeha" TargetMode="External"/><Relationship Id="rId908" Type="http://schemas.openxmlformats.org/officeDocument/2006/relationships/hyperlink" Target="https://extremismterms.adl.org/glossary/8kun" TargetMode="External"/><Relationship Id="rId1233" Type="http://schemas.openxmlformats.org/officeDocument/2006/relationships/hyperlink" Target="https://adl.org/resources/backgrounder/vanguard-america" TargetMode="External"/><Relationship Id="rId1440" Type="http://schemas.openxmlformats.org/officeDocument/2006/relationships/hyperlink" Target="https://extremismterms.adl.org/glossary/embassy-heaven" TargetMode="External"/><Relationship Id="rId1538" Type="http://schemas.openxmlformats.org/officeDocument/2006/relationships/hyperlink" Target="https://www.adl.org/resources/profile/nation-islam" TargetMode="External"/><Relationship Id="rId242" Type="http://schemas.openxmlformats.org/officeDocument/2006/relationships/hyperlink" Target="https://www.adl.org/resources/backgrounder/national-socialist-movement" TargetMode="External"/><Relationship Id="rId894" Type="http://schemas.openxmlformats.org/officeDocument/2006/relationships/hyperlink" Target="https://www.adl.org/resources/hate-symbol/acab" TargetMode="External"/><Relationship Id="rId1177" Type="http://schemas.openxmlformats.org/officeDocument/2006/relationships/hyperlink" Target="https://www.adl.org/resources/article/jewish-problem-conference-kentucky-brings-together-antisemites-extremists-across" TargetMode="External"/><Relationship Id="rId1300" Type="http://schemas.openxmlformats.org/officeDocument/2006/relationships/hyperlink" Target="https://www.adl.org/resources/report/when-women-are-enemy-intersection-misogyny-and-white-supremacy" TargetMode="External"/><Relationship Id="rId37" Type="http://schemas.openxmlformats.org/officeDocument/2006/relationships/hyperlink" Target="https://extremismterms.adl.org/glossary/base" TargetMode="External"/><Relationship Id="rId102" Type="http://schemas.openxmlformats.org/officeDocument/2006/relationships/hyperlink" Target="https://www.adl.org/resources/hate-symbol/9" TargetMode="External"/><Relationship Id="rId547" Type="http://schemas.openxmlformats.org/officeDocument/2006/relationships/hyperlink" Target="https://www.adl.org/resources/backgrounder/accelerationism" TargetMode="External"/><Relationship Id="rId754" Type="http://schemas.openxmlformats.org/officeDocument/2006/relationships/hyperlink" Target="https://www.adl.org/resources/article/raised-reich-white-supremacists-are-recruiting-teens-ground-action" TargetMode="External"/><Relationship Id="rId961" Type="http://schemas.openxmlformats.org/officeDocument/2006/relationships/hyperlink" Target="https://www.adl.org/resources/article/orlando-shooters-many-paths-violence" TargetMode="External"/><Relationship Id="rId1384" Type="http://schemas.openxmlformats.org/officeDocument/2006/relationships/hyperlink" Target="https://www.adl.org/resources/backgrounder/key-holocaust-denial-tropes" TargetMode="External"/><Relationship Id="rId90" Type="http://schemas.openxmlformats.org/officeDocument/2006/relationships/hyperlink" Target="https://extremismterms.adl.org/glossary/legion-saint-ambrose-losa" TargetMode="External"/><Relationship Id="rId186" Type="http://schemas.openxmlformats.org/officeDocument/2006/relationships/hyperlink" Target="https://www.adl.org/resources/hate-symbol/1423" TargetMode="External"/><Relationship Id="rId393" Type="http://schemas.openxmlformats.org/officeDocument/2006/relationships/hyperlink" Target="https://www.adl.org/resources/article/white-supremacist-propaganda-focused-jews-and-immigrants-2024" TargetMode="External"/><Relationship Id="rId407" Type="http://schemas.openxmlformats.org/officeDocument/2006/relationships/hyperlink" Target="https://www.adl.org/resources/backgrounder/loyal-white-knights-ku-klux-klan" TargetMode="External"/><Relationship Id="rId614" Type="http://schemas.openxmlformats.org/officeDocument/2006/relationships/hyperlink" Target="https://www.adl.org/resources/backgrounder/boogaloo-movement" TargetMode="External"/><Relationship Id="rId821" Type="http://schemas.openxmlformats.org/officeDocument/2006/relationships/hyperlink" Target="https://www.adl.org/resources/report/white-supremacist-prison-gangs-2022-assessment" TargetMode="External"/><Relationship Id="rId1037" Type="http://schemas.openxmlformats.org/officeDocument/2006/relationships/hyperlink" Target="https://www.adl.org/resources/hate-symbol/aryan-brotherhood-texas" TargetMode="External"/><Relationship Id="rId1244" Type="http://schemas.openxmlformats.org/officeDocument/2006/relationships/hyperlink" Target="https://www.adl.org/resources/hate-symbol/triskele" TargetMode="External"/><Relationship Id="rId1451" Type="http://schemas.openxmlformats.org/officeDocument/2006/relationships/hyperlink" Target="https://www.adl.org/resources/profile/national-alliance" TargetMode="External"/><Relationship Id="rId253" Type="http://schemas.openxmlformats.org/officeDocument/2006/relationships/hyperlink" Target="https://www.adl.org/resources/backgrounder/sovereign-citizen-movement-united-states" TargetMode="External"/><Relationship Id="rId460" Type="http://schemas.openxmlformats.org/officeDocument/2006/relationships/hyperlink" Target="https://www.adl.org/resources/report/ecoterrorism-extremism-animal-rights-and-environmentalist-movements" TargetMode="External"/><Relationship Id="rId698" Type="http://schemas.openxmlformats.org/officeDocument/2006/relationships/hyperlink" Target="https://www.adl.org/resources/backgrounder/alt-right-primer-new-white-supremacy" TargetMode="External"/><Relationship Id="rId919" Type="http://schemas.openxmlformats.org/officeDocument/2006/relationships/hyperlink" Target="https://www.adl.org/resources/report/hate-beyond-borders-internationalization-white-supremacy" TargetMode="External"/><Relationship Id="rId1090" Type="http://schemas.openxmlformats.org/officeDocument/2006/relationships/hyperlink" Target="https://www.adl.org/resources/backgrounder/sovereign-citizen-movement-united-states" TargetMode="External"/><Relationship Id="rId1104" Type="http://schemas.openxmlformats.org/officeDocument/2006/relationships/hyperlink" Target="https://www.adl.org/resources/backgrounder/incels-involuntary-celibates" TargetMode="External"/><Relationship Id="rId1311" Type="http://schemas.openxmlformats.org/officeDocument/2006/relationships/hyperlink" Target="https://la.adl.org/news/a-dark-chapter-of-hate-closes-notorious-racist-leader-tom-metzger-dead-at-82/" TargetMode="External"/><Relationship Id="rId1549" Type="http://schemas.openxmlformats.org/officeDocument/2006/relationships/hyperlink" Target="https://www.adl.org/resources/profile/nation-islam" TargetMode="External"/><Relationship Id="rId48" Type="http://schemas.openxmlformats.org/officeDocument/2006/relationships/hyperlink" Target="https://www.adl.org/resources/backgrounder/sovereign-citizen-movement-united-states" TargetMode="External"/><Relationship Id="rId113" Type="http://schemas.openxmlformats.org/officeDocument/2006/relationships/hyperlink" Target="https://www.adl.org/resources/hate-symbol/318" TargetMode="External"/><Relationship Id="rId320" Type="http://schemas.openxmlformats.org/officeDocument/2006/relationships/hyperlink" Target="https://www.adl.org/resources/backgrounder/764" TargetMode="External"/><Relationship Id="rId558" Type="http://schemas.openxmlformats.org/officeDocument/2006/relationships/hyperlink" Target="https://www.adl.org/resources/backgrounder/patriot-front" TargetMode="External"/><Relationship Id="rId765" Type="http://schemas.openxmlformats.org/officeDocument/2006/relationships/hyperlink" Target="https://www.adl.org/resources/hate-symbol/blood-drop-cross" TargetMode="External"/><Relationship Id="rId972" Type="http://schemas.openxmlformats.org/officeDocument/2006/relationships/hyperlink" Target="https://www.adl.org/resources/report/ecoterrorism-extremism-animal-rights-and-environmentalist-movements" TargetMode="External"/><Relationship Id="rId1188" Type="http://schemas.openxmlformats.org/officeDocument/2006/relationships/hyperlink" Target="https://www.adl.org/resources/hate-symbol/zyklon-b" TargetMode="External"/><Relationship Id="rId1395" Type="http://schemas.openxmlformats.org/officeDocument/2006/relationships/hyperlink" Target="https://www.adl.org/resources/article/bishop-richard-williamson-reiterates-holocaust-denial-and-anti-semitism" TargetMode="External"/><Relationship Id="rId1409" Type="http://schemas.openxmlformats.org/officeDocument/2006/relationships/hyperlink" Target="https://www.adl.org/resources/backgrounder/extremist-sects-within-black-hebrew-israelite-movement" TargetMode="External"/><Relationship Id="rId197" Type="http://schemas.openxmlformats.org/officeDocument/2006/relationships/hyperlink" Target="https://www.adl.org/resources/article/nicholas-j-fuentes-five-things-know" TargetMode="External"/><Relationship Id="rId418" Type="http://schemas.openxmlformats.org/officeDocument/2006/relationships/hyperlink" Target="https://www.adl.org/resources/backgrounder/accelerationism" TargetMode="External"/><Relationship Id="rId625" Type="http://schemas.openxmlformats.org/officeDocument/2006/relationships/hyperlink" Target="https://www.adl.org/resources/backgrounder/incels-involuntary-celibates" TargetMode="External"/><Relationship Id="rId832" Type="http://schemas.openxmlformats.org/officeDocument/2006/relationships/hyperlink" Target="https://www.adl.org/resources/article/coded-hate-extremists-weaponize-seemingly-innocuous-content-promote-bigotry" TargetMode="External"/><Relationship Id="rId1048" Type="http://schemas.openxmlformats.org/officeDocument/2006/relationships/hyperlink" Target="https://www.adl.org/resources/hate-symbol/aryan-nations" TargetMode="External"/><Relationship Id="rId1255" Type="http://schemas.openxmlformats.org/officeDocument/2006/relationships/hyperlink" Target="https://www.adl.org/resources/hate-symbol/anti-sharp-imagery" TargetMode="External"/><Relationship Id="rId1462" Type="http://schemas.openxmlformats.org/officeDocument/2006/relationships/hyperlink" Target="https://www.adl.org/resources/report/hate-keystone-state-extremism-antisemitism-pennsylvania" TargetMode="External"/><Relationship Id="rId264" Type="http://schemas.openxmlformats.org/officeDocument/2006/relationships/hyperlink" Target="https://www.adl.org/resources/backgrounder/sovereign-citizen-movement-united-states" TargetMode="External"/><Relationship Id="rId471" Type="http://schemas.openxmlformats.org/officeDocument/2006/relationships/hyperlink" Target="https://adl.org/resources/backgrounder/milo-yiannopoulos-five-things-know" TargetMode="External"/><Relationship Id="rId1115" Type="http://schemas.openxmlformats.org/officeDocument/2006/relationships/hyperlink" Target="https://www.adl.org/resources/news/david-lane-white-supremacist-terrorist-and-ideologue-dies-prison" TargetMode="External"/><Relationship Id="rId1322" Type="http://schemas.openxmlformats.org/officeDocument/2006/relationships/hyperlink" Target="https://www.adl.org/resources/hate-symbol/silent-aryan-warriors" TargetMode="External"/><Relationship Id="rId59" Type="http://schemas.openxmlformats.org/officeDocument/2006/relationships/hyperlink" Target="https://www.adl.org/resources/article/coded-hate-extremists-weaponize-seemingly-innocuous-content-promote-bigotry" TargetMode="External"/><Relationship Id="rId124" Type="http://schemas.openxmlformats.org/officeDocument/2006/relationships/hyperlink" Target="https://www.adl.org/resources/article/stew-peters-five-things-know" TargetMode="External"/><Relationship Id="rId569" Type="http://schemas.openxmlformats.org/officeDocument/2006/relationships/hyperlink" Target="https://www.adl.org/resources/hate-symbol/non-silba-sed-anthar" TargetMode="External"/><Relationship Id="rId776" Type="http://schemas.openxmlformats.org/officeDocument/2006/relationships/hyperlink" Target="https://extremismterms.adl.org/glossary/six-million-cookies" TargetMode="External"/><Relationship Id="rId983" Type="http://schemas.openxmlformats.org/officeDocument/2006/relationships/hyperlink" Target="https://www.adl.org/resources/article/online-harassment-extremists-ramp-trolling-doxxing-efforts" TargetMode="External"/><Relationship Id="rId1199" Type="http://schemas.openxmlformats.org/officeDocument/2006/relationships/hyperlink" Target="https://www.adl.org/resources/backgrounder/accelerationism" TargetMode="External"/><Relationship Id="rId331" Type="http://schemas.openxmlformats.org/officeDocument/2006/relationships/hyperlink" Target="https://www.adl.org/resources/hate-symbol/sadistic-souls" TargetMode="External"/><Relationship Id="rId429" Type="http://schemas.openxmlformats.org/officeDocument/2006/relationships/hyperlink" Target="https://www.adl.org/resources/backgrounder/patriot-front" TargetMode="External"/><Relationship Id="rId636" Type="http://schemas.openxmlformats.org/officeDocument/2006/relationships/hyperlink" Target="https://www.adl.org/resources/backgrounder/alt-right-alt-lite-naming-hate" TargetMode="External"/><Relationship Id="rId1059" Type="http://schemas.openxmlformats.org/officeDocument/2006/relationships/hyperlink" Target="https://www.adl.org/resources/backgrounder/boogaloo-movement" TargetMode="External"/><Relationship Id="rId1266" Type="http://schemas.openxmlformats.org/officeDocument/2006/relationships/hyperlink" Target="https://www.adl.org/resources/backgrounder/qanon" TargetMode="External"/><Relationship Id="rId1473" Type="http://schemas.openxmlformats.org/officeDocument/2006/relationships/hyperlink" Target="https://www.adl.org/resources/article/deadly-shooting-california-chabad-highlights-threat-jewish-houses-worship" TargetMode="External"/><Relationship Id="rId843" Type="http://schemas.openxmlformats.org/officeDocument/2006/relationships/hyperlink" Target="https://adl.org/resources/backgrounder/christian-identity-movement" TargetMode="External"/><Relationship Id="rId1126" Type="http://schemas.openxmlformats.org/officeDocument/2006/relationships/hyperlink" Target="https://notoleranceforantisemitism.adl.org/resources/hate-symbol/aryan-nations-hand-sign-tennessee-prison-gang" TargetMode="External"/><Relationship Id="rId275" Type="http://schemas.openxmlformats.org/officeDocument/2006/relationships/hyperlink" Target="https://www.adl.org/resources/hate-symbol/wp" TargetMode="External"/><Relationship Id="rId482" Type="http://schemas.openxmlformats.org/officeDocument/2006/relationships/hyperlink" Target="https://www.adl.org/resources/news/selected-incidents-lone-wolf-violence-and-terrorism-us" TargetMode="External"/><Relationship Id="rId703" Type="http://schemas.openxmlformats.org/officeDocument/2006/relationships/hyperlink" Target="https://www.adl.org/resources/hate-symbol/you-will-not-replace-us" TargetMode="External"/><Relationship Id="rId910" Type="http://schemas.openxmlformats.org/officeDocument/2006/relationships/hyperlink" Target="https://www.adl.org/resources/hate-symbol/anudda-shoah" TargetMode="External"/><Relationship Id="rId1333" Type="http://schemas.openxmlformats.org/officeDocument/2006/relationships/hyperlink" Target="https://www.adl.org/resources/hate-symbol/sacred-separatist-group" TargetMode="External"/><Relationship Id="rId1540" Type="http://schemas.openxmlformats.org/officeDocument/2006/relationships/hyperlink" Target="https://www.adl.org/resources/report/antisemitic-conspiracies-about-911-endure-20-years-later" TargetMode="External"/><Relationship Id="rId135" Type="http://schemas.openxmlformats.org/officeDocument/2006/relationships/hyperlink" Target="https://www.adl.org/resources/backgrounder/accelerationism" TargetMode="External"/><Relationship Id="rId342" Type="http://schemas.openxmlformats.org/officeDocument/2006/relationships/hyperlink" Target="https://www.adl.org/resources/hate-symbol/311" TargetMode="External"/><Relationship Id="rId787" Type="http://schemas.openxmlformats.org/officeDocument/2006/relationships/hyperlink" Target="https://www.adl.org/resources/hate-symbol/national-rebirth-poland" TargetMode="External"/><Relationship Id="rId994" Type="http://schemas.openxmlformats.org/officeDocument/2006/relationships/hyperlink" Target="https://www.adl.org/resources/article/deadly-shooting-pittsburgh-synagogue" TargetMode="External"/><Relationship Id="rId1400" Type="http://schemas.openxmlformats.org/officeDocument/2006/relationships/hyperlink" Target="https://www.adl.org/resources/profile/nation-islam" TargetMode="External"/><Relationship Id="rId202" Type="http://schemas.openxmlformats.org/officeDocument/2006/relationships/hyperlink" Target="https://www.adl.org/resources/article/michelle-malkin-attempting-normalize-white-supremacy" TargetMode="External"/><Relationship Id="rId647" Type="http://schemas.openxmlformats.org/officeDocument/2006/relationships/hyperlink" Target="https://www.adl.org/resources/backgrounder/incels-involuntary-celibates" TargetMode="External"/><Relationship Id="rId854" Type="http://schemas.openxmlformats.org/officeDocument/2006/relationships/hyperlink" Target="https://www.adl.org/resources/news/significance-oklahoma-city-bombing" TargetMode="External"/><Relationship Id="rId1277" Type="http://schemas.openxmlformats.org/officeDocument/2006/relationships/hyperlink" Target="https://www.adl.org/resources/backgrounder/qanon" TargetMode="External"/><Relationship Id="rId1484" Type="http://schemas.openxmlformats.org/officeDocument/2006/relationships/hyperlink" Target="https://www.adl.org/resources/report/hate-beyond-borders-internationalization-white-supremacy" TargetMode="External"/><Relationship Id="rId286" Type="http://schemas.openxmlformats.org/officeDocument/2006/relationships/hyperlink" Target="https://www.adl.org/resources/article/summer-hate-white-supremacist-activity-memorial-labor-day" TargetMode="External"/><Relationship Id="rId493" Type="http://schemas.openxmlformats.org/officeDocument/2006/relationships/hyperlink" Target="https://www.adl.org/resources/backgrounder/goyim-defense-league" TargetMode="External"/><Relationship Id="rId507" Type="http://schemas.openxmlformats.org/officeDocument/2006/relationships/hyperlink" Target="https://www.adl.org/resources/hate-symbol/pepe-frog" TargetMode="External"/><Relationship Id="rId714" Type="http://schemas.openxmlformats.org/officeDocument/2006/relationships/hyperlink" Target="https://www.adl.org/resources/hate-symbol/american-identity-movement-aim" TargetMode="External"/><Relationship Id="rId921" Type="http://schemas.openxmlformats.org/officeDocument/2006/relationships/hyperlink" Target="https://www.adl.org/resources/article/parler-users-prepare-site-shutdown-conspiracy-theories-threats" TargetMode="External"/><Relationship Id="rId1137" Type="http://schemas.openxmlformats.org/officeDocument/2006/relationships/hyperlink" Target="https://www.adl.org/resources/news/20-years-later-shadows-ruby-ridge-standoff-still-linger" TargetMode="External"/><Relationship Id="rId1344" Type="http://schemas.openxmlformats.org/officeDocument/2006/relationships/hyperlink" Target="https://www.adl.org/resources/article/virginia-man-links-neo-nazis-arrested-international-swatting-case" TargetMode="External"/><Relationship Id="rId1551" Type="http://schemas.openxmlformats.org/officeDocument/2006/relationships/hyperlink" Target="https://www.adl.org/resources/backgrounder/extremist-sects-within-black-hebrew-israelite-movement" TargetMode="External"/><Relationship Id="rId50" Type="http://schemas.openxmlformats.org/officeDocument/2006/relationships/hyperlink" Target="https://www.adl.org/resources/article/israel-hamas-ceasefire-sparks-fresh-wave-antisemitism-support-terror-us-anti" TargetMode="External"/><Relationship Id="rId146" Type="http://schemas.openxmlformats.org/officeDocument/2006/relationships/hyperlink" Target="https://www.adl.org/resources/article/ye-right-antisemitic-campaign-continues" TargetMode="External"/><Relationship Id="rId353" Type="http://schemas.openxmlformats.org/officeDocument/2006/relationships/hyperlink" Target="https://www.adl.org/resources/backgrounder/alt-right-alt-lite-naming-hate" TargetMode="External"/><Relationship Id="rId560" Type="http://schemas.openxmlformats.org/officeDocument/2006/relationships/hyperlink" Target="https://www.adl.org/resources/blog/buffalo-shooters-manifesto-promotes-great-replacement-theory-antisemitism-and-previous-mass-shooters" TargetMode="External"/><Relationship Id="rId798" Type="http://schemas.openxmlformats.org/officeDocument/2006/relationships/hyperlink" Target="https://www.adl.org/resources/hate-symbol/nazi-low-riders" TargetMode="External"/><Relationship Id="rId1190" Type="http://schemas.openxmlformats.org/officeDocument/2006/relationships/hyperlink" Target="https://www.adl.org/resources/hate-symbol/zog" TargetMode="External"/><Relationship Id="rId1204" Type="http://schemas.openxmlformats.org/officeDocument/2006/relationships/hyperlink" Target="https://www.adl.org/resources/article/unite-right-four-years-later-major-players-still-grappling-fallout" TargetMode="External"/><Relationship Id="rId1411" Type="http://schemas.openxmlformats.org/officeDocument/2006/relationships/hyperlink" Target="https://www.adl.org/resources/profile/nation-islam" TargetMode="External"/><Relationship Id="rId213" Type="http://schemas.openxmlformats.org/officeDocument/2006/relationships/hyperlink" Target="https://www.adl.org/resources/backgrounder/qanon" TargetMode="External"/><Relationship Id="rId420" Type="http://schemas.openxmlformats.org/officeDocument/2006/relationships/hyperlink" Target="https://www.adl.org/resources/news/flood-racist-fliers-masks-shrinking-klan-membership" TargetMode="External"/><Relationship Id="rId658" Type="http://schemas.openxmlformats.org/officeDocument/2006/relationships/hyperlink" Target="https://www.adl.org/resources/backgrounder/sovereign-citizen-movement-united-states" TargetMode="External"/><Relationship Id="rId865" Type="http://schemas.openxmlformats.org/officeDocument/2006/relationships/hyperlink" Target="https://www.adl.org/resources/hate-symbol/bound-glory" TargetMode="External"/><Relationship Id="rId1050" Type="http://schemas.openxmlformats.org/officeDocument/2006/relationships/hyperlink" Target="https://www.adl.org/resources/hate-symbol/aryan-terror-brigade" TargetMode="External"/><Relationship Id="rId1288" Type="http://schemas.openxmlformats.org/officeDocument/2006/relationships/hyperlink" Target="https://atlanta.adl.org/news/adl-strongly-concerned-by-jailers-ties-to-white-supremacy/" TargetMode="External"/><Relationship Id="rId1495" Type="http://schemas.openxmlformats.org/officeDocument/2006/relationships/hyperlink" Target="https://www.adl.org/resources/backgrounder/sovereign-citizen-movement-united-states" TargetMode="External"/><Relationship Id="rId1509" Type="http://schemas.openxmlformats.org/officeDocument/2006/relationships/hyperlink" Target="https://adl.org/resources/backgrounder/sovereign-citizen-movement-united-states" TargetMode="External"/><Relationship Id="rId297" Type="http://schemas.openxmlformats.org/officeDocument/2006/relationships/hyperlink" Target="https://www.adl.org/resources/backgrounder/alt-right-alt-lite-naming-hate" TargetMode="External"/><Relationship Id="rId518" Type="http://schemas.openxmlformats.org/officeDocument/2006/relationships/hyperlink" Target="https://adl.org/resources/backgrounder/national-socialist-movement" TargetMode="External"/><Relationship Id="rId725" Type="http://schemas.openxmlformats.org/officeDocument/2006/relationships/hyperlink" Target="https://www.adl.org/resources/profile/identity-evropaamerican-identity-movement" TargetMode="External"/><Relationship Id="rId932" Type="http://schemas.openxmlformats.org/officeDocument/2006/relationships/hyperlink" Target="https://www.adl.org/resources/backgrounder/qanon" TargetMode="External"/><Relationship Id="rId1148" Type="http://schemas.openxmlformats.org/officeDocument/2006/relationships/hyperlink" Target="https://www.adl.org/resources/news/2015-begins-heinous-anti-semitic-attack" TargetMode="External"/><Relationship Id="rId1355" Type="http://schemas.openxmlformats.org/officeDocument/2006/relationships/hyperlink" Target="https://www.adl.org/resources/hate-symbol/indiana-aryan-brotherhood" TargetMode="External"/><Relationship Id="rId1562" Type="http://schemas.openxmlformats.org/officeDocument/2006/relationships/hyperlink" Target="https://www.adl.org/resources/report/qanons-antisemitism-and-what-comes-next" TargetMode="External"/><Relationship Id="rId157" Type="http://schemas.openxmlformats.org/officeDocument/2006/relationships/hyperlink" Target="https://www.adl.org/resources/backgrounder/qanon" TargetMode="External"/><Relationship Id="rId364" Type="http://schemas.openxmlformats.org/officeDocument/2006/relationships/hyperlink" Target="https://adl.org/resources/backgrounder/league-south-los" TargetMode="External"/><Relationship Id="rId1008" Type="http://schemas.openxmlformats.org/officeDocument/2006/relationships/hyperlink" Target="https://www.adl.org/resources/hate-symbol/akia" TargetMode="External"/><Relationship Id="rId1215" Type="http://schemas.openxmlformats.org/officeDocument/2006/relationships/hyperlink" Target="https://www.adl.org/resources/report/new-hate-and-old-changing-face-american-white-supremacy" TargetMode="External"/><Relationship Id="rId1422" Type="http://schemas.openxmlformats.org/officeDocument/2006/relationships/hyperlink" Target="https://www.adl.org/resources/backgrounder/christian-identity-movement" TargetMode="External"/><Relationship Id="rId61" Type="http://schemas.openxmlformats.org/officeDocument/2006/relationships/hyperlink" Target="https://www.adl.org/resources/article/coded-hate-extremists-weaponize-seemingly-innocuous-content-promote-bigotry" TargetMode="External"/><Relationship Id="rId571" Type="http://schemas.openxmlformats.org/officeDocument/2006/relationships/hyperlink" Target="https://www.adl.org/resources/article/deadly-shooting-pittsburgh-synagogue" TargetMode="External"/><Relationship Id="rId669" Type="http://schemas.openxmlformats.org/officeDocument/2006/relationships/hyperlink" Target="https://www.adl.org/resources/backgrounder/incels-involuntary-celibates" TargetMode="External"/><Relationship Id="rId876" Type="http://schemas.openxmlformats.org/officeDocument/2006/relationships/hyperlink" Target="https://atlanta.adl.org/news/adl-strongly-concerned-by-jailers-ties-to-white-supremacy/" TargetMode="External"/><Relationship Id="rId1299" Type="http://schemas.openxmlformats.org/officeDocument/2006/relationships/hyperlink" Target="https://www.adl.org/resources/article/mens-rights-activists-what-you-need-know" TargetMode="External"/><Relationship Id="rId19" Type="http://schemas.openxmlformats.org/officeDocument/2006/relationships/hyperlink" Target="https://extremismterms.adl.org/glossary/white-lives-matter" TargetMode="External"/><Relationship Id="rId224" Type="http://schemas.openxmlformats.org/officeDocument/2006/relationships/hyperlink" Target="https://www.adl.org/resources/backgrounder/qanon" TargetMode="External"/><Relationship Id="rId431" Type="http://schemas.openxmlformats.org/officeDocument/2006/relationships/hyperlink" Target="https://www.adl.org/resources/article/twenty-five-years-later-oklahoma-city-bombing-inspires-new-generation-extremists" TargetMode="External"/><Relationship Id="rId529" Type="http://schemas.openxmlformats.org/officeDocument/2006/relationships/hyperlink" Target="https://www.adl.org/resources/hate-symbol/okay-hand-gesture" TargetMode="External"/><Relationship Id="rId736" Type="http://schemas.openxmlformats.org/officeDocument/2006/relationships/hyperlink" Target="https://www.adl.org/resources/article/white-supremacist-propaganda-focused-jews-and-immigrants-2024" TargetMode="External"/><Relationship Id="rId1061" Type="http://schemas.openxmlformats.org/officeDocument/2006/relationships/hyperlink" Target="https://adl.org/resources/backgrounder/black-hebrew-israelites" TargetMode="External"/><Relationship Id="rId1159" Type="http://schemas.openxmlformats.org/officeDocument/2006/relationships/hyperlink" Target="https://www.adl.org/resources/report/constitutional-sheriffs-and-peace-officers-association-cspoa-and-richard-mack-how" TargetMode="External"/><Relationship Id="rId1366" Type="http://schemas.openxmlformats.org/officeDocument/2006/relationships/hyperlink" Target="https://www.adl.org/resources/blog/al-qaeda-supporters-advocate-lone-actor-attacks-west,,,,,%20https:/www.adl.org/resources/blog/al-qaeda-supporters-advocate-lone-actor-attacks-west" TargetMode="External"/><Relationship Id="rId168" Type="http://schemas.openxmlformats.org/officeDocument/2006/relationships/hyperlink" Target="https://www.adl.org/resources/hate-symbol/1352-1390" TargetMode="External"/><Relationship Id="rId943" Type="http://schemas.openxmlformats.org/officeDocument/2006/relationships/hyperlink" Target="https://www.adl.org/resources/article/while-vying-attention-small-california-klan-encounters-conflict" TargetMode="External"/><Relationship Id="rId1019" Type="http://schemas.openxmlformats.org/officeDocument/2006/relationships/hyperlink" Target="https://www.adl.org/resources/backgrounder/american-blackshirts-movement-abm" TargetMode="External"/><Relationship Id="rId1573" Type="http://schemas.openxmlformats.org/officeDocument/2006/relationships/hyperlink" Target="https://www.adl.org/resources/backgrounder/e-michael-jones" TargetMode="External"/><Relationship Id="rId72" Type="http://schemas.openxmlformats.org/officeDocument/2006/relationships/hyperlink" Target="https://www.adl.org/resources/report/antisemitic-conspiracies-about-911-endure-20-years-later" TargetMode="External"/><Relationship Id="rId375" Type="http://schemas.openxmlformats.org/officeDocument/2006/relationships/hyperlink" Target="https://adl.org/resources/backgrounder/traditionalist-worker-party-twp" TargetMode="External"/><Relationship Id="rId582" Type="http://schemas.openxmlformats.org/officeDocument/2006/relationships/hyperlink" Target="https://www.adl.org/resources/backgrounder/proud-boys" TargetMode="External"/><Relationship Id="rId803" Type="http://schemas.openxmlformats.org/officeDocument/2006/relationships/hyperlink" Target="https://www.adl.org/resources/news/jared-taylor-academic-racist" TargetMode="External"/><Relationship Id="rId1226" Type="http://schemas.openxmlformats.org/officeDocument/2006/relationships/hyperlink" Target="https://www.adl.org/resources/backgrounder/sovereign-citizen-movement-united-states" TargetMode="External"/><Relationship Id="rId1433" Type="http://schemas.openxmlformats.org/officeDocument/2006/relationships/hyperlink" Target="https://www.adl.org/resources/hate-symbol/zyklon-b" TargetMode="External"/><Relationship Id="rId3" Type="http://schemas.openxmlformats.org/officeDocument/2006/relationships/hyperlink" Target="https://www.adl.org/resources/report/hate-cascade-states-extremism-antisemitism-oregon-washington" TargetMode="External"/><Relationship Id="rId235" Type="http://schemas.openxmlformats.org/officeDocument/2006/relationships/hyperlink" Target="https://www.adl.org/resources/backgrounder/sovereign-citizen-movement-united-states" TargetMode="External"/><Relationship Id="rId442" Type="http://schemas.openxmlformats.org/officeDocument/2006/relationships/hyperlink" Target="https://www.adl.org/resources/hate-symbol/sturmabteilung" TargetMode="External"/><Relationship Id="rId887" Type="http://schemas.openxmlformats.org/officeDocument/2006/relationships/hyperlink" Target="https://www.adl.org/resources/article/parler-users-prepare-site-shutdown-conspiracy-theories-threats" TargetMode="External"/><Relationship Id="rId1072" Type="http://schemas.openxmlformats.org/officeDocument/2006/relationships/hyperlink" Target="https://adl.org/resources/backgrounder/boogaloo-movement" TargetMode="External"/><Relationship Id="rId1500" Type="http://schemas.openxmlformats.org/officeDocument/2006/relationships/hyperlink" Target="https://www.adl.org/resources/profile/identity-evropaamerican-identity-movement" TargetMode="External"/><Relationship Id="rId302" Type="http://schemas.openxmlformats.org/officeDocument/2006/relationships/hyperlink" Target="https://www.adl.org/resources/hate-symbol/83" TargetMode="External"/><Relationship Id="rId747" Type="http://schemas.openxmlformats.org/officeDocument/2006/relationships/hyperlink" Target="https://www.adl.org/resources/hate-symbol/kigy" TargetMode="External"/><Relationship Id="rId954" Type="http://schemas.openxmlformats.org/officeDocument/2006/relationships/hyperlink" Target="https://www.adl.org/resources/hate-symbols/search" TargetMode="External"/><Relationship Id="rId1377" Type="http://schemas.openxmlformats.org/officeDocument/2006/relationships/hyperlink" Target="https://www.adl.org/resources/hate-symbol/tyr-rune" TargetMode="External"/><Relationship Id="rId1584" Type="http://schemas.openxmlformats.org/officeDocument/2006/relationships/comments" Target="../comments1.xml"/><Relationship Id="rId83" Type="http://schemas.openxmlformats.org/officeDocument/2006/relationships/hyperlink" Target="https://extremismterms.adl.org/glossary/national-socialist-front-nsf" TargetMode="External"/><Relationship Id="rId179" Type="http://schemas.openxmlformats.org/officeDocument/2006/relationships/hyperlink" Target="https://www.adl.org/resources/backgrounder/proud-boys" TargetMode="External"/><Relationship Id="rId386" Type="http://schemas.openxmlformats.org/officeDocument/2006/relationships/hyperlink" Target="https://www.adl.org/resources/hate-symbol/unforgiven" TargetMode="External"/><Relationship Id="rId593" Type="http://schemas.openxmlformats.org/officeDocument/2006/relationships/hyperlink" Target="https://www.adl.org/resources/backgrounder/qanon" TargetMode="External"/><Relationship Id="rId607" Type="http://schemas.openxmlformats.org/officeDocument/2006/relationships/hyperlink" Target="https://www.adl.org/resources/profile/alison-weir" TargetMode="External"/><Relationship Id="rId814" Type="http://schemas.openxmlformats.org/officeDocument/2006/relationships/hyperlink" Target="https://www.adl.org/resources/hate-symbol/non-silba-sed-anthar" TargetMode="External"/><Relationship Id="rId1237" Type="http://schemas.openxmlformats.org/officeDocument/2006/relationships/hyperlink" Target="https://www.adl.org/resources/hate-symbol/universal-aryan-brotherhood" TargetMode="External"/><Relationship Id="rId1444" Type="http://schemas.openxmlformats.org/officeDocument/2006/relationships/hyperlink" Target="https://www.adl.org/resources/article/hebrews-negroes-what-you-need-know" TargetMode="External"/><Relationship Id="rId246" Type="http://schemas.openxmlformats.org/officeDocument/2006/relationships/hyperlink" Target="https://www.adl.org/resources/backgrounder/national-socialist-movement" TargetMode="External"/><Relationship Id="rId453" Type="http://schemas.openxmlformats.org/officeDocument/2006/relationships/hyperlink" Target="https://www.adl.org/resources/hate-symbol/ss-hand-sign" TargetMode="External"/><Relationship Id="rId660" Type="http://schemas.openxmlformats.org/officeDocument/2006/relationships/hyperlink" Target="https://www.adl.org/resources/article/how-antisemites-extremists-and-conspiracy-theorists-are-exploiting-anti-vax" TargetMode="External"/><Relationship Id="rId898" Type="http://schemas.openxmlformats.org/officeDocument/2006/relationships/hyperlink" Target="https://sanfrancisco.adl.org/news/holocaust-denier-john-fitzgerald-on-ballot-for-east-bay-house-seat/" TargetMode="External"/><Relationship Id="rId1083" Type="http://schemas.openxmlformats.org/officeDocument/2006/relationships/hyperlink" Target="https://www.adl.org/resources/backgrounder/incels-involuntary-celibates" TargetMode="External"/><Relationship Id="rId1290" Type="http://schemas.openxmlformats.org/officeDocument/2006/relationships/hyperlink" Target="https://www.adl.org/resources/hate-symbol/swastika" TargetMode="External"/><Relationship Id="rId1304" Type="http://schemas.openxmlformats.org/officeDocument/2006/relationships/hyperlink" Target="https://www.adl.org/resources/hate-symbol/ss-bolts" TargetMode="External"/><Relationship Id="rId1511" Type="http://schemas.openxmlformats.org/officeDocument/2006/relationships/hyperlink" Target="https://www.adl.org/resources/article/bishop-richard-williamson-reiterates-holocaust-denial-and-anti-semitism" TargetMode="External"/><Relationship Id="rId106" Type="http://schemas.openxmlformats.org/officeDocument/2006/relationships/hyperlink" Target="https://www.adl.org/resources/backgrounder/three-percenters" TargetMode="External"/><Relationship Id="rId313" Type="http://schemas.openxmlformats.org/officeDocument/2006/relationships/hyperlink" Target="https://www.adl.org/resources/news/westboro-baptist-church-legacy-hate" TargetMode="External"/><Relationship Id="rId758" Type="http://schemas.openxmlformats.org/officeDocument/2006/relationships/hyperlink" Target="https://www.adl.org/resources/hate-symbol/lotie" TargetMode="External"/><Relationship Id="rId965" Type="http://schemas.openxmlformats.org/officeDocument/2006/relationships/hyperlink" Target="https://www.adl.org/resources/article/some-us-anti-israel-activists-express-support-terrorist-activity" TargetMode="External"/><Relationship Id="rId1150" Type="http://schemas.openxmlformats.org/officeDocument/2006/relationships/hyperlink" Target="https://www.adl.org/resources/backgrounder/blood-tribe" TargetMode="External"/><Relationship Id="rId1388" Type="http://schemas.openxmlformats.org/officeDocument/2006/relationships/hyperlink" Target="https://www.adl.org/resources/report/false-flag-narratives-emerge-reddit-after-dc-boulder-attacks" TargetMode="External"/><Relationship Id="rId10" Type="http://schemas.openxmlformats.org/officeDocument/2006/relationships/hyperlink" Target="https://extremismterms.adl.org/glossary/white-nationalism" TargetMode="External"/><Relationship Id="rId94" Type="http://schemas.openxmlformats.org/officeDocument/2006/relationships/hyperlink" Target="https://www.adl.org/resources/backgrounder/boogaloo-movement" TargetMode="External"/><Relationship Id="rId397" Type="http://schemas.openxmlformats.org/officeDocument/2006/relationships/hyperlink" Target="https://www.adl.org/resources/hate-symbol/triangular-klan-symbol" TargetMode="External"/><Relationship Id="rId520" Type="http://schemas.openxmlformats.org/officeDocument/2006/relationships/hyperlink" Target="https://adl.org/resources/backgrounder/atomwaffen-division-awd-national-socialist-order-nso" TargetMode="External"/><Relationship Id="rId618" Type="http://schemas.openxmlformats.org/officeDocument/2006/relationships/hyperlink" Target="https://www.adl.org/resources/backgrounder/proud-boys" TargetMode="External"/><Relationship Id="rId825" Type="http://schemas.openxmlformats.org/officeDocument/2006/relationships/hyperlink" Target="https://www.adl.org/resources/backgrounder/legion-saint-ambrose-losa" TargetMode="External"/><Relationship Id="rId1248" Type="http://schemas.openxmlformats.org/officeDocument/2006/relationships/hyperlink" Target="https://www.adl.org/resources/backgrounder/sovereign-citizen-movement-united-states" TargetMode="External"/><Relationship Id="rId1455" Type="http://schemas.openxmlformats.org/officeDocument/2006/relationships/hyperlink" Target="https://www.adl.org/resources/report/hate-beyond-borders-internationalization-white-supremacy" TargetMode="External"/><Relationship Id="rId257" Type="http://schemas.openxmlformats.org/officeDocument/2006/relationships/hyperlink" Target="https://www.adl.org/resources/hate-symbol/13" TargetMode="External"/><Relationship Id="rId464" Type="http://schemas.openxmlformats.org/officeDocument/2006/relationships/hyperlink" Target="https://www.adl.org/resources/backgrounder/militia-movement-2020" TargetMode="External"/><Relationship Id="rId1010" Type="http://schemas.openxmlformats.org/officeDocument/2006/relationships/hyperlink" Target="https://adl.org/resources/backgrounder/alex-jones-five-things-know" TargetMode="External"/><Relationship Id="rId1094" Type="http://schemas.openxmlformats.org/officeDocument/2006/relationships/hyperlink" Target="https://www.adl.org/resources/hate-symbol/crew-1488" TargetMode="External"/><Relationship Id="rId1108" Type="http://schemas.openxmlformats.org/officeDocument/2006/relationships/hyperlink" Target="https://www.adl.org/resources/profile/nation-islam" TargetMode="External"/><Relationship Id="rId1315" Type="http://schemas.openxmlformats.org/officeDocument/2006/relationships/hyperlink" Target="https://www.adl.org/resources/article/untangling-false-claims-about-ashkenazi-jews-khazars-and-israel" TargetMode="External"/><Relationship Id="rId117" Type="http://schemas.openxmlformats.org/officeDocument/2006/relationships/hyperlink" Target="https://www.adl.org/resources/backgrounder/sovereign-citizen-movement-united-states" TargetMode="External"/><Relationship Id="rId671" Type="http://schemas.openxmlformats.org/officeDocument/2006/relationships/hyperlink" Target="https://adl.org/resources/backgrounder/incels-involuntary-celibates" TargetMode="External"/><Relationship Id="rId769" Type="http://schemas.openxmlformats.org/officeDocument/2006/relationships/hyperlink" Target="https://extremismterms.adl.org/glossary/18" TargetMode="External"/><Relationship Id="rId976" Type="http://schemas.openxmlformats.org/officeDocument/2006/relationships/hyperlink" Target="https://www.adl.org/resources/news/david-lane-white-supremacist-terrorist-and-ideologue-dies-prison" TargetMode="External"/><Relationship Id="rId1399" Type="http://schemas.openxmlformats.org/officeDocument/2006/relationships/hyperlink" Target="https://www.adl.org/resources/profile/nation-islam" TargetMode="External"/><Relationship Id="rId324" Type="http://schemas.openxmlformats.org/officeDocument/2006/relationships/hyperlink" Target="https://www.adl.org/resources/backgrounder/764" TargetMode="External"/><Relationship Id="rId531" Type="http://schemas.openxmlformats.org/officeDocument/2006/relationships/hyperlink" Target="https://www.adl.org/resources/report/new-hate-and-old-changing-face-american-white-supremacy" TargetMode="External"/><Relationship Id="rId629" Type="http://schemas.openxmlformats.org/officeDocument/2006/relationships/hyperlink" Target="https://adl.org/resources/backgrounder/feuerkrieg-division-fkd" TargetMode="External"/><Relationship Id="rId1161" Type="http://schemas.openxmlformats.org/officeDocument/2006/relationships/hyperlink" Target="https://www.adl.org/resources/backgrounder/legion-saint-ambrose-losa" TargetMode="External"/><Relationship Id="rId1259" Type="http://schemas.openxmlformats.org/officeDocument/2006/relationships/hyperlink" Target="https://www.adl.org/resources/article/how-antisemites-extremists-and-conspiracy-theorists-are-exploiting-anti-vax" TargetMode="External"/><Relationship Id="rId1466" Type="http://schemas.openxmlformats.org/officeDocument/2006/relationships/hyperlink" Target="https://www.adl.org/resources/article/white-supremacist-propaganda-focused-jews-and-immigrants-2024" TargetMode="External"/><Relationship Id="rId836" Type="http://schemas.openxmlformats.org/officeDocument/2006/relationships/hyperlink" Target="https://www.adl.org/resources/news/extremism-america-louis-beam" TargetMode="External"/><Relationship Id="rId1021" Type="http://schemas.openxmlformats.org/officeDocument/2006/relationships/hyperlink" Target="https://www.adl.org/resources/article/behind-american-guard-hardcore-white-supremacists" TargetMode="External"/><Relationship Id="rId1119" Type="http://schemas.openxmlformats.org/officeDocument/2006/relationships/hyperlink" Target="https://www.adl.org/resources/backgrounder/abbas-hamideh" TargetMode="External"/><Relationship Id="rId903" Type="http://schemas.openxmlformats.org/officeDocument/2006/relationships/hyperlink" Target="https://www.adl.org/resources/hate-symbol/aryan-circle-hand-sign" TargetMode="External"/><Relationship Id="rId1326" Type="http://schemas.openxmlformats.org/officeDocument/2006/relationships/hyperlink" Target="https://www.adl.org/resources/hate-symbol/sieg-heil" TargetMode="External"/><Relationship Id="rId1533" Type="http://schemas.openxmlformats.org/officeDocument/2006/relationships/hyperlink" Target="https://www.adl.org/resources/backgrounder/short-history-holocaust-denial-united-states" TargetMode="External"/><Relationship Id="rId32" Type="http://schemas.openxmlformats.org/officeDocument/2006/relationships/hyperlink" Target="https://www.adl.org/resources/report/hate-no-game-hate-and-harassment-online-games-2023" TargetMode="External"/><Relationship Id="rId181" Type="http://schemas.openxmlformats.org/officeDocument/2006/relationships/hyperlink" Target="https://www.adl.org/resources/backgrounder/national-socialist-movement" TargetMode="External"/><Relationship Id="rId279" Type="http://schemas.openxmlformats.org/officeDocument/2006/relationships/hyperlink" Target="https://www.adl.org/resources/backgrounder/sovereign-citizen-movement-united-states" TargetMode="External"/><Relationship Id="rId486" Type="http://schemas.openxmlformats.org/officeDocument/2006/relationships/hyperlink" Target="https://www.adl.org/resources/hate-symbol/order" TargetMode="External"/><Relationship Id="rId693" Type="http://schemas.openxmlformats.org/officeDocument/2006/relationships/hyperlink" Target="https://www.adl.org/resources/backgrounder/qanon" TargetMode="External"/><Relationship Id="rId139" Type="http://schemas.openxmlformats.org/officeDocument/2006/relationships/hyperlink" Target="https://www.adl.org/resources/profile/nation-islam" TargetMode="External"/><Relationship Id="rId346" Type="http://schemas.openxmlformats.org/officeDocument/2006/relationships/hyperlink" Target="https://www.adl.org/resources/article/white-supremacist-terrorist-attack-mosques-new-zealand" TargetMode="External"/><Relationship Id="rId553" Type="http://schemas.openxmlformats.org/officeDocument/2006/relationships/hyperlink" Target="https://adl.org/resources/backgrounder/palestinian-islamic-jihad" TargetMode="External"/><Relationship Id="rId760" Type="http://schemas.openxmlformats.org/officeDocument/2006/relationships/hyperlink" Target="https://www.adl.org/resources/hate-symbol/love-your-race" TargetMode="External"/><Relationship Id="rId998" Type="http://schemas.openxmlformats.org/officeDocument/2006/relationships/hyperlink" Target="https://www.adl.org/resources/report/anatomy-standoff" TargetMode="External"/><Relationship Id="rId1183" Type="http://schemas.openxmlformats.org/officeDocument/2006/relationships/hyperlink" Target="https://www.adl.org/resources/backgrounder/sovereign-citizen-movement-united-states" TargetMode="External"/><Relationship Id="rId1390" Type="http://schemas.openxmlformats.org/officeDocument/2006/relationships/hyperlink" Target="https://www.adl.org/resources/article/antisemitism-anti-lgbtq-hate-converge-extremist-and-conspiratorial-beliefs" TargetMode="External"/><Relationship Id="rId206" Type="http://schemas.openxmlformats.org/officeDocument/2006/relationships/hyperlink" Target="https://www.adl.org/resources/hate-symbol/211-crew" TargetMode="External"/><Relationship Id="rId413" Type="http://schemas.openxmlformats.org/officeDocument/2006/relationships/hyperlink" Target="https://www.adl.org/resources/backgrounder/764" TargetMode="External"/><Relationship Id="rId858" Type="http://schemas.openxmlformats.org/officeDocument/2006/relationships/hyperlink" Target="https://www.adl.org/resources/report/tattered-robes-state-ku-klux-klan-united-states" TargetMode="External"/><Relationship Id="rId1043" Type="http://schemas.openxmlformats.org/officeDocument/2006/relationships/hyperlink" Target="https://www.adl.org/resources/backgrounder/aryan-freedom-network-afn" TargetMode="External"/><Relationship Id="rId1488" Type="http://schemas.openxmlformats.org/officeDocument/2006/relationships/hyperlink" Target="https://www.adl.org/resources/hate-symbol/hffh" TargetMode="External"/><Relationship Id="rId620" Type="http://schemas.openxmlformats.org/officeDocument/2006/relationships/hyperlink" Target="https://www.adl.org/resources/article/coded-hate-extremists-weaponize-seemingly-innocuous-content-promote-bigotry" TargetMode="External"/><Relationship Id="rId718" Type="http://schemas.openxmlformats.org/officeDocument/2006/relationships/hyperlink" Target="https://www.adl.org/resources/hate-symbol/oklahoma-aryan-brotherhood" TargetMode="External"/><Relationship Id="rId925" Type="http://schemas.openxmlformats.org/officeDocument/2006/relationships/hyperlink" Target="https://www.adl.org/resources/backgrounder/alt-right-primer-new-white-supremacy" TargetMode="External"/><Relationship Id="rId1250" Type="http://schemas.openxmlformats.org/officeDocument/2006/relationships/hyperlink" Target="https://www.adl.org/resources/backgrounder/party-socialism-and-liberation-psl" TargetMode="External"/><Relationship Id="rId1348" Type="http://schemas.openxmlformats.org/officeDocument/2006/relationships/hyperlink" Target="https://www.adl.org/resources/profile/david-duke" TargetMode="External"/><Relationship Id="rId1555" Type="http://schemas.openxmlformats.org/officeDocument/2006/relationships/hyperlink" Target="https://www.adl.org/resources/backgrounder/extremist-sects-within-black-hebrew-israelite-movement" TargetMode="External"/><Relationship Id="rId1110" Type="http://schemas.openxmlformats.org/officeDocument/2006/relationships/hyperlink" Target="https://www.adl.org/resources/article/new-trolling-efforts-target-jews-appearance-attempt-sow-political-division" TargetMode="External"/><Relationship Id="rId1208" Type="http://schemas.openxmlformats.org/officeDocument/2006/relationships/hyperlink" Target="https://www.adl.org/resources/article/islamic-state-al-qaeda-call-violence-against-jewish-communities-following-october" TargetMode="External"/><Relationship Id="rId1415" Type="http://schemas.openxmlformats.org/officeDocument/2006/relationships/hyperlink" Target="https://www.adl.org/resources/backgrounder/new-independent-fundamental-baptist-new-ifb-movement" TargetMode="External"/><Relationship Id="rId54" Type="http://schemas.openxmlformats.org/officeDocument/2006/relationships/hyperlink" Target="https://www.adl.org/resources/article/coded-hate-extremists-weaponize-seemingly-innocuous-content-promote-bigotry" TargetMode="External"/><Relationship Id="rId270" Type="http://schemas.openxmlformats.org/officeDocument/2006/relationships/hyperlink" Target="https://www.adl.org/resources/hate-symbol/zyklon-b" TargetMode="External"/><Relationship Id="rId130" Type="http://schemas.openxmlformats.org/officeDocument/2006/relationships/hyperlink" Target="https://www.adl.org/resources/backgrounder/accelerationism" TargetMode="External"/><Relationship Id="rId368" Type="http://schemas.openxmlformats.org/officeDocument/2006/relationships/hyperlink" Target="https://www.adl.org/resources/article/soros-conspiracy-theories-and-protests-gateway-antisemitism" TargetMode="External"/><Relationship Id="rId575" Type="http://schemas.openxmlformats.org/officeDocument/2006/relationships/hyperlink" Target="https://www.adl.org/resources/article/extremist-medicine-cabinet-guide-online-pills" TargetMode="External"/><Relationship Id="rId782" Type="http://schemas.openxmlformats.org/officeDocument/2006/relationships/hyperlink" Target="https://www.adl.org/resources/news/adolf-hitlers-mein-kampf-introduction" TargetMode="External"/><Relationship Id="rId228" Type="http://schemas.openxmlformats.org/officeDocument/2006/relationships/hyperlink" Target="https://www.adl.org/resources/backgrounder/qanon" TargetMode="External"/><Relationship Id="rId435" Type="http://schemas.openxmlformats.org/officeDocument/2006/relationships/hyperlink" Target="https://www.adl.org/resources/article/extremist-medicine-cabinet-guide-online-pills" TargetMode="External"/><Relationship Id="rId642" Type="http://schemas.openxmlformats.org/officeDocument/2006/relationships/hyperlink" Target="https://www.adl.org/resources/backgrounder/sovereign-citizen-movement-united-states" TargetMode="External"/><Relationship Id="rId1065" Type="http://schemas.openxmlformats.org/officeDocument/2006/relationships/hyperlink" Target="https://www.adl.org/resources/hate-symbol/blut-und-ehre" TargetMode="External"/><Relationship Id="rId1272" Type="http://schemas.openxmlformats.org/officeDocument/2006/relationships/hyperlink" Target="https://www.adl.org/resources/blog/white-supremacists-and-other-extremists-welcomed-cpac-2019" TargetMode="External"/><Relationship Id="rId502" Type="http://schemas.openxmlformats.org/officeDocument/2006/relationships/hyperlink" Target="https://www.adl.org/resources/hate-symbol/hated" TargetMode="External"/><Relationship Id="rId947" Type="http://schemas.openxmlformats.org/officeDocument/2006/relationships/hyperlink" Target="https://www.adl.org/resources/article/deadly-shooting-pittsburgh-synagogue" TargetMode="External"/><Relationship Id="rId1132" Type="http://schemas.openxmlformats.org/officeDocument/2006/relationships/hyperlink" Target="https://www.adl.org/resources/backgrounder/shield-wall-network-swn" TargetMode="External"/><Relationship Id="rId1577" Type="http://schemas.openxmlformats.org/officeDocument/2006/relationships/hyperlink" Target="https://www.adl.org/resources/blog/white-supremacists-commodify-coronavirus-racism" TargetMode="External"/><Relationship Id="rId76" Type="http://schemas.openxmlformats.org/officeDocument/2006/relationships/hyperlink" Target="https://extremismterms.adl.org/glossary/oath-keepers" TargetMode="External"/><Relationship Id="rId807" Type="http://schemas.openxmlformats.org/officeDocument/2006/relationships/hyperlink" Target="https://www.adl.org/resources/backgrounder/new-independent-fundamental-baptist-new-ifb-movement" TargetMode="External"/><Relationship Id="rId1437" Type="http://schemas.openxmlformats.org/officeDocument/2006/relationships/hyperlink" Target="https://www.adl.org/resources/hate-symbol/wolfsangel" TargetMode="External"/><Relationship Id="rId1504" Type="http://schemas.openxmlformats.org/officeDocument/2006/relationships/hyperlink" Target="https://www.adl.org/resources/news/ron-unz-controversial-writer-and-funder-anti-israel-activists" TargetMode="External"/><Relationship Id="rId292" Type="http://schemas.openxmlformats.org/officeDocument/2006/relationships/hyperlink" Target="https://www.adl.org/resources/backgrounder/alt-right-alt-lite-naming-hate" TargetMode="External"/><Relationship Id="rId597" Type="http://schemas.openxmlformats.org/officeDocument/2006/relationships/hyperlink" Target="https://www.adl.org/resources/hate-symbol/rahowa" TargetMode="External"/><Relationship Id="rId152" Type="http://schemas.openxmlformats.org/officeDocument/2006/relationships/hyperlink" Target="https://www.adl.org/resources/article/how-antisemites-extremists-and-conspiracy-theorists-are-exploiting-anti-vax" TargetMode="External"/><Relationship Id="rId457" Type="http://schemas.openxmlformats.org/officeDocument/2006/relationships/hyperlink" Target="https://www.adl.org/resources/hate-symbol/ss-divisional-insignia" TargetMode="External"/><Relationship Id="rId1087" Type="http://schemas.openxmlformats.org/officeDocument/2006/relationships/hyperlink" Target="https://www.adl.org/resources/profile/creativity-movement-formerly-world-church-creator" TargetMode="External"/><Relationship Id="rId1294" Type="http://schemas.openxmlformats.org/officeDocument/2006/relationships/hyperlink" Target="https://www.adl.org/resources/article/extremist-medicine-cabinet-guide-online-pills" TargetMode="External"/><Relationship Id="rId664" Type="http://schemas.openxmlformats.org/officeDocument/2006/relationships/hyperlink" Target="https://www.adl.org/resources/hate-symbol/meine-ehre-heisst-treue" TargetMode="External"/><Relationship Id="rId871" Type="http://schemas.openxmlformats.org/officeDocument/2006/relationships/hyperlink" Target="https://www.adl.org/resources/backgrounder/accelerationism" TargetMode="External"/><Relationship Id="rId969" Type="http://schemas.openxmlformats.org/officeDocument/2006/relationships/hyperlink" Target="https://www.adl.org/resources/report/hate-beyond-borders-internationalization-white-supremacy" TargetMode="External"/><Relationship Id="rId317" Type="http://schemas.openxmlformats.org/officeDocument/2006/relationships/hyperlink" Target="https://www.adl.org/resources/backgrounder/764" TargetMode="External"/><Relationship Id="rId524" Type="http://schemas.openxmlformats.org/officeDocument/2006/relationships/hyperlink" Target="https://www.adl.org/resources/backgrounder/students-justice-palestine-sjp" TargetMode="External"/><Relationship Id="rId731" Type="http://schemas.openxmlformats.org/officeDocument/2006/relationships/hyperlink" Target="https://www.adl.org/resources/report/nordic-resistance-movement" TargetMode="External"/><Relationship Id="rId1154" Type="http://schemas.openxmlformats.org/officeDocument/2006/relationships/hyperlink" Target="https://www.adl.org/resources/report/hate-golden-state-extremism-antisemitism-california-2021-2022" TargetMode="External"/><Relationship Id="rId1361" Type="http://schemas.openxmlformats.org/officeDocument/2006/relationships/hyperlink" Target="https://www.adl.org/resources/profile/hammerskin-nation" TargetMode="External"/><Relationship Id="rId1459" Type="http://schemas.openxmlformats.org/officeDocument/2006/relationships/hyperlink" Target="https://www.adl.org/resources/report/hate-beyond-borders-internationalization-white-supremacy" TargetMode="External"/><Relationship Id="rId98" Type="http://schemas.openxmlformats.org/officeDocument/2006/relationships/hyperlink" Target="https://www.adl.org/resources/backgrounder/boogaloo-movement" TargetMode="External"/><Relationship Id="rId829" Type="http://schemas.openxmlformats.org/officeDocument/2006/relationships/hyperlink" Target="https://www.adl.org/resources/report/hate-cascade-states-extremism-antisemitism-oregon-washington" TargetMode="External"/><Relationship Id="rId1014" Type="http://schemas.openxmlformats.org/officeDocument/2006/relationships/hyperlink" Target="https://adl.org/resources/backgrounder/groyper-army-and-america-first" TargetMode="External"/><Relationship Id="rId1221" Type="http://schemas.openxmlformats.org/officeDocument/2006/relationships/hyperlink" Target="https://www.adl.org/resources/hate-symbol/white-aryan-resistance" TargetMode="External"/><Relationship Id="rId1319" Type="http://schemas.openxmlformats.org/officeDocument/2006/relationships/hyperlink" Target="https://www.adl.org/resources/hate-symbol/soldiers-aryan-culture" TargetMode="External"/><Relationship Id="rId1526" Type="http://schemas.openxmlformats.org/officeDocument/2006/relationships/hyperlink" Target="https://www.adl.org/resources/profile/nation-islam" TargetMode="External"/><Relationship Id="rId25" Type="http://schemas.openxmlformats.org/officeDocument/2006/relationships/hyperlink" Target="https://www.adl.org/resources/backgrounder/incels-involuntary-celibates" TargetMode="External"/><Relationship Id="rId174" Type="http://schemas.openxmlformats.org/officeDocument/2006/relationships/hyperlink" Target="https://www.adl.org/resources/backgrounder/qanon" TargetMode="External"/><Relationship Id="rId381" Type="http://schemas.openxmlformats.org/officeDocument/2006/relationships/hyperlink" Target="https://www.adl.org/resources/article/another-weekend-hate-neo-nazis-gather-florida" TargetMode="External"/><Relationship Id="rId241" Type="http://schemas.openxmlformats.org/officeDocument/2006/relationships/hyperlink" Target="https://www.adl.org/resources/backgrounder/national-socialist-movement" TargetMode="External"/><Relationship Id="rId479" Type="http://schemas.openxmlformats.org/officeDocument/2006/relationships/hyperlink" Target="https://www.adl.org/resources/article/white-boy-summer-meme-mobilization" TargetMode="External"/><Relationship Id="rId686" Type="http://schemas.openxmlformats.org/officeDocument/2006/relationships/hyperlink" Target="https://www.adl.org/resources/backgrounder/alt-right-primer-new-white-supremacy" TargetMode="External"/><Relationship Id="rId893" Type="http://schemas.openxmlformats.org/officeDocument/2006/relationships/hyperlink" Target="https://www.adl.org/resources/backgrounder/holy-land-foundation-relief-and-development" TargetMode="External"/><Relationship Id="rId339" Type="http://schemas.openxmlformats.org/officeDocument/2006/relationships/hyperlink" Target="https://www.adl.org/resources/hate-symbol/order" TargetMode="External"/><Relationship Id="rId546" Type="http://schemas.openxmlformats.org/officeDocument/2006/relationships/hyperlink" Target="https://www.adl.org/resources/backgrounder/qanon" TargetMode="External"/><Relationship Id="rId753" Type="http://schemas.openxmlformats.org/officeDocument/2006/relationships/hyperlink" Target="https://www.adl.org/resources/hate-symbol/h8" TargetMode="External"/><Relationship Id="rId1176" Type="http://schemas.openxmlformats.org/officeDocument/2006/relationships/hyperlink" Target="https://www.adl.org/resources/backgrounder/alt-right-alt-lite-naming-hate" TargetMode="External"/><Relationship Id="rId1383" Type="http://schemas.openxmlformats.org/officeDocument/2006/relationships/hyperlink" Target="https://www.adl.org/resources/article/hebrews-negroes-what-you-need-know" TargetMode="External"/><Relationship Id="rId101" Type="http://schemas.openxmlformats.org/officeDocument/2006/relationships/hyperlink" Target="https://www.adl.org/resources/hate-symbol/100" TargetMode="External"/><Relationship Id="rId406" Type="http://schemas.openxmlformats.org/officeDocument/2006/relationships/hyperlink" Target="https://www.adl.org/resources/backgrounder/764" TargetMode="External"/><Relationship Id="rId960" Type="http://schemas.openxmlformats.org/officeDocument/2006/relationships/hyperlink" Target="https://www.adl.org/resources/report/hate-beyond-borders-internationalization-white-supremacy" TargetMode="External"/><Relationship Id="rId1036" Type="http://schemas.openxmlformats.org/officeDocument/2006/relationships/hyperlink" Target="https://www.adl.org/resources/news/arthur-jones" TargetMode="External"/><Relationship Id="rId1243" Type="http://schemas.openxmlformats.org/officeDocument/2006/relationships/hyperlink" Target="https://www.adl.org/resources/hate-symbol/unforgiven" TargetMode="External"/><Relationship Id="rId613" Type="http://schemas.openxmlformats.org/officeDocument/2006/relationships/hyperlink" Target="https://www.adl.org/resources/backgrounder/sovereign-citizen-movement-united-states" TargetMode="External"/><Relationship Id="rId820" Type="http://schemas.openxmlformats.org/officeDocument/2006/relationships/hyperlink" Target="https://www.adl.org/resources/hate-symbol/northwest-american-republic" TargetMode="External"/><Relationship Id="rId918" Type="http://schemas.openxmlformats.org/officeDocument/2006/relationships/hyperlink" Target="https://www.adl.org/resources/news/extremism-america-american-front" TargetMode="External"/><Relationship Id="rId1450" Type="http://schemas.openxmlformats.org/officeDocument/2006/relationships/hyperlink" Target="https://www.adl.org/resources/news/following-absence-white-supremacist-show-returns-airwaves" TargetMode="External"/><Relationship Id="rId1548" Type="http://schemas.openxmlformats.org/officeDocument/2006/relationships/hyperlink" Target="https://www.adl.org/resources/profile/nation-islam" TargetMode="External"/><Relationship Id="rId1103" Type="http://schemas.openxmlformats.org/officeDocument/2006/relationships/hyperlink" Target="https://www.adl.org/resources/hate-symbol/nazi-party-flag" TargetMode="External"/><Relationship Id="rId1310" Type="http://schemas.openxmlformats.org/officeDocument/2006/relationships/hyperlink" Target="https://www.adl.org/resources/hate-symbol/south-african-flag-apartheid-era" TargetMode="External"/><Relationship Id="rId1408" Type="http://schemas.openxmlformats.org/officeDocument/2006/relationships/hyperlink" Target="https://www.adl.org/resources/backgrounder/extremist-sects-within-black-hebrew-israelite-movement" TargetMode="External"/><Relationship Id="rId47" Type="http://schemas.openxmlformats.org/officeDocument/2006/relationships/hyperlink" Target="https://www.adl.org/resources/news/arthur-jones" TargetMode="External"/><Relationship Id="rId196" Type="http://schemas.openxmlformats.org/officeDocument/2006/relationships/hyperlink" Target="https://www.adl.org/resources/backgrounder/rise-above-movement-ram" TargetMode="External"/><Relationship Id="rId263" Type="http://schemas.openxmlformats.org/officeDocument/2006/relationships/hyperlink" Target="https://www.adl.org/resources/backgrounder/sovereign-citizen-movement-united-states" TargetMode="External"/><Relationship Id="rId470" Type="http://schemas.openxmlformats.org/officeDocument/2006/relationships/hyperlink" Target="https://www.adl.org/resources/report/ecoterrorism-extremism-animal-rights-and-environmentalist-movements" TargetMode="External"/><Relationship Id="rId123" Type="http://schemas.openxmlformats.org/officeDocument/2006/relationships/hyperlink" Target="https://www.adl.org/resources/article/mens-rights-activists-what-you-need-know" TargetMode="External"/><Relationship Id="rId330" Type="http://schemas.openxmlformats.org/officeDocument/2006/relationships/hyperlink" Target="https://www.adl.org/resources/news/20-years-later-shadows-ruby-ridge-standoff-still-linger" TargetMode="External"/><Relationship Id="rId568" Type="http://schemas.openxmlformats.org/officeDocument/2006/relationships/hyperlink" Target="https://www.adl.org/resources/backgrounder/nationalist-social-club-nsc-131" TargetMode="External"/><Relationship Id="rId775" Type="http://schemas.openxmlformats.org/officeDocument/2006/relationships/hyperlink" Target="https://www.adl.org/resources/backgrounder/black-hebrew-israelites" TargetMode="External"/><Relationship Id="rId982" Type="http://schemas.openxmlformats.org/officeDocument/2006/relationships/hyperlink" Target="https://www.adl.org/resources/article/fbi-arrests-white-supremacist-conor-climo-who-reportedly-targeted-jews-lgbtq" TargetMode="External"/><Relationship Id="rId1198" Type="http://schemas.openxmlformats.org/officeDocument/2006/relationships/hyperlink" Target="https://www.adl.org/resources/article/anti-israel-activists-pay-tribute-107-architect-yahya-sinwar-reflecting-pattern" TargetMode="External"/><Relationship Id="rId428" Type="http://schemas.openxmlformats.org/officeDocument/2006/relationships/hyperlink" Target="https://www.adl.org/resources/article/mens-rights-activists-what-you-need-know" TargetMode="External"/><Relationship Id="rId635" Type="http://schemas.openxmlformats.org/officeDocument/2006/relationships/hyperlink" Target="https://www.adl.org/resources/hate-symbol/14-words" TargetMode="External"/><Relationship Id="rId842" Type="http://schemas.openxmlformats.org/officeDocument/2006/relationships/hyperlink" Target="https://www.adl.org/resources/backgrounder/new-independent-fundamental-baptist-new-ifb-movement" TargetMode="External"/><Relationship Id="rId1058" Type="http://schemas.openxmlformats.org/officeDocument/2006/relationships/hyperlink" Target="https://www.adl.org/resources/backgrounder/boogaloo-movement" TargetMode="External"/><Relationship Id="rId1265" Type="http://schemas.openxmlformats.org/officeDocument/2006/relationships/hyperlink" Target="https://www.adl.org/resources/article/how-antisemites-extremists-and-conspiracy-theorists-are-exploiting-anti-vax" TargetMode="External"/><Relationship Id="rId1472" Type="http://schemas.openxmlformats.org/officeDocument/2006/relationships/hyperlink" Target="https://www.adl.org/resources/article/antisemitic-language-surges-4chan-during-israel-hamas-conflict" TargetMode="External"/><Relationship Id="rId702" Type="http://schemas.openxmlformats.org/officeDocument/2006/relationships/hyperlink" Target="https://www.adl.org/resources/article/parler-users-prepare-site-shutdown-conspiracy-theories-threats" TargetMode="External"/><Relationship Id="rId1125" Type="http://schemas.openxmlformats.org/officeDocument/2006/relationships/hyperlink" Target="https://www.adl.org/resources/backgrounder/sovereign-citizen-movement-united-states" TargetMode="External"/><Relationship Id="rId1332" Type="http://schemas.openxmlformats.org/officeDocument/2006/relationships/hyperlink" Target="https://www.adl.org/resources/hate-symbol/sadistic-souls" TargetMode="External"/><Relationship Id="rId69" Type="http://schemas.openxmlformats.org/officeDocument/2006/relationships/hyperlink" Target="https://extremismterms.adl.org/glossary/qanon" TargetMode="External"/><Relationship Id="rId285" Type="http://schemas.openxmlformats.org/officeDocument/2006/relationships/hyperlink" Target="https://www.adl.org/resources/backgrounder/sovereign-citizen-movement-united-states" TargetMode="External"/><Relationship Id="rId492" Type="http://schemas.openxmlformats.org/officeDocument/2006/relationships/hyperlink" Target="https://www.adl.org/resources/article/coded-hate-extremists-weaponize-seemingly-innocuous-content-promote-bigotry" TargetMode="External"/><Relationship Id="rId797" Type="http://schemas.openxmlformats.org/officeDocument/2006/relationships/hyperlink" Target="https://www.adl.org/resources/hate-symbol/nazi-eagle" TargetMode="External"/><Relationship Id="rId145" Type="http://schemas.openxmlformats.org/officeDocument/2006/relationships/hyperlink" Target="https://www.adl.org/resources/backgrounder/accelerationism" TargetMode="External"/><Relationship Id="rId352" Type="http://schemas.openxmlformats.org/officeDocument/2006/relationships/hyperlink" Target="https://www.adl.org/resources/backgrounder/764" TargetMode="External"/><Relationship Id="rId1287" Type="http://schemas.openxmlformats.org/officeDocument/2006/relationships/hyperlink" Target="https://www.adl.org/resources/article/jewish-problem-conference-kentucky-brings-together-antisemites-extremists-across" TargetMode="External"/><Relationship Id="rId212" Type="http://schemas.openxmlformats.org/officeDocument/2006/relationships/hyperlink" Target="https://www.adl.org/resources/hate-symbol/2316" TargetMode="External"/><Relationship Id="rId657" Type="http://schemas.openxmlformats.org/officeDocument/2006/relationships/hyperlink" Target="https://www.adl.org/resources/news/following-absence-white-supremacist-show-returns-airwaves" TargetMode="External"/><Relationship Id="rId864" Type="http://schemas.openxmlformats.org/officeDocument/2006/relationships/hyperlink" Target="https://www.adl.org/resources/news/20-years-later-shadows-ruby-ridge-standoff-still-linger" TargetMode="External"/><Relationship Id="rId1494" Type="http://schemas.openxmlformats.org/officeDocument/2006/relationships/hyperlink" Target="https://www.adl.org/resources/backgrounder/sovereign-citizen-movement-united-states" TargetMode="External"/><Relationship Id="rId517" Type="http://schemas.openxmlformats.org/officeDocument/2006/relationships/hyperlink" Target="https://adl.org/resources/backgrounder/national-socialist-movement" TargetMode="External"/><Relationship Id="rId724" Type="http://schemas.openxmlformats.org/officeDocument/2006/relationships/hyperlink" Target="https://www.adl.org/resources/backgrounder/alt-right-alt-lite-naming-hate" TargetMode="External"/><Relationship Id="rId931" Type="http://schemas.openxmlformats.org/officeDocument/2006/relationships/hyperlink" Target="https://www.adl.org/resources/article/proud-boys-bigotry-full-display" TargetMode="External"/><Relationship Id="rId1147" Type="http://schemas.openxmlformats.org/officeDocument/2006/relationships/hyperlink" Target="https://www.adl.org/resources/report/hate-their-hearts-state-white-supremacy-united-states" TargetMode="External"/><Relationship Id="rId1354" Type="http://schemas.openxmlformats.org/officeDocument/2006/relationships/hyperlink" Target="https://www.adl.org/resources/hate-symbol/inland-empire-skinheads" TargetMode="External"/><Relationship Id="rId1561" Type="http://schemas.openxmlformats.org/officeDocument/2006/relationships/hyperlink" Target="https://www.adl.org/resources/report/computational-propaganda-jewish-americans-and-2018-midterms-amplification-anti" TargetMode="External"/><Relationship Id="rId60" Type="http://schemas.openxmlformats.org/officeDocument/2006/relationships/hyperlink" Target="https://www.adl.org/resources/article/coded-hate-extremists-weaponize-seemingly-innocuous-content-promote-bigotry" TargetMode="External"/><Relationship Id="rId1007" Type="http://schemas.openxmlformats.org/officeDocument/2006/relationships/hyperlink" Target="https://www.adl.org/resources/report/despite-internal-turmoil-klan-groups-persist" TargetMode="External"/><Relationship Id="rId1214" Type="http://schemas.openxmlformats.org/officeDocument/2006/relationships/hyperlink" Target="https://www.adl.org/resources/article/rise-above-movement-plants-flag-white-power-music-scene" TargetMode="External"/><Relationship Id="rId1421" Type="http://schemas.openxmlformats.org/officeDocument/2006/relationships/hyperlink" Target="https://www.adl.org/resources/backgrounder/militia-movement-2020" TargetMode="External"/><Relationship Id="rId1519" Type="http://schemas.openxmlformats.org/officeDocument/2006/relationships/hyperlink" Target="https://www.adl.org/resources/backgrounder/tax-protest-movement" TargetMode="External"/><Relationship Id="rId18" Type="http://schemas.openxmlformats.org/officeDocument/2006/relationships/hyperlink" Target="https://www.adl.org/resources/backgrounder/incels-involuntary-celibates" TargetMode="External"/><Relationship Id="rId167" Type="http://schemas.openxmlformats.org/officeDocument/2006/relationships/hyperlink" Target="https://www.adl.org/resources/hate-symbol/1352-1390" TargetMode="External"/><Relationship Id="rId374" Type="http://schemas.openxmlformats.org/officeDocument/2006/relationships/hyperlink" Target="https://www.adl.org/resources/backgrounder/incels-involuntary-celibates" TargetMode="External"/><Relationship Id="rId581" Type="http://schemas.openxmlformats.org/officeDocument/2006/relationships/hyperlink" Target="https://www.adl.org/resources/backgrounder/proud-boys" TargetMode="External"/><Relationship Id="rId234" Type="http://schemas.openxmlformats.org/officeDocument/2006/relationships/hyperlink" Target="https://www.adl.org/unite-right-rallies" TargetMode="External"/><Relationship Id="rId679" Type="http://schemas.openxmlformats.org/officeDocument/2006/relationships/hyperlink" Target="https://www.adl.org/resources/hate-symbol/ku-klux-klan-robes" TargetMode="External"/><Relationship Id="rId886" Type="http://schemas.openxmlformats.org/officeDocument/2006/relationships/hyperlink" Target="https://www.adl.org/resources/article/virginia-man-links-neo-nazis-arrested-international-swatting-case" TargetMode="External"/><Relationship Id="rId2" Type="http://schemas.openxmlformats.org/officeDocument/2006/relationships/hyperlink" Target="https://www.adl.org/resources/hate-symbol/european-kindred-hand-sign" TargetMode="External"/><Relationship Id="rId441" Type="http://schemas.openxmlformats.org/officeDocument/2006/relationships/hyperlink" Target="https://www.adl.org/resources/article/extremist-medicine-cabinet-guide-online-pills" TargetMode="External"/><Relationship Id="rId539" Type="http://schemas.openxmlformats.org/officeDocument/2006/relationships/hyperlink" Target="https://www.adl.org/resources/hate-symbol/echo" TargetMode="External"/><Relationship Id="rId746" Type="http://schemas.openxmlformats.org/officeDocument/2006/relationships/hyperlink" Target="https://www.adl.org/resources/hate-symbol/kabark" TargetMode="External"/><Relationship Id="rId1071" Type="http://schemas.openxmlformats.org/officeDocument/2006/relationships/hyperlink" Target="https://adl.org/resources/backgrounder/boogaloo-movement" TargetMode="External"/><Relationship Id="rId1169" Type="http://schemas.openxmlformats.org/officeDocument/2006/relationships/hyperlink" Target="https://www.adl.org/resources/backgrounder/764" TargetMode="External"/><Relationship Id="rId1376" Type="http://schemas.openxmlformats.org/officeDocument/2006/relationships/hyperlink" Target="https://www.adl.org/resources/article/mass-shooting-el-paso-what-we-know" TargetMode="External"/><Relationship Id="rId1583" Type="http://schemas.openxmlformats.org/officeDocument/2006/relationships/vmlDrawing" Target="../drawings/vmlDrawing1.vml"/><Relationship Id="rId301" Type="http://schemas.openxmlformats.org/officeDocument/2006/relationships/hyperlink" Target="https://www.adl.org/resources/news/richard-spencer-five-things-know" TargetMode="External"/><Relationship Id="rId953" Type="http://schemas.openxmlformats.org/officeDocument/2006/relationships/hyperlink" Target="https://www.adl.org/resources/blog/witness-peace" TargetMode="External"/><Relationship Id="rId1029" Type="http://schemas.openxmlformats.org/officeDocument/2006/relationships/hyperlink" Target="https://www.adl.org/resources/backgrounder/qanon" TargetMode="External"/><Relationship Id="rId1236" Type="http://schemas.openxmlformats.org/officeDocument/2006/relationships/hyperlink" Target="https://www.adl.org/resources/article/islamic-state-al-qaeda-call-violence-against-jewish-communities-following-october" TargetMode="External"/><Relationship Id="rId82" Type="http://schemas.openxmlformats.org/officeDocument/2006/relationships/hyperlink" Target="https://extremismterms.adl.org/glossary/national-socialist-movement" TargetMode="External"/><Relationship Id="rId606" Type="http://schemas.openxmlformats.org/officeDocument/2006/relationships/hyperlink" Target="https://www.adl.org/resources/backgrounder/great-replacement-explainer" TargetMode="External"/><Relationship Id="rId813" Type="http://schemas.openxmlformats.org/officeDocument/2006/relationships/hyperlink" Target="https://www.adl.org/resources/hate-symbol/no-race-mixing" TargetMode="External"/><Relationship Id="rId1443" Type="http://schemas.openxmlformats.org/officeDocument/2006/relationships/hyperlink" Target="https://www.adl.org/resources/backgrounder/sovereign-citizen-movement-united-states" TargetMode="External"/><Relationship Id="rId1303" Type="http://schemas.openxmlformats.org/officeDocument/2006/relationships/hyperlink" Target="https://www.adl.org/resources/hate-symbol/ss-divisional-insignia" TargetMode="External"/><Relationship Id="rId1510" Type="http://schemas.openxmlformats.org/officeDocument/2006/relationships/hyperlink" Target="https://adl.org/resources/backgrounder/tax-protest-movement" TargetMode="External"/><Relationship Id="rId189" Type="http://schemas.openxmlformats.org/officeDocument/2006/relationships/hyperlink" Target="https://www.adl.org/resources/backgrounder/rise-above-movement-ram" TargetMode="External"/><Relationship Id="rId396" Type="http://schemas.openxmlformats.org/officeDocument/2006/relationships/hyperlink" Target="https://www.adl.org/resources/hate-symbol/life-rune" TargetMode="External"/><Relationship Id="rId256" Type="http://schemas.openxmlformats.org/officeDocument/2006/relationships/hyperlink" Target="https://www.adl.org/resources/hate-symbol/aryan-brotherhood" TargetMode="External"/><Relationship Id="rId463" Type="http://schemas.openxmlformats.org/officeDocument/2006/relationships/hyperlink" Target="https://www.adl.org/resources/hate-symbol/southern-brotherhood" TargetMode="External"/><Relationship Id="rId670" Type="http://schemas.openxmlformats.org/officeDocument/2006/relationships/hyperlink" Target="https://www.adl.org/resources/backgrounder/three-percenters" TargetMode="External"/><Relationship Id="rId1093" Type="http://schemas.openxmlformats.org/officeDocument/2006/relationships/hyperlink" Target="https://www.adl.org/resources/backgrounder/qanon" TargetMode="External"/><Relationship Id="rId116" Type="http://schemas.openxmlformats.org/officeDocument/2006/relationships/hyperlink" Target="https://www.adl.org/resources/backgrounder/764" TargetMode="External"/><Relationship Id="rId323" Type="http://schemas.openxmlformats.org/officeDocument/2006/relationships/hyperlink" Target="https://www.adl.org/resources/backgrounder/764" TargetMode="External"/><Relationship Id="rId530" Type="http://schemas.openxmlformats.org/officeDocument/2006/relationships/hyperlink" Target="https://www.adl.org/resources/backgrounder/nationalist-social-club-nsc-131" TargetMode="External"/><Relationship Id="rId768" Type="http://schemas.openxmlformats.org/officeDocument/2006/relationships/hyperlink" Target="https://www.adl.org/resources/profile/nation-islam" TargetMode="External"/><Relationship Id="rId975" Type="http://schemas.openxmlformats.org/officeDocument/2006/relationships/hyperlink" Target="https://www.adl.org/resources/report/white-supremacist-propaganda-incidents-soar-record-high-2023" TargetMode="External"/><Relationship Id="rId1160" Type="http://schemas.openxmlformats.org/officeDocument/2006/relationships/hyperlink" Target="https://www.adl.org/resources/hate-symbol/coors-family-skins" TargetMode="External"/><Relationship Id="rId1398" Type="http://schemas.openxmlformats.org/officeDocument/2006/relationships/hyperlink" Target="https://www.adl.org/resources/profile/nation-islam" TargetMode="External"/><Relationship Id="rId628" Type="http://schemas.openxmlformats.org/officeDocument/2006/relationships/hyperlink" Target="https://www.adl.org/resources/backgrounder/national-socialist-movement" TargetMode="External"/><Relationship Id="rId835" Type="http://schemas.openxmlformats.org/officeDocument/2006/relationships/hyperlink" Target="https://www.adl.org/resources/backgrounder/oath-keepers" TargetMode="External"/><Relationship Id="rId1258" Type="http://schemas.openxmlformats.org/officeDocument/2006/relationships/hyperlink" Target="https://www.adl.org/resources/article/how-antisemites-extremists-and-conspiracy-theorists-are-exploiting-anti-vax" TargetMode="External"/><Relationship Id="rId1465" Type="http://schemas.openxmlformats.org/officeDocument/2006/relationships/hyperlink" Target="https://www.adl.org/resources/article/white-supremacists-help-raise-hundreds-thousands-woman-who-hurled-slur-black" TargetMode="External"/><Relationship Id="rId1020" Type="http://schemas.openxmlformats.org/officeDocument/2006/relationships/hyperlink" Target="https://www.adl.org/resources/news/extremism-america-american-front" TargetMode="External"/><Relationship Id="rId1118" Type="http://schemas.openxmlformats.org/officeDocument/2006/relationships/hyperlink" Target="https://www.adl.org/resources/hate-symbol/2316" TargetMode="External"/><Relationship Id="rId1325" Type="http://schemas.openxmlformats.org/officeDocument/2006/relationships/hyperlink" Target="https://www.adl.org/resources/backgrounder/accelerationism" TargetMode="External"/><Relationship Id="rId1532" Type="http://schemas.openxmlformats.org/officeDocument/2006/relationships/hyperlink" Target="https://www.adl.org/resources/backgrounder/short-history-holocaust-denial-united-states" TargetMode="External"/><Relationship Id="rId902" Type="http://schemas.openxmlformats.org/officeDocument/2006/relationships/hyperlink" Target="https://www.adl.org/resources/hate-symbol/aryan-circle" TargetMode="External"/><Relationship Id="rId31" Type="http://schemas.openxmlformats.org/officeDocument/2006/relationships/hyperlink" Target="https://adl.org/resources/backgrounder/trunews-and-rick-wiles-end-times-anti-semitism-and-anti-zionism" TargetMode="External"/><Relationship Id="rId180" Type="http://schemas.openxmlformats.org/officeDocument/2006/relationships/hyperlink" Target="https://www.adl.org/resources/backgrounder/proud-boys" TargetMode="External"/><Relationship Id="rId278" Type="http://schemas.openxmlformats.org/officeDocument/2006/relationships/hyperlink" Target="https://www.adl.org/resources/hate-symbol/aryan-nations" TargetMode="External"/><Relationship Id="rId485" Type="http://schemas.openxmlformats.org/officeDocument/2006/relationships/hyperlink" Target="https://www.adl.org/resources/backgrounder/sovereign-citizen-movement-united-states" TargetMode="External"/><Relationship Id="rId692" Type="http://schemas.openxmlformats.org/officeDocument/2006/relationships/hyperlink" Target="https://www.adl.org/resources/article/palestinian-youth-movement-pym-five-things-know" TargetMode="External"/><Relationship Id="rId138" Type="http://schemas.openxmlformats.org/officeDocument/2006/relationships/hyperlink" Target="https://www.adl.org/resources/backgrounder/accelerationism" TargetMode="External"/><Relationship Id="rId345" Type="http://schemas.openxmlformats.org/officeDocument/2006/relationships/hyperlink" Target="https://www.adl.org/resources/backgrounder/great-replacement-explainer" TargetMode="External"/><Relationship Id="rId552" Type="http://schemas.openxmlformats.org/officeDocument/2006/relationships/hyperlink" Target="https://adl.org/resources/backgrounder/palestinian-islamic-jihad" TargetMode="External"/><Relationship Id="rId997" Type="http://schemas.openxmlformats.org/officeDocument/2006/relationships/hyperlink" Target="https://www.adl.org/resources/article/free-speech-rally-planned-boston" TargetMode="External"/><Relationship Id="rId1182" Type="http://schemas.openxmlformats.org/officeDocument/2006/relationships/hyperlink" Target="https://www.adl.org/resources/backgrounder/sovereign-citizen-movement-united-states" TargetMode="External"/><Relationship Id="rId205" Type="http://schemas.openxmlformats.org/officeDocument/2006/relationships/hyperlink" Target="https://www.adl.org/resources/article/twenty-five-years-later-oklahoma-city-bombing-inspires-new-generation-extremists" TargetMode="External"/><Relationship Id="rId412" Type="http://schemas.openxmlformats.org/officeDocument/2006/relationships/hyperlink" Target="https://adl.org/resources/backgrounder/three-percenters" TargetMode="External"/><Relationship Id="rId857" Type="http://schemas.openxmlformats.org/officeDocument/2006/relationships/hyperlink" Target="https://www.adl.org/resources/hate-symbol/brothers-white-warriors" TargetMode="External"/><Relationship Id="rId1042" Type="http://schemas.openxmlformats.org/officeDocument/2006/relationships/hyperlink" Target="https://www.adl.org/resources/hate-symbol/aryan-fist" TargetMode="External"/><Relationship Id="rId1487" Type="http://schemas.openxmlformats.org/officeDocument/2006/relationships/hyperlink" Target="https://www.adl.org/resources/report/hate-beyond-borders-internationalization-white-supremacy" TargetMode="External"/><Relationship Id="rId717" Type="http://schemas.openxmlformats.org/officeDocument/2006/relationships/hyperlink" Target="https://www.adl.org/resources/article/anti-israel-activists-pay-tribute-107-architect-yahya-sinwar-reflecting-pattern" TargetMode="External"/><Relationship Id="rId924" Type="http://schemas.openxmlformats.org/officeDocument/2006/relationships/hyperlink" Target="https://www.adl.org/resources/backgrounder/proud-boys" TargetMode="External"/><Relationship Id="rId1347" Type="http://schemas.openxmlformats.org/officeDocument/2006/relationships/hyperlink" Target="https://www.adl.org/resources/hate-symbol/you-will-not-replace-us" TargetMode="External"/><Relationship Id="rId1554" Type="http://schemas.openxmlformats.org/officeDocument/2006/relationships/hyperlink" Target="https://www.adl.org/resources/backgrounder/short-history-holocaust-denial-united-states" TargetMode="External"/><Relationship Id="rId53" Type="http://schemas.openxmlformats.org/officeDocument/2006/relationships/hyperlink" Target="https://www.adl.org/resources/backgrounder/proud-boys" TargetMode="External"/><Relationship Id="rId1207" Type="http://schemas.openxmlformats.org/officeDocument/2006/relationships/hyperlink" Target="https://www.adl.org/sites/default/files/homegrown-threat-islamist-extremist-plots-in-the-united-states-2018-plots-table.pdf" TargetMode="External"/><Relationship Id="rId1414" Type="http://schemas.openxmlformats.org/officeDocument/2006/relationships/hyperlink" Target="https://www.adl.org/resources/article/anti-zionism-antisemitism-how-anti-zionist-language-left-and-right-vilifies-jews" TargetMode="External"/><Relationship Id="rId367" Type="http://schemas.openxmlformats.org/officeDocument/2006/relationships/hyperlink" Target="https://adl.org/resources/backgrounder/league-south-los" TargetMode="External"/><Relationship Id="rId574" Type="http://schemas.openxmlformats.org/officeDocument/2006/relationships/hyperlink" Target="https://www.adl.org/resources/hate-symbol/phineas-priesthood" TargetMode="External"/><Relationship Id="rId227" Type="http://schemas.openxmlformats.org/officeDocument/2006/relationships/hyperlink" Target="https://www.adl.org/resources/backgrounder/qanon" TargetMode="External"/><Relationship Id="rId781" Type="http://schemas.openxmlformats.org/officeDocument/2006/relationships/hyperlink" Target="https://www.adl.org/resources/backgrounder/qanon" TargetMode="External"/><Relationship Id="rId879" Type="http://schemas.openxmlformats.org/officeDocument/2006/relationships/hyperlink" Target="https://www.adl.org/resources/hate-symbol/aryan-warriors" TargetMode="External"/><Relationship Id="rId434" Type="http://schemas.openxmlformats.org/officeDocument/2006/relationships/hyperlink" Target="https://www.adl.org/resources/article/extremist-medicine-cabinet-guide-online-pills" TargetMode="External"/><Relationship Id="rId641" Type="http://schemas.openxmlformats.org/officeDocument/2006/relationships/hyperlink" Target="https://www.adl.org/resources/backgrounder/proud-boys" TargetMode="External"/><Relationship Id="rId739" Type="http://schemas.openxmlformats.org/officeDocument/2006/relationships/hyperlink" Target="https://www.adl.org/resources/hate-symbol/hate" TargetMode="External"/><Relationship Id="rId1064" Type="http://schemas.openxmlformats.org/officeDocument/2006/relationships/hyperlink" Target="https://www.adl.org/resources/hate-symbol/blood-honour" TargetMode="External"/><Relationship Id="rId1271" Type="http://schemas.openxmlformats.org/officeDocument/2006/relationships/hyperlink" Target="https://www.adl.org/resources/backgrounder/great-replacement-explainer" TargetMode="External"/><Relationship Id="rId1369" Type="http://schemas.openxmlformats.org/officeDocument/2006/relationships/hyperlink" Target="https://www.adl.org/resources/hate-symbol/fgrn" TargetMode="External"/><Relationship Id="rId1576" Type="http://schemas.openxmlformats.org/officeDocument/2006/relationships/hyperlink" Target="https://www.adl.org/resources/article/foreign-terror-organizations-respond-us-embassy-relocation-jerusalem" TargetMode="External"/><Relationship Id="rId501" Type="http://schemas.openxmlformats.org/officeDocument/2006/relationships/hyperlink" Target="https://www.adl.org/resources/backgrounder/national-justice-party" TargetMode="External"/><Relationship Id="rId946" Type="http://schemas.openxmlformats.org/officeDocument/2006/relationships/hyperlink" Target="https://www.adl.org/resources/hate-symbol/pit-bull" TargetMode="External"/><Relationship Id="rId1131" Type="http://schemas.openxmlformats.org/officeDocument/2006/relationships/hyperlink" Target="https://www.adl.org/resources/backgrounder/qanon" TargetMode="External"/><Relationship Id="rId1229" Type="http://schemas.openxmlformats.org/officeDocument/2006/relationships/hyperlink" Target="https://www.adl.org/resources/backgrounder/incels-involuntary-celibates" TargetMode="External"/><Relationship Id="rId75" Type="http://schemas.openxmlformats.org/officeDocument/2006/relationships/hyperlink" Target="https://www.adl.org/resources/profile/nation-islam" TargetMode="External"/><Relationship Id="rId806" Type="http://schemas.openxmlformats.org/officeDocument/2006/relationships/hyperlink" Target="https://www.adl.org/resources/article/white-supremacist-propaganda-focused-jews-and-immigrants-2024" TargetMode="External"/><Relationship Id="rId1436" Type="http://schemas.openxmlformats.org/officeDocument/2006/relationships/hyperlink" Target="https://www.adl.org/resources/hate-symbol/women-aryan-unity" TargetMode="External"/><Relationship Id="rId1503" Type="http://schemas.openxmlformats.org/officeDocument/2006/relationships/hyperlink" Target="https://www.adl.org/resources/hate-symbol/atomwaffen-division" TargetMode="External"/><Relationship Id="rId291" Type="http://schemas.openxmlformats.org/officeDocument/2006/relationships/hyperlink" Target="https://www.adl.org/resources/report/new-hate-and-old-changing-face-american-white-supremacy" TargetMode="External"/><Relationship Id="rId151" Type="http://schemas.openxmlformats.org/officeDocument/2006/relationships/hyperlink" Target="https://www.adl.org/resources/hate-symbol/you-will-not-replace-us" TargetMode="External"/><Relationship Id="rId389" Type="http://schemas.openxmlformats.org/officeDocument/2006/relationships/hyperlink" Target="https://www.adl.org/resources/hate-symbol/triskele" TargetMode="External"/><Relationship Id="rId596" Type="http://schemas.openxmlformats.org/officeDocument/2006/relationships/hyperlink" Target="https://www.adl.org/resources/hate-symbol/1352-1390" TargetMode="External"/><Relationship Id="rId249" Type="http://schemas.openxmlformats.org/officeDocument/2006/relationships/hyperlink" Target="https://www.adl.org/resources/backgrounder/sovereign-citizen-movement-united-states" TargetMode="External"/><Relationship Id="rId456" Type="http://schemas.openxmlformats.org/officeDocument/2006/relationships/hyperlink" Target="https://adl.org/resources/backgrounder/farrakhan-his-own-words" TargetMode="External"/><Relationship Id="rId663" Type="http://schemas.openxmlformats.org/officeDocument/2006/relationships/hyperlink" Target="https://adl.org/resources/backgrounder/hamas" TargetMode="External"/><Relationship Id="rId870" Type="http://schemas.openxmlformats.org/officeDocument/2006/relationships/hyperlink" Target="https://www.adl.org/resources/hate-symbol/blut-und-ehre" TargetMode="External"/><Relationship Id="rId1086" Type="http://schemas.openxmlformats.org/officeDocument/2006/relationships/hyperlink" Target="https://www.adl.org/resources/backgrounder/christian-identity-movement" TargetMode="External"/><Relationship Id="rId1293" Type="http://schemas.openxmlformats.org/officeDocument/2006/relationships/hyperlink" Target="https://www.adl.org/resources/hate-symbol/sturmabteilung" TargetMode="External"/><Relationship Id="rId109" Type="http://schemas.openxmlformats.org/officeDocument/2006/relationships/hyperlink" Target="https://www.adl.org/resources/backgrounder/militia-movement-2020" TargetMode="External"/><Relationship Id="rId316" Type="http://schemas.openxmlformats.org/officeDocument/2006/relationships/hyperlink" Target="https://www.adl.org/resources/hate-symbol/life-rune" TargetMode="External"/><Relationship Id="rId523" Type="http://schemas.openxmlformats.org/officeDocument/2006/relationships/hyperlink" Target="https://www.adl.org/resources/hate-symbol/orion" TargetMode="External"/><Relationship Id="rId968" Type="http://schemas.openxmlformats.org/officeDocument/2006/relationships/hyperlink" Target="https://www.adl.org/resources/report/hate-sunshine-state-extremism-antisemitism-florida-2020-2022" TargetMode="External"/><Relationship Id="rId1153" Type="http://schemas.openxmlformats.org/officeDocument/2006/relationships/hyperlink" Target="https://www.adl.org/resources/backgrounder/national-socialist-movement" TargetMode="External"/><Relationship Id="rId97" Type="http://schemas.openxmlformats.org/officeDocument/2006/relationships/hyperlink" Target="https://www.adl.org/resources/backgrounder/boogaloo-movement" TargetMode="External"/><Relationship Id="rId730" Type="http://schemas.openxmlformats.org/officeDocument/2006/relationships/hyperlink" Target="https://www.adl.org/resources/hate-symbol/skrewdriver" TargetMode="External"/><Relationship Id="rId828" Type="http://schemas.openxmlformats.org/officeDocument/2006/relationships/hyperlink" Target="https://www.adl.org/resources/article/mens-rights-activists-what-you-need-know" TargetMode="External"/><Relationship Id="rId1013" Type="http://schemas.openxmlformats.org/officeDocument/2006/relationships/hyperlink" Target="https://www.adl.org/resources/backgrounder/alt-right-primer-new-white-supremacy" TargetMode="External"/><Relationship Id="rId1360" Type="http://schemas.openxmlformats.org/officeDocument/2006/relationships/hyperlink" Target="https://www.adl.org/resources/hate-symbol/hate" TargetMode="External"/><Relationship Id="rId1458" Type="http://schemas.openxmlformats.org/officeDocument/2006/relationships/hyperlink" Target="https://www.adl.org/resources/article/two-neo-nazis-including-jew-slayer-arrested-weapons-charges" TargetMode="External"/><Relationship Id="rId1220" Type="http://schemas.openxmlformats.org/officeDocument/2006/relationships/hyperlink" Target="https://www.adl.org/resources/backgrounder/great-replacement-explainer" TargetMode="External"/><Relationship Id="rId1318" Type="http://schemas.openxmlformats.org/officeDocument/2006/relationships/hyperlink" Target="https://www.adl.org/resources/news/iranian-president-mahmoud-ahmadinejad-his-own-words" TargetMode="External"/><Relationship Id="rId1525" Type="http://schemas.openxmlformats.org/officeDocument/2006/relationships/hyperlink" Target="https://www.adl.org/resources/blog/witness-peace" TargetMode="External"/><Relationship Id="rId24" Type="http://schemas.openxmlformats.org/officeDocument/2006/relationships/hyperlink" Target="https://www.adl.org/resources/backgrounder/incels-involuntary-celibates" TargetMode="External"/><Relationship Id="rId173" Type="http://schemas.openxmlformats.org/officeDocument/2006/relationships/hyperlink" Target="https://www.adl.org/resources/backgrounder/sovereign-citizen-movement-united-states" TargetMode="External"/><Relationship Id="rId380" Type="http://schemas.openxmlformats.org/officeDocument/2006/relationships/hyperlink" Target="https://www.adl.org/resources/hate-symbol/vinlanders-social-club" TargetMode="External"/><Relationship Id="rId240" Type="http://schemas.openxmlformats.org/officeDocument/2006/relationships/hyperlink" Target="https://www.adl.org/resources/backgrounder/sovereign-citizen-movement-united-states" TargetMode="External"/><Relationship Id="rId478" Type="http://schemas.openxmlformats.org/officeDocument/2006/relationships/hyperlink" Target="https://www.adl.org/resources/news/occidental-observer-online-anti-semitisms-new-voice" TargetMode="External"/><Relationship Id="rId685" Type="http://schemas.openxmlformats.org/officeDocument/2006/relationships/hyperlink" Target="https://www.adl.org/resources/hate-symbol/klasp" TargetMode="External"/><Relationship Id="rId892" Type="http://schemas.openxmlformats.org/officeDocument/2006/relationships/hyperlink" Target="https://www.adl.org/resources/hate-symbol/aryan-fist" TargetMode="External"/><Relationship Id="rId100" Type="http://schemas.openxmlformats.org/officeDocument/2006/relationships/hyperlink" Target="https://www.adl.org/resources/hate-symbol/13" TargetMode="External"/><Relationship Id="rId338" Type="http://schemas.openxmlformats.org/officeDocument/2006/relationships/hyperlink" Target="https://www.adl.org/resources/article/hardcore-white-supremacists-elevate-dylann-roof-cult-hero-status" TargetMode="External"/><Relationship Id="rId545" Type="http://schemas.openxmlformats.org/officeDocument/2006/relationships/hyperlink" Target="https://www.adl.org/resources/backgrounder/764" TargetMode="External"/><Relationship Id="rId752" Type="http://schemas.openxmlformats.org/officeDocument/2006/relationships/hyperlink" Target="https://www.adl.org/resources/article/raised-reich-white-supremacists-are-recruiting-teens-ground-action" TargetMode="External"/><Relationship Id="rId1175" Type="http://schemas.openxmlformats.org/officeDocument/2006/relationships/hyperlink" Target="https://www.adl.org/resources/report/antisemitic-conspiracies-about-911-endure-20-years-later" TargetMode="External"/><Relationship Id="rId1382" Type="http://schemas.openxmlformats.org/officeDocument/2006/relationships/hyperlink" Target="https://www.adl.org/resources/article/untangling-false-claims-about-ashkenazi-jews-khazars-and-israel" TargetMode="External"/><Relationship Id="rId405" Type="http://schemas.openxmlformats.org/officeDocument/2006/relationships/hyperlink" Target="https://www.adl.org/resources/backgrounder/incels-involuntary-celibates" TargetMode="External"/><Relationship Id="rId612" Type="http://schemas.openxmlformats.org/officeDocument/2006/relationships/hyperlink" Target="https://www.adl.org/resources/article/colorado-white-supremacist-arrested-plotting-blow-synagogue" TargetMode="External"/><Relationship Id="rId1035" Type="http://schemas.openxmlformats.org/officeDocument/2006/relationships/hyperlink" Target="https://www.adl.org/resources/hate-symbol/arrow-cross" TargetMode="External"/><Relationship Id="rId1242" Type="http://schemas.openxmlformats.org/officeDocument/2006/relationships/hyperlink" Target="https://extremismterms.adl.org/glossary/kataib-hezbollah" TargetMode="External"/><Relationship Id="rId917" Type="http://schemas.openxmlformats.org/officeDocument/2006/relationships/hyperlink" Target="https://www.adl.org/resources/news/jared-taylor-academic-racist" TargetMode="External"/><Relationship Id="rId1102" Type="http://schemas.openxmlformats.org/officeDocument/2006/relationships/hyperlink" Target="https://www.adl.org/resources/report/hate-beyond-borders-internationalization-white-supremacy" TargetMode="External"/><Relationship Id="rId1547" Type="http://schemas.openxmlformats.org/officeDocument/2006/relationships/hyperlink" Target="https://www.adl.org/resources/backgrounder/key-holocaust-denial-tropes" TargetMode="External"/><Relationship Id="rId46" Type="http://schemas.openxmlformats.org/officeDocument/2006/relationships/hyperlink" Target="https://www.adl.org/holocaust-denial-anatomy-antisemitic-conspiracy-theory" TargetMode="External"/><Relationship Id="rId1407" Type="http://schemas.openxmlformats.org/officeDocument/2006/relationships/hyperlink" Target="https://www.adl.org/resources/backgrounder/extremist-sects-within-black-hebrew-israelite-movement" TargetMode="External"/><Relationship Id="rId195" Type="http://schemas.openxmlformats.org/officeDocument/2006/relationships/hyperlink" Target="https://www.adl.org/resources/backgrounder/rise-above-movement-ram" TargetMode="External"/><Relationship Id="rId262" Type="http://schemas.openxmlformats.org/officeDocument/2006/relationships/hyperlink" Target="https://www.adl.org/resources/backgrounder/sovereign-citizen-movement-united-states" TargetMode="External"/><Relationship Id="rId567" Type="http://schemas.openxmlformats.org/officeDocument/2006/relationships/hyperlink" Target="https://www.adl.org/resources/backgrounder/ammon-bundy-and-peoples-rights" TargetMode="External"/><Relationship Id="rId1197" Type="http://schemas.openxmlformats.org/officeDocument/2006/relationships/hyperlink" Target="https://www.adl.org/resources/article/ye-kanye-west-what-you-need-know" TargetMode="External"/><Relationship Id="rId122" Type="http://schemas.openxmlformats.org/officeDocument/2006/relationships/hyperlink" Target="https://www.adl.org/resources/article/men-going-their-own-way-mgtow-what-you-need-know" TargetMode="External"/><Relationship Id="rId774" Type="http://schemas.openxmlformats.org/officeDocument/2006/relationships/hyperlink" Target="https://www.adl.org/resources/hate-symbol/featherwood" TargetMode="External"/><Relationship Id="rId981" Type="http://schemas.openxmlformats.org/officeDocument/2006/relationships/hyperlink" Target="https://www.adl.org/resources/report/constitutional-sheriffs-and-peace-officers-association-cspoa-and-richard-mack-how" TargetMode="External"/><Relationship Id="rId1057" Type="http://schemas.openxmlformats.org/officeDocument/2006/relationships/hyperlink" Target="https://www.adl.org/resources/backgrounder/rise-above-movement-ram" TargetMode="External"/><Relationship Id="rId427" Type="http://schemas.openxmlformats.org/officeDocument/2006/relationships/hyperlink" Target="https://www.adl.org/resources/article/men-going-their-own-way-mgtow-what-you-need-know" TargetMode="External"/><Relationship Id="rId634" Type="http://schemas.openxmlformats.org/officeDocument/2006/relationships/hyperlink" Target="https://www.adl.org/resources/hate-symbol/mississippi-aryan-brotherhood" TargetMode="External"/><Relationship Id="rId841" Type="http://schemas.openxmlformats.org/officeDocument/2006/relationships/hyperlink" Target="https://www.adl.org/resources/backgrounder/who-are-antifa" TargetMode="External"/><Relationship Id="rId1264" Type="http://schemas.openxmlformats.org/officeDocument/2006/relationships/hyperlink" Target="https://www.adl.org/resources/report/sheikh-abdullah-faisal-ideologue-hate" TargetMode="External"/><Relationship Id="rId1471" Type="http://schemas.openxmlformats.org/officeDocument/2006/relationships/hyperlink" Target="https://www.adl.org/resources/report/white-supremacist-propaganda-incidents-soar-record-high-2023" TargetMode="External"/><Relationship Id="rId1569" Type="http://schemas.openxmlformats.org/officeDocument/2006/relationships/hyperlink" Target="https://www.adl.org/resources/article/untangling-false-claims-about-ashkenazi-jews-khazars-and-israel" TargetMode="External"/><Relationship Id="rId701" Type="http://schemas.openxmlformats.org/officeDocument/2006/relationships/hyperlink" Target="https://www.adl.org/resources/hate-symbol/american-identity-movement-aim" TargetMode="External"/><Relationship Id="rId939" Type="http://schemas.openxmlformats.org/officeDocument/2006/relationships/hyperlink" Target="https://www.adl.org/resources/backgrounder/proud-boys-0" TargetMode="External"/><Relationship Id="rId1124" Type="http://schemas.openxmlformats.org/officeDocument/2006/relationships/hyperlink" Target="https://www.adl.org/resources/news/jared-taylor-academic-racist" TargetMode="External"/><Relationship Id="rId1331" Type="http://schemas.openxmlformats.org/officeDocument/2006/relationships/hyperlink" Target="https://notoleranceforantisemitism.adl.org/resources/backgrounder/atomwaffen-division-awd-national-socialist-order-nso" TargetMode="External"/><Relationship Id="rId68" Type="http://schemas.openxmlformats.org/officeDocument/2006/relationships/hyperlink" Target="https://www.adl.org/resources/backgrounder/qanon" TargetMode="External"/><Relationship Id="rId1429" Type="http://schemas.openxmlformats.org/officeDocument/2006/relationships/hyperlink" Target="https://www.adl.org/resources/backgrounder/764" TargetMode="External"/><Relationship Id="rId284" Type="http://schemas.openxmlformats.org/officeDocument/2006/relationships/hyperlink" Target="https://www.adl.org/resources/hate-symbol/38" TargetMode="External"/><Relationship Id="rId491" Type="http://schemas.openxmlformats.org/officeDocument/2006/relationships/hyperlink" Target="https://www.adl.org/resources/report/report-new-black-panther-party-self-defense-nbpp" TargetMode="External"/><Relationship Id="rId144" Type="http://schemas.openxmlformats.org/officeDocument/2006/relationships/hyperlink" Target="https://www.adl.org/resources/article/white-boy-summer-meme-mobilization" TargetMode="External"/><Relationship Id="rId589" Type="http://schemas.openxmlformats.org/officeDocument/2006/relationships/hyperlink" Target="https://www.adl.org/resources/backgrounder/qanon" TargetMode="External"/><Relationship Id="rId796" Type="http://schemas.openxmlformats.org/officeDocument/2006/relationships/hyperlink" Target="https://www.adl.org/resources/hate-symbol/goyim-knowshut-it-down" TargetMode="External"/><Relationship Id="rId351" Type="http://schemas.openxmlformats.org/officeDocument/2006/relationships/hyperlink" Target="https://www.adl.org/resources/blog/buffalo-shooters-manifesto-promotes-great-replacement-theory-antisemitism-and-previous-mass-shooters" TargetMode="External"/><Relationship Id="rId449" Type="http://schemas.openxmlformats.org/officeDocument/2006/relationships/hyperlink" Target="https://www.adl.org/resources/news/occidental-observer-online-anti-semitisms-new-voice" TargetMode="External"/><Relationship Id="rId656" Type="http://schemas.openxmlformats.org/officeDocument/2006/relationships/hyperlink" Target="https://adl.org/resources/backgrounder/groyper-army-and-america-first" TargetMode="External"/><Relationship Id="rId863" Type="http://schemas.openxmlformats.org/officeDocument/2006/relationships/hyperlink" Target="https://www.adl.org/resources/hate-symbol/5-words" TargetMode="External"/><Relationship Id="rId1079" Type="http://schemas.openxmlformats.org/officeDocument/2006/relationships/hyperlink" Target="https://www.adl.org/resources/hate-symbol/brothers-white-warriors" TargetMode="External"/><Relationship Id="rId1286" Type="http://schemas.openxmlformats.org/officeDocument/2006/relationships/hyperlink" Target="https://www.adl.org/resources/article/jewish-problem-conference-kentucky-brings-together-antisemites-extremists-across" TargetMode="External"/><Relationship Id="rId1493" Type="http://schemas.openxmlformats.org/officeDocument/2006/relationships/hyperlink" Target="https://www.adl.org/resources/news/20-years-later-shadows-ruby-ridge-standoff-still-linger" TargetMode="External"/><Relationship Id="rId211" Type="http://schemas.openxmlformats.org/officeDocument/2006/relationships/hyperlink" Target="https://www.adl.org/resources/hate-symbol/23-hand-sign" TargetMode="External"/><Relationship Id="rId309" Type="http://schemas.openxmlformats.org/officeDocument/2006/relationships/hyperlink" Target="https://www.adl.org/resources/backgrounder/alt-right-alt-lite-naming-hate" TargetMode="External"/><Relationship Id="rId516" Type="http://schemas.openxmlformats.org/officeDocument/2006/relationships/hyperlink" Target="https://adl.org/resources/backgrounder/national-socialist-front-nsf" TargetMode="External"/><Relationship Id="rId1146" Type="http://schemas.openxmlformats.org/officeDocument/2006/relationships/hyperlink" Target="https://www.adl.org/resources/backgrounder/christian-identity-movement" TargetMode="External"/><Relationship Id="rId723" Type="http://schemas.openxmlformats.org/officeDocument/2006/relationships/hyperlink" Target="https://www.adl.org/resources/hate-symbol/imperial-german-flag" TargetMode="External"/><Relationship Id="rId930" Type="http://schemas.openxmlformats.org/officeDocument/2006/relationships/hyperlink" Target="https://www.adl.org/resources/article/white-supremacist-music-prevalent-spotify-while-platform-largely-declines-act" TargetMode="External"/><Relationship Id="rId1006" Type="http://schemas.openxmlformats.org/officeDocument/2006/relationships/hyperlink" Target="https://www.adl.org/resources/report/hate-beyond-borders-internationalization-white-supremacy" TargetMode="External"/><Relationship Id="rId1353" Type="http://schemas.openxmlformats.org/officeDocument/2006/relationships/hyperlink" Target="https://www.adl.org/resources/hate-symbol/iron-cross" TargetMode="External"/><Relationship Id="rId1560" Type="http://schemas.openxmlformats.org/officeDocument/2006/relationships/hyperlink" Target="https://www.adl.org/resources/backgrounder/qanon" TargetMode="External"/><Relationship Id="rId1213" Type="http://schemas.openxmlformats.org/officeDocument/2006/relationships/hyperlink" Target="https://www.adl.org/resources/backgrounder/sovereign-citizen-movement-united-states" TargetMode="External"/><Relationship Id="rId1420" Type="http://schemas.openxmlformats.org/officeDocument/2006/relationships/hyperlink" Target="https://www.adl.org/resources/report/hate-beyond-borders-internationalization-white-supremacy" TargetMode="External"/><Relationship Id="rId1518" Type="http://schemas.openxmlformats.org/officeDocument/2006/relationships/hyperlink" Target="https://www.adl.org/resources/article/twenty-five-years-later-oklahoma-city-bombing-inspires-new-generation-extremists" TargetMode="External"/><Relationship Id="rId17" Type="http://schemas.openxmlformats.org/officeDocument/2006/relationships/hyperlink" Target="https://www.adl.org/resources/backgrounder/incels-involuntary-celibates" TargetMode="External"/><Relationship Id="rId166" Type="http://schemas.openxmlformats.org/officeDocument/2006/relationships/hyperlink" Target="https://www.adl.org/resources/backgrounder/qanon" TargetMode="External"/><Relationship Id="rId373" Type="http://schemas.openxmlformats.org/officeDocument/2006/relationships/hyperlink" Target="https://www.adl.org/resources/backgrounder/militia-movement-2020" TargetMode="External"/><Relationship Id="rId580" Type="http://schemas.openxmlformats.org/officeDocument/2006/relationships/hyperlink" Target="https://www.adl.org/resources/backgrounder/proud-boys" TargetMode="External"/><Relationship Id="rId1" Type="http://schemas.openxmlformats.org/officeDocument/2006/relationships/hyperlink" Target="https://www.adl.org/resources/hate-symbol/european-kindred" TargetMode="External"/><Relationship Id="rId233" Type="http://schemas.openxmlformats.org/officeDocument/2006/relationships/hyperlink" Target="https://www.adl.org/resources/backgrounder/qanon" TargetMode="External"/><Relationship Id="rId440" Type="http://schemas.openxmlformats.org/officeDocument/2006/relationships/hyperlink" Target="https://www.adl.org/resources/backgrounder/three-percenters" TargetMode="External"/><Relationship Id="rId678" Type="http://schemas.openxmlformats.org/officeDocument/2006/relationships/hyperlink" Target="https://www.adl.org/resources/backgrounder/chant-khaybar-khaybar-oh-jews-army-mohammed-will-return" TargetMode="External"/><Relationship Id="rId885" Type="http://schemas.openxmlformats.org/officeDocument/2006/relationships/hyperlink" Target="https://www.adl.org/sites/default/files/Gilad-Atzmon-one-pager-final.pdf" TargetMode="External"/><Relationship Id="rId1070" Type="http://schemas.openxmlformats.org/officeDocument/2006/relationships/hyperlink" Target="https://www.adl.org/resources/hate-symbol/blut-und-ehre" TargetMode="External"/><Relationship Id="rId300" Type="http://schemas.openxmlformats.org/officeDocument/2006/relationships/hyperlink" Target="https://www.adl.org/resources/news/richard-spencer-five-things-know" TargetMode="External"/><Relationship Id="rId538" Type="http://schemas.openxmlformats.org/officeDocument/2006/relationships/hyperlink" Target="https://www.adl.org/resources/backgrounder/oath-keepers" TargetMode="External"/><Relationship Id="rId745" Type="http://schemas.openxmlformats.org/officeDocument/2006/relationships/hyperlink" Target="https://www.adl.org/resources/backgrounder/accelerationism" TargetMode="External"/><Relationship Id="rId952" Type="http://schemas.openxmlformats.org/officeDocument/2006/relationships/hyperlink" Target="https://www.adl.org/resources/report/hate-beyond-borders-internationalization-white-supremacy" TargetMode="External"/><Relationship Id="rId1168" Type="http://schemas.openxmlformats.org/officeDocument/2006/relationships/hyperlink" Target="https://www.adl.org/resources/hate-symbol/crucified-skinhead" TargetMode="External"/><Relationship Id="rId1375" Type="http://schemas.openxmlformats.org/officeDocument/2006/relationships/hyperlink" Target="https://www.adl.org/resources/backgrounder/alt-right-alt-lite-naming-hate" TargetMode="External"/><Relationship Id="rId1582" Type="http://schemas.openxmlformats.org/officeDocument/2006/relationships/hyperlink" Target="https://www.adl.org/resources/article/road-power-idaho-outfit-behind-rash-racist-anti-semitic-robocalls" TargetMode="External"/><Relationship Id="rId81" Type="http://schemas.openxmlformats.org/officeDocument/2006/relationships/hyperlink" Target="https://extremismterms.adl.org/glossary/national-socialist-order-nso" TargetMode="External"/><Relationship Id="rId605" Type="http://schemas.openxmlformats.org/officeDocument/2006/relationships/hyperlink" Target="https://www.adl.org/resources/hate-symbol/1352-1390" TargetMode="External"/><Relationship Id="rId812" Type="http://schemas.openxmlformats.org/officeDocument/2006/relationships/hyperlink" Target="https://www.adl.org/resources/hate-symbol/crew-1488" TargetMode="External"/><Relationship Id="rId1028" Type="http://schemas.openxmlformats.org/officeDocument/2006/relationships/hyperlink" Target="https://www.adl.org/resources/article/andrew-torba-five-things-know" TargetMode="External"/><Relationship Id="rId1235" Type="http://schemas.openxmlformats.org/officeDocument/2006/relationships/hyperlink" Target="https://www.adl.org/resources/press-release/new-report-examines-how-isis-manipulates-social-media" TargetMode="External"/><Relationship Id="rId1442" Type="http://schemas.openxmlformats.org/officeDocument/2006/relationships/hyperlink" Target="https://www.adl.org/resources/backgrounder/oath-keepers" TargetMode="External"/><Relationship Id="rId1302" Type="http://schemas.openxmlformats.org/officeDocument/2006/relationships/hyperlink" Target="https://www.adl.org/resources/hate-symbol/ss-hand-sign" TargetMode="External"/><Relationship Id="rId39" Type="http://schemas.openxmlformats.org/officeDocument/2006/relationships/hyperlink" Target="https://www.adl.org/resources/backgrounder/qanon" TargetMode="External"/><Relationship Id="rId188" Type="http://schemas.openxmlformats.org/officeDocument/2006/relationships/hyperlink" Target="https://www.adl.org/resources/backgrounder/rise-above-movement-ram" TargetMode="External"/><Relationship Id="rId395" Type="http://schemas.openxmlformats.org/officeDocument/2006/relationships/hyperlink" Target="https://www.adl.org/resources/backgrounder/alt-right-alt-lite-naming-hate" TargetMode="External"/><Relationship Id="rId255" Type="http://schemas.openxmlformats.org/officeDocument/2006/relationships/hyperlink" Target="https://www.adl.org/resources/report/antisemitic-conspiracies-about-911-endure-20-years-later" TargetMode="External"/><Relationship Id="rId462" Type="http://schemas.openxmlformats.org/officeDocument/2006/relationships/hyperlink" Target="https://www.adl.org/resources/backgrounder/groyper-army-and-america-first" TargetMode="External"/><Relationship Id="rId1092" Type="http://schemas.openxmlformats.org/officeDocument/2006/relationships/hyperlink" Target="https://www.adl.org/resources/hate-symbol/18" TargetMode="External"/><Relationship Id="rId1397" Type="http://schemas.openxmlformats.org/officeDocument/2006/relationships/hyperlink" Target="https://www.adl.org/resources/news/ron-unz-controversial-writer-and-funder-anti-israel-activists" TargetMode="External"/><Relationship Id="rId115" Type="http://schemas.openxmlformats.org/officeDocument/2006/relationships/hyperlink" Target="https://www.adl.org/resources/article/arrest-united-constitutional-patriots-leader-renews-concerns-over-border" TargetMode="External"/><Relationship Id="rId322" Type="http://schemas.openxmlformats.org/officeDocument/2006/relationships/hyperlink" Target="https://www.adl.org/resources/backgrounder/764" TargetMode="External"/><Relationship Id="rId767" Type="http://schemas.openxmlformats.org/officeDocument/2006/relationships/hyperlink" Target="https://www.adl.org/resources/hate-symbol/firm-22" TargetMode="External"/><Relationship Id="rId974" Type="http://schemas.openxmlformats.org/officeDocument/2006/relationships/hyperlink" Target="https://www.adl.org/resources/news/don-blackstormfront" TargetMode="External"/><Relationship Id="rId627" Type="http://schemas.openxmlformats.org/officeDocument/2006/relationships/hyperlink" Target="https://www.adl.org/resources/hate-symbol/muh-holocaust" TargetMode="External"/><Relationship Id="rId834" Type="http://schemas.openxmlformats.org/officeDocument/2006/relationships/hyperlink" Target="https://www.adl.org/resources/hate-symbol/nsm-legacy-logos" TargetMode="External"/><Relationship Id="rId1257" Type="http://schemas.openxmlformats.org/officeDocument/2006/relationships/hyperlink" Target="https://www.adl.org/resources/hate-symbols/search" TargetMode="External"/><Relationship Id="rId1464" Type="http://schemas.openxmlformats.org/officeDocument/2006/relationships/hyperlink" Target="https://www.adl.org/resources/backgrounder/national-justice-party" TargetMode="External"/><Relationship Id="rId901" Type="http://schemas.openxmlformats.org/officeDocument/2006/relationships/hyperlink" Target="https://www.adl.org/resources/backgrounder/accelerationism" TargetMode="External"/><Relationship Id="rId1117" Type="http://schemas.openxmlformats.org/officeDocument/2006/relationships/hyperlink" Target="https://www.adl.org/resources/backgrounder/qanon" TargetMode="External"/><Relationship Id="rId1324" Type="http://schemas.openxmlformats.org/officeDocument/2006/relationships/hyperlink" Target="https://www.adl.org/resources/article/extremist-medicine-cabinet-guide-online-pills" TargetMode="External"/><Relationship Id="rId1531" Type="http://schemas.openxmlformats.org/officeDocument/2006/relationships/hyperlink" Target="https://www.adl.org/resources/article/anti-semitic-conspiracy-theorist-christopher-bollyn-speaks-brooklyn" TargetMode="External"/><Relationship Id="rId30" Type="http://schemas.openxmlformats.org/officeDocument/2006/relationships/hyperlink" Target="https://extremismterms.adl.org/glossary/trunews" TargetMode="External"/><Relationship Id="rId277" Type="http://schemas.openxmlformats.org/officeDocument/2006/relationships/hyperlink" Target="https://www.adl.org/resources/hate-symbol/aryan-knights" TargetMode="External"/><Relationship Id="rId484" Type="http://schemas.openxmlformats.org/officeDocument/2006/relationships/hyperlink" Target="https://www.adl.org/resources/hate-symbol/rock-against-communism" TargetMode="External"/><Relationship Id="rId137" Type="http://schemas.openxmlformats.org/officeDocument/2006/relationships/hyperlink" Target="https://www.adl.org/resources/backgrounder/accelerationism" TargetMode="External"/><Relationship Id="rId344" Type="http://schemas.openxmlformats.org/officeDocument/2006/relationships/hyperlink" Target="https://www.adl.org/resources/hate-symbol/318" TargetMode="External"/><Relationship Id="rId691" Type="http://schemas.openxmlformats.org/officeDocument/2006/relationships/hyperlink" Target="https://www.adl.org/resources/hate-symbol/akia" TargetMode="External"/><Relationship Id="rId789" Type="http://schemas.openxmlformats.org/officeDocument/2006/relationships/hyperlink" Target="https://www.adl.org/resources/hate-symbol/day-rope" TargetMode="External"/><Relationship Id="rId996" Type="http://schemas.openxmlformats.org/officeDocument/2006/relationships/hyperlink" Target="https://www.adl.org/resources/hate-symbol/rock-against-communism" TargetMode="External"/><Relationship Id="rId551" Type="http://schemas.openxmlformats.org/officeDocument/2006/relationships/hyperlink" Target="https://www.adl.org/resources/hate-symbol/1-11" TargetMode="External"/><Relationship Id="rId649" Type="http://schemas.openxmlformats.org/officeDocument/2006/relationships/hyperlink" Target="https://www.adl.org/resources/backgrounder/sovereign-citizen-movement-united-states" TargetMode="External"/><Relationship Id="rId856" Type="http://schemas.openxmlformats.org/officeDocument/2006/relationships/hyperlink" Target="https://www.adl.org/resources/article/arrest-united-constitutional-patriots-leader-renews-concerns-over-border" TargetMode="External"/><Relationship Id="rId1181" Type="http://schemas.openxmlformats.org/officeDocument/2006/relationships/hyperlink" Target="https://www.adl.org/resources/news/david-lane-white-supremacist-terrorist-and-ideologue-dies-prison" TargetMode="External"/><Relationship Id="rId1279" Type="http://schemas.openxmlformats.org/officeDocument/2006/relationships/hyperlink" Target="https://www.adl.org/resources/news/richard-spencer-five-things-know" TargetMode="External"/><Relationship Id="rId1486" Type="http://schemas.openxmlformats.org/officeDocument/2006/relationships/hyperlink" Target="https://www.adl.org/resources/report/hate-cascade-states-extremism-antisemitism-oregon-washington" TargetMode="External"/><Relationship Id="rId204" Type="http://schemas.openxmlformats.org/officeDocument/2006/relationships/hyperlink" Target="https://www.adl.org/resources/hate-symbol/21-2-12" TargetMode="External"/><Relationship Id="rId411" Type="http://schemas.openxmlformats.org/officeDocument/2006/relationships/hyperlink" Target="https://www.adl.org/resources/hate-symbol/totenkopf" TargetMode="External"/><Relationship Id="rId509" Type="http://schemas.openxmlformats.org/officeDocument/2006/relationships/hyperlink" Target="https://www.adl.org/resources/hate-symbol/peni" TargetMode="External"/><Relationship Id="rId1041" Type="http://schemas.openxmlformats.org/officeDocument/2006/relationships/hyperlink" Target="https://www.adl.org/resources/hate-symbol/aryan-cowboy-brotherhood" TargetMode="External"/><Relationship Id="rId1139" Type="http://schemas.openxmlformats.org/officeDocument/2006/relationships/hyperlink" Target="https://www.adl.org/resources/article/behind-american-guard-hardcore-white-supremacists" TargetMode="External"/><Relationship Id="rId1346" Type="http://schemas.openxmlformats.org/officeDocument/2006/relationships/hyperlink" Target="https://www.adl.org/resources/article/deadly-shooting-california-chabad-highlights-threat-jewish-houses-worship" TargetMode="External"/><Relationship Id="rId716" Type="http://schemas.openxmlformats.org/officeDocument/2006/relationships/hyperlink" Target="https://www.adl.org/resources/hate-symbol/iron-cross" TargetMode="External"/><Relationship Id="rId923" Type="http://schemas.openxmlformats.org/officeDocument/2006/relationships/hyperlink" Target="https://www.adl.org/resources/news/following-absence-white-supremacist-show-returns-airwaves" TargetMode="External"/><Relationship Id="rId1553" Type="http://schemas.openxmlformats.org/officeDocument/2006/relationships/hyperlink" Target="https://www.adl.org/resources/backgrounder/short-history-holocaust-denial-united-states" TargetMode="External"/><Relationship Id="rId52" Type="http://schemas.openxmlformats.org/officeDocument/2006/relationships/hyperlink" Target="https://www.adl.org/resources/article/another-weekend-hate-neo-nazis-gather-florida" TargetMode="External"/><Relationship Id="rId1206" Type="http://schemas.openxmlformats.org/officeDocument/2006/relationships/hyperlink" Target="https://www.adl.org/resources/backgrounder/hamas" TargetMode="External"/><Relationship Id="rId1413" Type="http://schemas.openxmlformats.org/officeDocument/2006/relationships/hyperlink" Target="https://www.adl.org/resources/blog/antisemitic-rapper-young-pharaoh-spews-bigotry-racist-hate" TargetMode="External"/><Relationship Id="rId299" Type="http://schemas.openxmlformats.org/officeDocument/2006/relationships/hyperlink" Target="https://www.adl.org/resources/news/richard-spencer-five-things-know" TargetMode="External"/><Relationship Id="rId159" Type="http://schemas.openxmlformats.org/officeDocument/2006/relationships/hyperlink" Target="https://www.adl.org/resources/backgrounder/qanon" TargetMode="External"/><Relationship Id="rId366" Type="http://schemas.openxmlformats.org/officeDocument/2006/relationships/hyperlink" Target="https://www.adl.org/resources/backgrounder/sovereign-citizen-movement-united-states" TargetMode="External"/><Relationship Id="rId573" Type="http://schemas.openxmlformats.org/officeDocument/2006/relationships/hyperlink" Target="https://www.adl.org/resources/hate-symbol/pepe-frog" TargetMode="External"/><Relationship Id="rId780" Type="http://schemas.openxmlformats.org/officeDocument/2006/relationships/hyperlink" Target="https://www.adl.org/resources/article/andrew-tate-five-things-know" TargetMode="External"/><Relationship Id="rId226" Type="http://schemas.openxmlformats.org/officeDocument/2006/relationships/hyperlink" Target="https://www.adl.org/resources/backgrounder/qanon" TargetMode="External"/><Relationship Id="rId433" Type="http://schemas.openxmlformats.org/officeDocument/2006/relationships/hyperlink" Target="https://www.adl.org/resources/backgrounder/proud-boys-0" TargetMode="External"/><Relationship Id="rId878" Type="http://schemas.openxmlformats.org/officeDocument/2006/relationships/hyperlink" Target="https://www.adl.org/resources/backgrounder/base" TargetMode="External"/><Relationship Id="rId1063" Type="http://schemas.openxmlformats.org/officeDocument/2006/relationships/hyperlink" Target="https://www.adl.org/resources/article/extremist-medicine-cabinet-guide-online-pills" TargetMode="External"/><Relationship Id="rId1270" Type="http://schemas.openxmlformats.org/officeDocument/2006/relationships/hyperlink" Target="https://www.adl.org/resources/backgrounder/new-independent-fundamental-baptist-new-ifb-movement" TargetMode="External"/><Relationship Id="rId640" Type="http://schemas.openxmlformats.org/officeDocument/2006/relationships/hyperlink" Target="https://www.adl.org/resources/hate-symbol/1423" TargetMode="External"/><Relationship Id="rId738" Type="http://schemas.openxmlformats.org/officeDocument/2006/relationships/hyperlink" Target="https://www.adl.org/resources/hate-symbol/hate-edge" TargetMode="External"/><Relationship Id="rId945" Type="http://schemas.openxmlformats.org/officeDocument/2006/relationships/hyperlink" Target="https://www.adl.org/resources/backgrounder/alt-right-alt-lite-naming-hate" TargetMode="External"/><Relationship Id="rId1368" Type="http://schemas.openxmlformats.org/officeDocument/2006/relationships/hyperlink" Target="https://www.adl.org/resources/hate-symbol/georgia-aryan-brotherhood" TargetMode="External"/><Relationship Id="rId1575" Type="http://schemas.openxmlformats.org/officeDocument/2006/relationships/hyperlink" Target="https://www.adl.org/resources/article/foreign-terror-organizations-respond-us-embassy-relocation-jerusalem" TargetMode="External"/><Relationship Id="rId74" Type="http://schemas.openxmlformats.org/officeDocument/2006/relationships/hyperlink" Target="https://extremismterms.adl.org/glossary/palestinian-islamic-jihad" TargetMode="External"/><Relationship Id="rId500" Type="http://schemas.openxmlformats.org/officeDocument/2006/relationships/hyperlink" Target="https://www.adl.org/resources/hate-symbol/soldiers-aryan-culture" TargetMode="External"/><Relationship Id="rId805" Type="http://schemas.openxmlformats.org/officeDocument/2006/relationships/hyperlink" Target="https://www.adl.org/resources/backgrounder/great-replacement-explainer" TargetMode="External"/><Relationship Id="rId1130" Type="http://schemas.openxmlformats.org/officeDocument/2006/relationships/hyperlink" Target="https://www.adl.org/resources/backgrounder/qanon" TargetMode="External"/><Relationship Id="rId1228" Type="http://schemas.openxmlformats.org/officeDocument/2006/relationships/hyperlink" Target="https://www.adl.org/resources/profile/volksfront" TargetMode="External"/><Relationship Id="rId1435" Type="http://schemas.openxmlformats.org/officeDocument/2006/relationships/hyperlink" Target="https://www.adl.org/resources/hate-symbol/wp" TargetMode="External"/><Relationship Id="rId1502" Type="http://schemas.openxmlformats.org/officeDocument/2006/relationships/hyperlink" Target="https://www.adl.org/resources/report/despite-internal-turmoil-klan-groups-persist" TargetMode="External"/><Relationship Id="rId290" Type="http://schemas.openxmlformats.org/officeDocument/2006/relationships/hyperlink" Target="https://www.adl.org/resources/backgrounder/sovereign-citizen-movement-united-states" TargetMode="External"/><Relationship Id="rId388" Type="http://schemas.openxmlformats.org/officeDocument/2006/relationships/hyperlink" Target="https://www.adl.org/resources/article/terrorgram-collective-international-terrorists-promoting-violence-and-white" TargetMode="External"/><Relationship Id="rId150" Type="http://schemas.openxmlformats.org/officeDocument/2006/relationships/hyperlink" Target="https://www.adl.org/resources/backgrounder/qanon" TargetMode="External"/><Relationship Id="rId595" Type="http://schemas.openxmlformats.org/officeDocument/2006/relationships/hyperlink" Target="https://adl.org/resources/backgrounder/qanon" TargetMode="External"/><Relationship Id="rId248" Type="http://schemas.openxmlformats.org/officeDocument/2006/relationships/hyperlink" Target="https://www.adl.org/resources/hate-symbol/100" TargetMode="External"/><Relationship Id="rId455" Type="http://schemas.openxmlformats.org/officeDocument/2006/relationships/hyperlink" Target="https://www.adl.org/resources/article/extremist-medicine-cabinet-guide-online-pills" TargetMode="External"/><Relationship Id="rId662" Type="http://schemas.openxmlformats.org/officeDocument/2006/relationships/hyperlink" Target="https://www.adl.org/resources/article/deadly-shooting-pittsburgh-synagogue" TargetMode="External"/><Relationship Id="rId1085" Type="http://schemas.openxmlformats.org/officeDocument/2006/relationships/hyperlink" Target="https://adl.org/resources/backgrounder/christian-identity-movement" TargetMode="External"/><Relationship Id="rId1292" Type="http://schemas.openxmlformats.org/officeDocument/2006/relationships/hyperlink" Target="https://www.adl.org/resources/news/two-men-arrested-new-york-terror-plot-targeting-jews" TargetMode="External"/><Relationship Id="rId108" Type="http://schemas.openxmlformats.org/officeDocument/2006/relationships/hyperlink" Target="https://www.adl.org/resources/hate-symbol/88" TargetMode="External"/><Relationship Id="rId315" Type="http://schemas.openxmlformats.org/officeDocument/2006/relationships/hyperlink" Target="https://www.adl.org/resources/hate-symbol/88" TargetMode="External"/><Relationship Id="rId522" Type="http://schemas.openxmlformats.org/officeDocument/2006/relationships/hyperlink" Target="https://www.adl.org/resources/news/murder-and-extremism-united-states-2015" TargetMode="External"/><Relationship Id="rId967" Type="http://schemas.openxmlformats.org/officeDocument/2006/relationships/hyperlink" Target="https://www.adl.org/resources/report/us-white-supremacist-propaganda-remained-historic-levels-2021-27-percent-rise" TargetMode="External"/><Relationship Id="rId1152" Type="http://schemas.openxmlformats.org/officeDocument/2006/relationships/hyperlink" Target="https://www.adl.org/resources/backgrounder/qanon" TargetMode="External"/><Relationship Id="rId96" Type="http://schemas.openxmlformats.org/officeDocument/2006/relationships/hyperlink" Target="https://www.adl.org/resources/backgrounder/boogaloo-movement" TargetMode="External"/><Relationship Id="rId827" Type="http://schemas.openxmlformats.org/officeDocument/2006/relationships/hyperlink" Target="https://www.adl.org/resources/hate-symbol/18" TargetMode="External"/><Relationship Id="rId1012" Type="http://schemas.openxmlformats.org/officeDocument/2006/relationships/hyperlink" Target="https://www.adl.org/resources/backgrounder/alt-right-alt-lite-naming-hate" TargetMode="External"/><Relationship Id="rId1457" Type="http://schemas.openxmlformats.org/officeDocument/2006/relationships/hyperlink" Target="https://www.adl.org/resources/news/two-ties-white-supremacy-suspected-plot-bomb-boston-sites" TargetMode="External"/><Relationship Id="rId1317" Type="http://schemas.openxmlformats.org/officeDocument/2006/relationships/hyperlink" Target="https://www.adl.org/resources/hate-symbol/solid-wood-soldiers" TargetMode="External"/><Relationship Id="rId1524" Type="http://schemas.openxmlformats.org/officeDocument/2006/relationships/hyperlink" Target="https://www.adl.org/resources/hate-symbol/happy-merchan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F4BD4-D9CD-41BF-88EE-D85EB59B40B7}">
  <dimension ref="A1:B7"/>
  <sheetViews>
    <sheetView workbookViewId="0">
      <selection activeCell="A8" sqref="A8"/>
    </sheetView>
  </sheetViews>
  <sheetFormatPr defaultRowHeight="15.75"/>
  <sheetData>
    <row r="1" spans="1:2">
      <c r="A1" t="s">
        <v>0</v>
      </c>
    </row>
    <row r="2" spans="1:2">
      <c r="A2" s="19">
        <f>COUNTA('glossaryterms-export'!G1:G1091)</f>
        <v>888</v>
      </c>
      <c r="B2" t="s">
        <v>1</v>
      </c>
    </row>
    <row r="3" spans="1:2">
      <c r="A3" s="18">
        <f>A2/1091</f>
        <v>0.81393217231897341</v>
      </c>
      <c r="B3" t="s">
        <v>2</v>
      </c>
    </row>
    <row r="5" spans="1:2">
      <c r="A5" t="s">
        <v>3</v>
      </c>
    </row>
    <row r="6" spans="1:2">
      <c r="A6">
        <f>COUNTA('glossaryterms-export'!H1:H1091)</f>
        <v>712</v>
      </c>
      <c r="B6" t="s">
        <v>1</v>
      </c>
    </row>
    <row r="7" spans="1:2">
      <c r="A7" s="18">
        <f>A6/1091</f>
        <v>0.6526122823098075</v>
      </c>
      <c r="B7"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FCE89-274C-4899-A66F-FCD580B0BCEE}">
  <dimension ref="A1:M5953"/>
  <sheetViews>
    <sheetView topLeftCell="A50" workbookViewId="0">
      <selection activeCell="D1025" sqref="D1025"/>
    </sheetView>
  </sheetViews>
  <sheetFormatPr defaultRowHeight="15.75"/>
  <cols>
    <col min="2" max="2" width="53.75" customWidth="1"/>
    <col min="3" max="3" width="59.5" customWidth="1"/>
    <col min="4" max="4" width="10.75" customWidth="1"/>
    <col min="5" max="5" width="15.875" customWidth="1"/>
    <col min="6" max="6" width="24.75" customWidth="1"/>
    <col min="7" max="7" width="19" customWidth="1"/>
    <col min="8" max="8" width="19.5" customWidth="1"/>
    <col min="10" max="10" width="20.125" customWidth="1"/>
    <col min="11" max="11" width="41.25" customWidth="1"/>
    <col min="12" max="12" width="34.5" customWidth="1"/>
  </cols>
  <sheetData>
    <row r="1" spans="1:13">
      <c r="A1" t="s">
        <v>4</v>
      </c>
      <c r="B1" s="14" t="s">
        <v>5</v>
      </c>
      <c r="C1" t="s">
        <v>6</v>
      </c>
      <c r="D1" s="12" t="s">
        <v>7</v>
      </c>
      <c r="E1" s="12" t="s">
        <v>8</v>
      </c>
      <c r="F1" s="12" t="s">
        <v>9</v>
      </c>
      <c r="G1" t="s">
        <v>10</v>
      </c>
      <c r="H1" t="s">
        <v>11</v>
      </c>
      <c r="I1" t="s">
        <v>12</v>
      </c>
      <c r="J1" t="s">
        <v>13</v>
      </c>
      <c r="K1" t="s">
        <v>14</v>
      </c>
      <c r="M1" s="12"/>
    </row>
    <row r="2" spans="1:13">
      <c r="A2">
        <v>1</v>
      </c>
      <c r="B2" s="11" t="s">
        <v>15</v>
      </c>
      <c r="C2" t="s">
        <v>16</v>
      </c>
      <c r="D2" s="1"/>
      <c r="E2" s="1" t="str">
        <f>_xlfn.REGEXREPLACE(C2, "(.*)\/$", "https://extremismterms.adl.org\1")</f>
        <v>https://extremismterms.adl.org/glossary/frazzledrip</v>
      </c>
      <c r="F2" s="1" t="str" cm="1">
        <f t="array" ref="F2">_xlfn.LET(_xlpm.rowNum,MATCH(E2,'glossaryterms-export'!C:C,0),
IF(AND(NOT(ISBLANK(INDEX('glossaryterms-export'!H:H,_xlpm.rowNum))),ISBLANK(INDEX('glossaryterms-export'!I:I,_xlpm.rowNum))),"Ready to Fix",""))</f>
        <v/>
      </c>
      <c r="G2">
        <v>261350</v>
      </c>
      <c r="H2">
        <v>226953</v>
      </c>
      <c r="I2">
        <v>1.1515600146285701</v>
      </c>
      <c r="J2">
        <v>34.766312848915803</v>
      </c>
      <c r="K2">
        <v>1045389</v>
      </c>
      <c r="L2" t="s">
        <v>17</v>
      </c>
    </row>
    <row r="3" spans="1:13" ht="61.5">
      <c r="A3">
        <v>2</v>
      </c>
      <c r="B3" s="11" t="s">
        <v>18</v>
      </c>
      <c r="C3" t="s">
        <v>19</v>
      </c>
      <c r="D3" s="1" t="s">
        <v>20</v>
      </c>
      <c r="E3" s="1" t="str">
        <f>_xlfn.REGEXREPLACE(C3, "(.*)\/$", "https://extremismterms.adl.org\1")</f>
        <v>https://extremismterms.adl.org/glossary/nesaragesara</v>
      </c>
      <c r="F3" s="1" t="str" cm="1">
        <f t="array" ref="F3">_xlfn.LET(_xlpm.rowNum,MATCH(E3,'glossaryterms-export'!C:C,0),
IF(AND(NOT(ISBLANK(INDEX('glossaryterms-export'!H:H,_xlpm.rowNum))),ISBLANK(INDEX('glossaryterms-export'!I:I,_xlpm.rowNum))),"Ready to Fix",""))</f>
        <v/>
      </c>
      <c r="G3">
        <v>134513</v>
      </c>
      <c r="H3">
        <v>108466</v>
      </c>
      <c r="I3">
        <v>1.24013976730035</v>
      </c>
      <c r="J3">
        <v>42.681651393063198</v>
      </c>
      <c r="K3">
        <v>549621</v>
      </c>
    </row>
    <row r="4" spans="1:13" ht="61.5">
      <c r="A4">
        <v>3</v>
      </c>
      <c r="B4" s="16"/>
      <c r="C4" t="s">
        <v>21</v>
      </c>
      <c r="D4" s="1"/>
      <c r="E4" s="1" t="str">
        <f>_xlfn.REGEXREPLACE(C4, "(.*)\/$", "https://extremismterms.adl.org\1")</f>
        <v>https://extremismterms.adl.org/glossary/europa-last-battle</v>
      </c>
      <c r="F4" s="1" t="str" cm="1">
        <f t="array" ref="F4">_xlfn.LET(_xlpm.rowNum,MATCH(E4,'glossaryterms-export'!C:C,0),
IF(AND(NOT(ISBLANK(INDEX('glossaryterms-export'!H:H,_xlpm.rowNum))),ISBLANK(INDEX('glossaryterms-export'!I:I,_xlpm.rowNum))),"Ready to Fix",""))</f>
        <v/>
      </c>
      <c r="G4">
        <v>56498</v>
      </c>
      <c r="H4">
        <v>49567</v>
      </c>
      <c r="I4">
        <v>1.1398309359049299</v>
      </c>
      <c r="J4">
        <v>15.0813242681622</v>
      </c>
      <c r="K4">
        <v>223938</v>
      </c>
    </row>
    <row r="5" spans="1:13" ht="46.5">
      <c r="A5">
        <v>4</v>
      </c>
      <c r="B5" s="11" t="s">
        <v>22</v>
      </c>
      <c r="C5" t="s">
        <v>23</v>
      </c>
      <c r="D5" s="1" t="s">
        <v>20</v>
      </c>
      <c r="E5" s="1" t="str">
        <f>_xlfn.REGEXREPLACE(C5, "(.*)\/$", "https://extremismterms.adl.org\1")</f>
        <v>https://extremismterms.adl.org/glossary/foid</v>
      </c>
      <c r="F5" s="1" t="str" cm="1">
        <f t="array" ref="F5">_xlfn.LET(_xlpm.rowNum,MATCH(E5,'glossaryterms-export'!C:C,0),
IF(AND(NOT(ISBLANK(INDEX('glossaryterms-export'!H:H,_xlpm.rowNum))),ISBLANK(INDEX('glossaryterms-export'!I:I,_xlpm.rowNum))),"Ready to Fix",""))</f>
        <v/>
      </c>
      <c r="G5">
        <v>38723</v>
      </c>
      <c r="H5">
        <v>33619</v>
      </c>
      <c r="I5">
        <v>1.1518189119247999</v>
      </c>
      <c r="J5">
        <v>13.212647609982399</v>
      </c>
      <c r="K5">
        <v>143337</v>
      </c>
    </row>
    <row r="6" spans="1:13" ht="61.5">
      <c r="A6">
        <v>5</v>
      </c>
      <c r="B6" s="16"/>
      <c r="C6" t="s">
        <v>24</v>
      </c>
      <c r="D6" s="1"/>
      <c r="E6" s="1" t="str">
        <f>_xlfn.REGEXREPLACE(C6, "(.*)\/$", "https://extremismterms.adl.org\1")</f>
        <v>https://extremismterms.adl.org/glossary/fall-cabal</v>
      </c>
      <c r="F6" s="1" t="str" cm="1">
        <f t="array" ref="F6">_xlfn.LET(_xlpm.rowNum,MATCH(E6,'glossaryterms-export'!C:C,0),
IF(AND(NOT(ISBLANK(INDEX('glossaryterms-export'!H:H,_xlpm.rowNum))),ISBLANK(INDEX('glossaryterms-export'!I:I,_xlpm.rowNum))),"Ready to Fix",""))</f>
        <v/>
      </c>
      <c r="G6">
        <v>36024</v>
      </c>
      <c r="H6">
        <v>31002</v>
      </c>
      <c r="I6">
        <v>1.1619895490613501</v>
      </c>
      <c r="J6">
        <v>18.501032191471499</v>
      </c>
      <c r="K6">
        <v>145611</v>
      </c>
    </row>
    <row r="7" spans="1:13" ht="92.25">
      <c r="A7">
        <v>6</v>
      </c>
      <c r="B7" s="11" t="s">
        <v>25</v>
      </c>
      <c r="C7" t="s">
        <v>26</v>
      </c>
      <c r="D7" s="1" t="s">
        <v>20</v>
      </c>
      <c r="E7" s="1" t="str">
        <f>_xlfn.REGEXREPLACE(C7, "(.*)\/$", "https://extremismterms.adl.org\1")</f>
        <v>https://extremismterms.adl.org/glossary/civil-peace-flagcivil-flag-peacetime</v>
      </c>
      <c r="F7" s="1" t="str" cm="1">
        <f t="array" ref="F7">_xlfn.LET(_xlpm.rowNum,MATCH(E7,'glossaryterms-export'!C:C,0),
IF(AND(NOT(ISBLANK(INDEX('glossaryterms-export'!H:H,_xlpm.rowNum))),ISBLANK(INDEX('glossaryterms-export'!I:I,_xlpm.rowNum))),"Ready to Fix",""))</f>
        <v/>
      </c>
      <c r="G7">
        <v>19701</v>
      </c>
      <c r="H7">
        <v>16924</v>
      </c>
      <c r="I7">
        <v>1.16408650437248</v>
      </c>
      <c r="J7">
        <v>28.443512172063301</v>
      </c>
      <c r="K7">
        <v>71568</v>
      </c>
    </row>
    <row r="8" spans="1:13" ht="61.5">
      <c r="A8">
        <v>7</v>
      </c>
      <c r="B8" s="11" t="s">
        <v>15</v>
      </c>
      <c r="C8" t="s">
        <v>27</v>
      </c>
      <c r="D8" s="1" t="s">
        <v>20</v>
      </c>
      <c r="E8" s="1" t="str">
        <f>_xlfn.REGEXREPLACE(C8, "(.*)\/$", "https://extremismterms.adl.org\1")</f>
        <v>https://extremismterms.adl.org/glossary/q-drop</v>
      </c>
      <c r="F8" s="1" t="str" cm="1">
        <f t="array" ref="F8">_xlfn.LET(_xlpm.rowNum,MATCH(E8,'glossaryterms-export'!C:C,0),
IF(AND(NOT(ISBLANK(INDEX('glossaryterms-export'!H:H,_xlpm.rowNum))),ISBLANK(INDEX('glossaryterms-export'!I:I,_xlpm.rowNum))),"Ready to Fix",""))</f>
        <v/>
      </c>
      <c r="G8">
        <v>17973</v>
      </c>
      <c r="H8">
        <v>15317</v>
      </c>
      <c r="I8">
        <v>1.1734021022393399</v>
      </c>
      <c r="J8">
        <v>14.6645557223999</v>
      </c>
      <c r="K8">
        <v>72878</v>
      </c>
    </row>
    <row r="9" spans="1:13" ht="61.5">
      <c r="A9">
        <v>8</v>
      </c>
      <c r="B9" s="15" t="s">
        <v>28</v>
      </c>
      <c r="C9" t="s">
        <v>29</v>
      </c>
      <c r="D9" s="1" t="s">
        <v>20</v>
      </c>
      <c r="E9" s="1" t="str">
        <f>_xlfn.REGEXREPLACE(C9, "(.*)\/$", "https://extremismterms.adl.org\1")</f>
        <v>https://extremismterms.adl.org/glossary/america-first</v>
      </c>
      <c r="F9" s="1" t="str" cm="1">
        <f t="array" ref="F9">_xlfn.LET(_xlpm.rowNum,MATCH(E9,'glossaryterms-export'!C:C,0),
IF(AND(NOT(ISBLANK(INDEX('glossaryterms-export'!H:H,_xlpm.rowNum))),ISBLANK(INDEX('glossaryterms-export'!I:I,_xlpm.rowNum))),"Ready to Fix",""))</f>
        <v/>
      </c>
      <c r="G9">
        <v>13745</v>
      </c>
      <c r="H9">
        <v>10547</v>
      </c>
      <c r="I9">
        <v>1.3032141841281799</v>
      </c>
      <c r="J9">
        <v>22.075566511804301</v>
      </c>
      <c r="K9">
        <v>49684</v>
      </c>
    </row>
    <row r="10" spans="1:13" ht="77.25">
      <c r="A10">
        <v>9</v>
      </c>
      <c r="B10" s="11" t="s">
        <v>30</v>
      </c>
      <c r="C10" t="s">
        <v>31</v>
      </c>
      <c r="D10" s="1"/>
      <c r="E10" s="1" t="str">
        <f>_xlfn.REGEXREPLACE(C10, "(.*)\/$", "https://extremismterms.adl.org\1")</f>
        <v>https://extremismterms.adl.org/glossary/inverted-red-triangle</v>
      </c>
      <c r="F10" s="1" t="str" cm="1">
        <f t="array" ref="F10">_xlfn.LET(_xlpm.rowNum,MATCH(E10,'glossaryterms-export'!C:C,0),
IF(AND(NOT(ISBLANK(INDEX('glossaryterms-export'!H:H,_xlpm.rowNum))),ISBLANK(INDEX('glossaryterms-export'!I:I,_xlpm.rowNum))),"Ready to Fix",""))</f>
        <v/>
      </c>
      <c r="G10">
        <v>10513</v>
      </c>
      <c r="H10">
        <v>9359</v>
      </c>
      <c r="I10">
        <v>1.1233037717704799</v>
      </c>
      <c r="J10">
        <v>26.462763115717401</v>
      </c>
      <c r="K10">
        <v>56127</v>
      </c>
    </row>
    <row r="11" spans="1:13" ht="92.25">
      <c r="A11">
        <v>10</v>
      </c>
      <c r="B11" s="11" t="s">
        <v>15</v>
      </c>
      <c r="C11" t="s">
        <v>32</v>
      </c>
      <c r="D11" s="1" t="s">
        <v>20</v>
      </c>
      <c r="E11" s="1" t="str">
        <f>_xlfn.REGEXREPLACE(C11, "(.*)\/$", "https://extremismterms.adl.org\1")</f>
        <v>https://extremismterms.adl.org/glossary/ncswic-nothing-can-stop-what-coming</v>
      </c>
      <c r="F11" s="1" t="str" cm="1">
        <f t="array" ref="F11">_xlfn.LET(_xlpm.rowNum,MATCH(E11,'glossaryterms-export'!C:C,0),
IF(AND(NOT(ISBLANK(INDEX('glossaryterms-export'!H:H,_xlpm.rowNum))),ISBLANK(INDEX('glossaryterms-export'!I:I,_xlpm.rowNum))),"Ready to Fix",""))</f>
        <v/>
      </c>
      <c r="G11">
        <v>10426</v>
      </c>
      <c r="H11">
        <v>9154</v>
      </c>
      <c r="I11">
        <v>1.13895564780423</v>
      </c>
      <c r="J11">
        <v>17.279659165392101</v>
      </c>
      <c r="K11">
        <v>41458</v>
      </c>
    </row>
    <row r="12" spans="1:13" ht="61.5">
      <c r="A12">
        <v>11</v>
      </c>
      <c r="B12" s="11" t="s">
        <v>33</v>
      </c>
      <c r="C12" t="s">
        <v>34</v>
      </c>
      <c r="D12" s="1"/>
      <c r="E12" s="1" t="str">
        <f>_xlfn.REGEXREPLACE(C12, "(.*)\/$", "https://extremismterms.adl.org\1")</f>
        <v>https://extremismterms.adl.org/glossary/order-black-sun</v>
      </c>
      <c r="F12" s="1" t="str" cm="1">
        <f t="array" ref="F12">_xlfn.LET(_xlpm.rowNum,MATCH(E12,'glossaryterms-export'!C:C,0),
IF(AND(NOT(ISBLANK(INDEX('glossaryterms-export'!H:H,_xlpm.rowNum))),ISBLANK(INDEX('glossaryterms-export'!I:I,_xlpm.rowNum))),"Ready to Fix",""))</f>
        <v>Ready to Fix</v>
      </c>
      <c r="G12">
        <v>8512</v>
      </c>
      <c r="H12">
        <v>7552</v>
      </c>
      <c r="I12">
        <v>1.1271186440677901</v>
      </c>
      <c r="J12">
        <v>17.350105932203299</v>
      </c>
      <c r="K12">
        <v>33054</v>
      </c>
    </row>
    <row r="13" spans="1:13" ht="61.5">
      <c r="A13">
        <v>12</v>
      </c>
      <c r="B13" s="16"/>
      <c r="C13" t="s">
        <v>35</v>
      </c>
      <c r="D13" s="1"/>
      <c r="E13" s="1" t="str">
        <f>_xlfn.REGEXREPLACE(C13, "(.*)\/$", "https://extremismterms.adl.org\1")</f>
        <v>https://extremismterms.adl.org/glossary/dumbs</v>
      </c>
      <c r="F13" s="1" t="str" cm="1">
        <f t="array" ref="F13">_xlfn.LET(_xlpm.rowNum,MATCH(E13,'glossaryterms-export'!C:C,0),
IF(AND(NOT(ISBLANK(INDEX('glossaryterms-export'!H:H,_xlpm.rowNum))),ISBLANK(INDEX('glossaryterms-export'!I:I,_xlpm.rowNum))),"Ready to Fix",""))</f>
        <v/>
      </c>
      <c r="G13">
        <v>8429</v>
      </c>
      <c r="H13">
        <v>7382</v>
      </c>
      <c r="I13">
        <v>1.1418314819832001</v>
      </c>
      <c r="J13">
        <v>24.283392034678901</v>
      </c>
      <c r="K13">
        <v>34894</v>
      </c>
    </row>
    <row r="14" spans="1:13" ht="77.25">
      <c r="A14">
        <v>13</v>
      </c>
      <c r="B14" s="11" t="s">
        <v>36</v>
      </c>
      <c r="C14" t="s">
        <v>37</v>
      </c>
      <c r="D14" s="1" t="s">
        <v>20</v>
      </c>
      <c r="E14" s="1" t="str">
        <f>_xlfn.REGEXREPLACE(C14, "(.*)\/$", "https://extremismterms.adl.org\1")</f>
        <v>https://extremismterms.adl.org/glossary/fuck-around-and-find-out-fafo</v>
      </c>
      <c r="F14" s="1" t="str" cm="1">
        <f t="array" ref="F14">_xlfn.LET(_xlpm.rowNum,MATCH(E14,'glossaryterms-export'!C:C,0),
IF(AND(NOT(ISBLANK(INDEX('glossaryterms-export'!H:H,_xlpm.rowNum))),ISBLANK(INDEX('glossaryterms-export'!I:I,_xlpm.rowNum))),"Ready to Fix",""))</f>
        <v/>
      </c>
      <c r="G14">
        <v>8128</v>
      </c>
      <c r="H14">
        <v>7141</v>
      </c>
      <c r="I14">
        <v>1.1382159361433899</v>
      </c>
      <c r="J14">
        <v>23.247724408346102</v>
      </c>
      <c r="K14">
        <v>32699</v>
      </c>
    </row>
    <row r="15" spans="1:13" ht="61.5">
      <c r="A15">
        <v>14</v>
      </c>
      <c r="B15" s="11" t="s">
        <v>38</v>
      </c>
      <c r="C15" t="s">
        <v>39</v>
      </c>
      <c r="D15" s="1" t="s">
        <v>20</v>
      </c>
      <c r="E15" s="1" t="str">
        <f>_xlfn.REGEXREPLACE(C15, "(.*)\/$", "https://extremismterms.adl.org\1")</f>
        <v>https://extremismterms.adl.org/glossary/noticing</v>
      </c>
      <c r="F15" s="1" t="str" cm="1">
        <f t="array" ref="F15">_xlfn.LET(_xlpm.rowNum,MATCH(E15,'glossaryterms-export'!C:C,0),
IF(AND(NOT(ISBLANK(INDEX('glossaryterms-export'!H:H,_xlpm.rowNum))),ISBLANK(INDEX('glossaryterms-export'!I:I,_xlpm.rowNum))),"Ready to Fix",""))</f>
        <v/>
      </c>
      <c r="G15">
        <v>7020</v>
      </c>
      <c r="H15">
        <v>5850</v>
      </c>
      <c r="I15">
        <v>1.2</v>
      </c>
      <c r="J15">
        <v>22.350256410256399</v>
      </c>
      <c r="K15">
        <v>19678</v>
      </c>
    </row>
    <row r="16" spans="1:13" ht="61.5">
      <c r="A16">
        <v>15</v>
      </c>
      <c r="B16" s="14" t="s">
        <v>25</v>
      </c>
      <c r="C16" t="s">
        <v>40</v>
      </c>
      <c r="D16" s="1" t="s">
        <v>20</v>
      </c>
      <c r="E16" s="1" t="str">
        <f>_xlfn.REGEXREPLACE(C16, "(.*)\/$", "https://extremismterms.adl.org\1")</f>
        <v>https://extremismterms.adl.org/glossary/david-straight</v>
      </c>
      <c r="F16" s="1" t="str" cm="1">
        <f t="array" ref="F16">_xlfn.LET(_xlpm.rowNum,MATCH(E16,'glossaryterms-export'!C:C,0),
IF(AND(NOT(ISBLANK(INDEX('glossaryterms-export'!H:H,_xlpm.rowNum))),ISBLANK(INDEX('glossaryterms-export'!I:I,_xlpm.rowNum))),"Ready to Fix",""))</f>
        <v/>
      </c>
      <c r="G16">
        <v>6215</v>
      </c>
      <c r="H16">
        <v>5235</v>
      </c>
      <c r="I16">
        <v>1.18720152817574</v>
      </c>
      <c r="J16">
        <v>26.641260744985601</v>
      </c>
      <c r="K16">
        <v>26040</v>
      </c>
    </row>
    <row r="17" spans="1:11" ht="61.5">
      <c r="A17">
        <v>16</v>
      </c>
      <c r="B17" s="11" t="s">
        <v>38</v>
      </c>
      <c r="C17" t="s">
        <v>41</v>
      </c>
      <c r="D17" s="1" t="s">
        <v>20</v>
      </c>
      <c r="E17" s="1" t="str">
        <f>_xlfn.REGEXREPLACE(C17, "(.*)\/$", "https://extremismterms.adl.org\1")</f>
        <v>https://extremismterms.adl.org/glossary/early-life-check</v>
      </c>
      <c r="F17" s="1" t="str" cm="1">
        <f t="array" ref="F17">_xlfn.LET(_xlpm.rowNum,MATCH(E17,'glossaryterms-export'!C:C,0),
IF(AND(NOT(ISBLANK(INDEX('glossaryterms-export'!H:H,_xlpm.rowNum))),ISBLANK(INDEX('glossaryterms-export'!I:I,_xlpm.rowNum))),"Ready to Fix",""))</f>
        <v>Ready to Fix</v>
      </c>
      <c r="G17">
        <v>6130</v>
      </c>
      <c r="H17">
        <v>5353</v>
      </c>
      <c r="I17">
        <v>1.1451522510741601</v>
      </c>
      <c r="J17">
        <v>23.8197272557444</v>
      </c>
      <c r="K17">
        <v>20403</v>
      </c>
    </row>
    <row r="18" spans="1:11" ht="61.5">
      <c r="A18">
        <v>17</v>
      </c>
      <c r="B18" s="16"/>
      <c r="C18" t="s">
        <v>42</v>
      </c>
      <c r="D18" s="1"/>
      <c r="E18" s="1" t="str">
        <f>_xlfn.REGEXREPLACE(C18, "(.*)\/$", "https://extremismterms.adl.org\1")</f>
        <v>https://extremismterms.adl.org/glossary/patriotswin</v>
      </c>
      <c r="F18" s="1" t="str" cm="1">
        <f t="array" ref="F18">_xlfn.LET(_xlpm.rowNum,MATCH(E18,'glossaryterms-export'!C:C,0),
IF(AND(NOT(ISBLANK(INDEX('glossaryterms-export'!H:H,_xlpm.rowNum))),ISBLANK(INDEX('glossaryterms-export'!I:I,_xlpm.rowNum))),"Ready to Fix",""))</f>
        <v/>
      </c>
      <c r="G18">
        <v>5954</v>
      </c>
      <c r="H18">
        <v>5011</v>
      </c>
      <c r="I18">
        <v>1.1881859908201899</v>
      </c>
      <c r="J18">
        <v>11.144482139293499</v>
      </c>
      <c r="K18">
        <v>22856</v>
      </c>
    </row>
    <row r="19" spans="1:11" ht="77.25">
      <c r="A19">
        <v>18</v>
      </c>
      <c r="B19" s="11" t="s">
        <v>38</v>
      </c>
      <c r="C19" t="s">
        <v>43</v>
      </c>
      <c r="D19" s="1" t="s">
        <v>20</v>
      </c>
      <c r="E19" s="1" t="str">
        <f>_xlfn.REGEXREPLACE(C19, "(.*)\/$", "https://extremismterms.adl.org\1")</f>
        <v>https://extremismterms.adl.org/glossary/never-lose-your-smile</v>
      </c>
      <c r="F19" s="1" t="str" cm="1">
        <f t="array" ref="F19">_xlfn.LET(_xlpm.rowNum,MATCH(E19,'glossaryterms-export'!C:C,0),
IF(AND(NOT(ISBLANK(INDEX('glossaryterms-export'!H:H,_xlpm.rowNum))),ISBLANK(INDEX('glossaryterms-export'!I:I,_xlpm.rowNum))),"Ready to Fix",""))</f>
        <v/>
      </c>
      <c r="G19">
        <v>5932</v>
      </c>
      <c r="H19">
        <v>5191</v>
      </c>
      <c r="I19">
        <v>1.14274706222307</v>
      </c>
      <c r="J19">
        <v>22.2556347524561</v>
      </c>
      <c r="K19">
        <v>18192</v>
      </c>
    </row>
    <row r="20" spans="1:11" ht="77.25">
      <c r="A20">
        <v>19</v>
      </c>
      <c r="B20" s="11" t="s">
        <v>25</v>
      </c>
      <c r="C20" t="s">
        <v>44</v>
      </c>
      <c r="D20" s="1" t="s">
        <v>20</v>
      </c>
      <c r="E20" s="1" t="str">
        <f>_xlfn.REGEXREPLACE(C20, "(.*)\/$", "https://extremismterms.adl.org\1")</f>
        <v>https://extremismterms.adl.org/glossary/american-state-national</v>
      </c>
      <c r="F20" s="1" t="str" cm="1">
        <f t="array" ref="F20">_xlfn.LET(_xlpm.rowNum,MATCH(E20,'glossaryterms-export'!C:C,0),
IF(AND(NOT(ISBLANK(INDEX('glossaryterms-export'!H:H,_xlpm.rowNum))),ISBLANK(INDEX('glossaryterms-export'!I:I,_xlpm.rowNum))),"Ready to Fix",""))</f>
        <v/>
      </c>
      <c r="G20">
        <v>5885</v>
      </c>
      <c r="H20">
        <v>5092</v>
      </c>
      <c r="I20">
        <v>1.1557344854673901</v>
      </c>
      <c r="J20">
        <v>28.530047132757201</v>
      </c>
      <c r="K20">
        <v>24202</v>
      </c>
    </row>
    <row r="21" spans="1:11" ht="61.5">
      <c r="A21">
        <v>20</v>
      </c>
      <c r="B21" s="16"/>
      <c r="C21" t="s">
        <v>45</v>
      </c>
      <c r="D21" s="1"/>
      <c r="E21" s="1" t="str">
        <f>_xlfn.REGEXREPLACE(C21, "(.*)\/$", "https://extremismterms.adl.org\1")</f>
        <v>https://extremismterms.adl.org/glossary/brother-nathanael</v>
      </c>
      <c r="F21" s="1" t="str" cm="1">
        <f t="array" ref="F21">_xlfn.LET(_xlpm.rowNum,MATCH(E21,'glossaryterms-export'!C:C,0),
IF(AND(NOT(ISBLANK(INDEX('glossaryterms-export'!H:H,_xlpm.rowNum))),ISBLANK(INDEX('glossaryterms-export'!I:I,_xlpm.rowNum))),"Ready to Fix",""))</f>
        <v>Ready to Fix</v>
      </c>
      <c r="G21">
        <v>5831</v>
      </c>
      <c r="H21">
        <v>5110</v>
      </c>
      <c r="I21">
        <v>1.1410958904109501</v>
      </c>
      <c r="J21">
        <v>29.717416830000001</v>
      </c>
      <c r="K21">
        <v>30312</v>
      </c>
    </row>
    <row r="22" spans="1:11" ht="61.5">
      <c r="A22">
        <v>21</v>
      </c>
      <c r="B22" s="16"/>
      <c r="C22" t="s">
        <v>46</v>
      </c>
      <c r="D22" s="1"/>
      <c r="E22" s="1" t="str">
        <f>_xlfn.REGEXREPLACE(C22, "(.*)\/$", "https://extremismterms.adl.org\1")</f>
        <v>https://extremismterms.adl.org/glossary/betar-usa</v>
      </c>
      <c r="F22" s="1" t="str" cm="1">
        <f t="array" ref="F22">_xlfn.LET(_xlpm.rowNum,MATCH(E22,'glossaryterms-export'!C:C,0),
IF(AND(NOT(ISBLANK(INDEX('glossaryterms-export'!H:H,_xlpm.rowNum))),ISBLANK(INDEX('glossaryterms-export'!I:I,_xlpm.rowNum))),"Ready to Fix",""))</f>
        <v/>
      </c>
      <c r="G22">
        <v>5783</v>
      </c>
      <c r="H22">
        <v>4526</v>
      </c>
      <c r="I22">
        <v>1.2777286787450199</v>
      </c>
      <c r="J22">
        <v>39.036456031816101</v>
      </c>
      <c r="K22">
        <v>22396</v>
      </c>
    </row>
    <row r="23" spans="1:11" ht="61.5">
      <c r="A23">
        <v>22</v>
      </c>
      <c r="B23" s="11" t="s">
        <v>47</v>
      </c>
      <c r="C23" t="s">
        <v>48</v>
      </c>
      <c r="D23" s="1"/>
      <c r="E23" s="1" t="str">
        <f>_xlfn.REGEXREPLACE(C23, "(.*)\/$", "https://extremismterms.adl.org\1")</f>
        <v>https://extremismterms.adl.org/glossary/terrorgram</v>
      </c>
      <c r="F23" s="1" t="str" cm="1">
        <f t="array" ref="F23">_xlfn.LET(_xlpm.rowNum,MATCH(E23,'glossaryterms-export'!C:C,0),
IF(AND(NOT(ISBLANK(INDEX('glossaryterms-export'!H:H,_xlpm.rowNum))),ISBLANK(INDEX('glossaryterms-export'!I:I,_xlpm.rowNum))),"Ready to Fix",""))</f>
        <v>Ready to Fix</v>
      </c>
      <c r="G23">
        <v>5670</v>
      </c>
      <c r="H23">
        <v>4906</v>
      </c>
      <c r="I23">
        <v>1.1557276803913501</v>
      </c>
      <c r="J23">
        <v>26.677130044843</v>
      </c>
      <c r="K23">
        <v>25551</v>
      </c>
    </row>
    <row r="24" spans="1:11" ht="61.5">
      <c r="A24">
        <v>23</v>
      </c>
      <c r="B24" s="16"/>
      <c r="C24" t="s">
        <v>49</v>
      </c>
      <c r="D24" s="1"/>
      <c r="E24" s="1" t="str">
        <f>_xlfn.REGEXREPLACE(C24, "(.*)\/$", "https://extremismterms.adl.org\1")</f>
        <v>https://extremismterms.adl.org/glossary/matt-forney</v>
      </c>
      <c r="F24" s="1" t="str" cm="1">
        <f t="array" ref="F24">_xlfn.LET(_xlpm.rowNum,MATCH(E24,'glossaryterms-export'!C:C,0),
IF(AND(NOT(ISBLANK(INDEX('glossaryterms-export'!H:H,_xlpm.rowNum))),ISBLANK(INDEX('glossaryterms-export'!I:I,_xlpm.rowNum))),"Ready to Fix",""))</f>
        <v>Ready to Fix</v>
      </c>
      <c r="G24">
        <v>5522</v>
      </c>
      <c r="H24">
        <v>4995</v>
      </c>
      <c r="I24">
        <v>1.1055055055055001</v>
      </c>
      <c r="J24">
        <v>10.004404404404401</v>
      </c>
      <c r="K24">
        <v>22388</v>
      </c>
    </row>
    <row r="25" spans="1:11" ht="61.5">
      <c r="A25">
        <v>24</v>
      </c>
      <c r="B25" s="16"/>
      <c r="C25" t="s">
        <v>50</v>
      </c>
      <c r="D25" s="1"/>
      <c r="E25" s="1" t="str">
        <f>_xlfn.REGEXREPLACE(C25, "(.*)\/$", "https://extremismterms.adl.org\1")</f>
        <v>https://extremismterms.adl.org/glossary/died-suddenly</v>
      </c>
      <c r="F25" s="1" t="str" cm="1">
        <f t="array" ref="F25">_xlfn.LET(_xlpm.rowNum,MATCH(E25,'glossaryterms-export'!C:C,0),
IF(AND(NOT(ISBLANK(INDEX('glossaryterms-export'!H:H,_xlpm.rowNum))),ISBLANK(INDEX('glossaryterms-export'!I:I,_xlpm.rowNum))),"Ready to Fix",""))</f>
        <v/>
      </c>
      <c r="G25">
        <v>5182</v>
      </c>
      <c r="H25">
        <v>4489</v>
      </c>
      <c r="I25">
        <v>1.15437736689685</v>
      </c>
      <c r="J25">
        <v>20.714413009578902</v>
      </c>
      <c r="K25">
        <v>20463</v>
      </c>
    </row>
    <row r="26" spans="1:11" ht="77.25">
      <c r="A26">
        <v>25</v>
      </c>
      <c r="B26" s="16"/>
      <c r="C26" t="s">
        <v>51</v>
      </c>
      <c r="D26" s="1"/>
      <c r="E26" s="1" t="str">
        <f>_xlfn.REGEXREPLACE(C26, "(.*)\/$", "https://extremismterms.adl.org\1")</f>
        <v>https://extremismterms.adl.org/glossary/turning-point-usa-tpusa</v>
      </c>
      <c r="F26" s="1" t="str" cm="1">
        <f t="array" ref="F26">_xlfn.LET(_xlpm.rowNum,MATCH(E26,'glossaryterms-export'!C:C,0),
IF(AND(NOT(ISBLANK(INDEX('glossaryterms-export'!H:H,_xlpm.rowNum))),ISBLANK(INDEX('glossaryterms-export'!I:I,_xlpm.rowNum))),"Ready to Fix",""))</f>
        <v/>
      </c>
      <c r="G26">
        <v>4985</v>
      </c>
      <c r="H26">
        <v>4199</v>
      </c>
      <c r="I26">
        <v>1.1871874255775099</v>
      </c>
      <c r="J26">
        <v>29.699214098594901</v>
      </c>
      <c r="K26">
        <v>14359</v>
      </c>
    </row>
    <row r="27" spans="1:11" ht="77.25">
      <c r="A27">
        <v>26</v>
      </c>
      <c r="B27" s="16"/>
      <c r="C27" t="s">
        <v>52</v>
      </c>
      <c r="D27" s="1"/>
      <c r="E27" s="1" t="str">
        <f>_xlfn.REGEXREPLACE(C27, "(.*)\/$", "https://extremismterms.adl.org\1")</f>
        <v>https://extremismterms.adl.org/resources/article/qanon-glossary</v>
      </c>
      <c r="F27" s="1" t="str" cm="1">
        <f t="array" ref="F27">_xlfn.LET(_xlpm.rowNum,MATCH(E27,'glossaryterms-export'!C:C,0),
IF(AND(NOT(ISBLANK(INDEX('glossaryterms-export'!H:H,_xlpm.rowNum))),ISBLANK(INDEX('glossaryterms-export'!I:I,_xlpm.rowNum))),"Ready to Fix",""))</f>
        <v/>
      </c>
      <c r="G27">
        <v>4733</v>
      </c>
      <c r="H27">
        <v>3857</v>
      </c>
      <c r="I27">
        <v>1.22711952294529</v>
      </c>
      <c r="J27">
        <v>85.933108633653006</v>
      </c>
      <c r="K27">
        <v>34045</v>
      </c>
    </row>
    <row r="28" spans="1:11" ht="61.5">
      <c r="A28">
        <v>27</v>
      </c>
      <c r="B28" s="11" t="s">
        <v>38</v>
      </c>
      <c r="C28" t="s">
        <v>53</v>
      </c>
      <c r="D28" s="1" t="s">
        <v>20</v>
      </c>
      <c r="E28" s="1" t="str">
        <f>_xlfn.REGEXREPLACE(C28, "(.*)\/$", "https://extremismterms.adl.org\1")</f>
        <v>https://extremismterms.adl.org/glossary/271k</v>
      </c>
      <c r="F28" s="1" t="str" cm="1">
        <f t="array" ref="F28">_xlfn.LET(_xlpm.rowNum,MATCH(E28,'glossaryterms-export'!C:C,0),
IF(AND(NOT(ISBLANK(INDEX('glossaryterms-export'!H:H,_xlpm.rowNum))),ISBLANK(INDEX('glossaryterms-export'!I:I,_xlpm.rowNum))),"Ready to Fix",""))</f>
        <v/>
      </c>
      <c r="G28">
        <v>4667</v>
      </c>
      <c r="H28">
        <v>4132</v>
      </c>
      <c r="I28">
        <v>1.12947725072604</v>
      </c>
      <c r="J28">
        <v>19.7775895450145</v>
      </c>
      <c r="K28">
        <v>16311</v>
      </c>
    </row>
    <row r="29" spans="1:11" ht="61.5">
      <c r="A29">
        <v>28</v>
      </c>
      <c r="B29" s="11" t="s">
        <v>54</v>
      </c>
      <c r="C29" t="s">
        <v>55</v>
      </c>
      <c r="D29" s="1" t="s">
        <v>20</v>
      </c>
      <c r="E29" s="1" t="str">
        <f>_xlfn.REGEXREPLACE(C29, "(.*)\/$", "https://extremismterms.adl.org\1")</f>
        <v>https://extremismterms.adl.org/glossary/christian-identity</v>
      </c>
      <c r="F29" s="1" t="str" cm="1">
        <f t="array" ref="F29">_xlfn.LET(_xlpm.rowNum,MATCH(E29,'glossaryterms-export'!C:C,0),
IF(AND(NOT(ISBLANK(INDEX('glossaryterms-export'!H:H,_xlpm.rowNum))),ISBLANK(INDEX('glossaryterms-export'!I:I,_xlpm.rowNum))),"Ready to Fix",""))</f>
        <v/>
      </c>
      <c r="G29">
        <v>4627</v>
      </c>
      <c r="H29">
        <v>3871</v>
      </c>
      <c r="I29">
        <v>1.19529837251356</v>
      </c>
      <c r="J29">
        <v>36.058899509170701</v>
      </c>
      <c r="K29">
        <v>12138</v>
      </c>
    </row>
    <row r="30" spans="1:11" ht="61.5">
      <c r="A30">
        <v>29</v>
      </c>
      <c r="B30" s="16"/>
      <c r="C30" t="s">
        <v>56</v>
      </c>
      <c r="D30" s="1"/>
      <c r="E30" s="1" t="str">
        <f>_xlfn.REGEXREPLACE(C30, "(.*)\/$", "https://extremismterms.adl.org\1")</f>
        <v>https://extremismterms.adl.org/glossary/false-flag</v>
      </c>
      <c r="F30" s="1" t="str" cm="1">
        <f t="array" ref="F30">_xlfn.LET(_xlpm.rowNum,MATCH(E30,'glossaryterms-export'!C:C,0),
IF(AND(NOT(ISBLANK(INDEX('glossaryterms-export'!H:H,_xlpm.rowNum))),ISBLANK(INDEX('glossaryterms-export'!I:I,_xlpm.rowNum))),"Ready to Fix",""))</f>
        <v/>
      </c>
      <c r="G30">
        <v>4569</v>
      </c>
      <c r="H30">
        <v>3924</v>
      </c>
      <c r="I30">
        <v>1.1643730886850101</v>
      </c>
      <c r="J30">
        <v>21.5575942915392</v>
      </c>
      <c r="K30">
        <v>17061</v>
      </c>
    </row>
    <row r="31" spans="1:11" ht="77.25">
      <c r="A31">
        <v>30</v>
      </c>
      <c r="B31" s="10" t="s">
        <v>57</v>
      </c>
      <c r="C31" t="s">
        <v>58</v>
      </c>
      <c r="D31" s="1" t="s">
        <v>20</v>
      </c>
      <c r="E31" s="1" t="str">
        <f>_xlfn.REGEXREPLACE(C31, "(.*)\/$", "https://extremismterms.adl.org\1")</f>
        <v>https://extremismterms.adl.org/glossary/christopher-pohlhaus</v>
      </c>
      <c r="F31" s="1" t="str" cm="1">
        <f t="array" ref="F31">_xlfn.LET(_xlpm.rowNum,MATCH(E31,'glossaryterms-export'!C:C,0),
IF(AND(NOT(ISBLANK(INDEX('glossaryterms-export'!H:H,_xlpm.rowNum))),ISBLANK(INDEX('glossaryterms-export'!I:I,_xlpm.rowNum))),"Ready to Fix",""))</f>
        <v>Ready to Fix</v>
      </c>
      <c r="G31">
        <v>4486</v>
      </c>
      <c r="H31">
        <v>3964</v>
      </c>
      <c r="I31">
        <v>1.1316851664984799</v>
      </c>
      <c r="J31">
        <v>27.2822906155398</v>
      </c>
      <c r="K31">
        <v>23341</v>
      </c>
    </row>
    <row r="32" spans="1:11" ht="61.5">
      <c r="A32">
        <v>31</v>
      </c>
      <c r="B32" s="16"/>
      <c r="C32" t="s">
        <v>59</v>
      </c>
      <c r="D32" s="1"/>
      <c r="E32" s="1" t="str">
        <f>_xlfn.REGEXREPLACE(C32, "(.*)\/$", "https://extremismterms.adl.org\1")</f>
        <v>https://extremismterms.adl.org/glossary/thomas-dalton</v>
      </c>
      <c r="F32" s="1" t="str" cm="1">
        <f t="array" ref="F32">_xlfn.LET(_xlpm.rowNum,MATCH(E32,'glossaryterms-export'!C:C,0),
IF(AND(NOT(ISBLANK(INDEX('glossaryterms-export'!H:H,_xlpm.rowNum))),ISBLANK(INDEX('glossaryterms-export'!I:I,_xlpm.rowNum))),"Ready to Fix",""))</f>
        <v/>
      </c>
      <c r="G32">
        <v>4362</v>
      </c>
      <c r="H32">
        <v>3646</v>
      </c>
      <c r="I32">
        <v>1.1963795940756901</v>
      </c>
      <c r="J32">
        <v>44.758639605046604</v>
      </c>
      <c r="K32">
        <v>25312</v>
      </c>
    </row>
    <row r="33" spans="1:11" ht="61.5">
      <c r="A33">
        <v>32</v>
      </c>
      <c r="B33" s="16"/>
      <c r="C33" t="s">
        <v>60</v>
      </c>
      <c r="D33" s="1"/>
      <c r="E33" s="1" t="str">
        <f>_xlfn.REGEXREPLACE(C33, "(.*)\/$", "https://extremismterms.adl.org\1")</f>
        <v>https://extremismterms.adl.org/glossary/whiteblack-hats</v>
      </c>
      <c r="F33" s="1" t="str" cm="1">
        <f t="array" ref="F33">_xlfn.LET(_xlpm.rowNum,MATCH(E33,'glossaryterms-export'!C:C,0),
IF(AND(NOT(ISBLANK(INDEX('glossaryterms-export'!H:H,_xlpm.rowNum))),ISBLANK(INDEX('glossaryterms-export'!I:I,_xlpm.rowNum))),"Ready to Fix",""))</f>
        <v/>
      </c>
      <c r="G33">
        <v>4226</v>
      </c>
      <c r="H33">
        <v>3607</v>
      </c>
      <c r="I33">
        <v>1.1716107568616501</v>
      </c>
      <c r="J33">
        <v>24.054893263099501</v>
      </c>
      <c r="K33">
        <v>17304</v>
      </c>
    </row>
    <row r="34" spans="1:11" ht="61.5">
      <c r="A34">
        <v>33</v>
      </c>
      <c r="B34" s="11" t="s">
        <v>38</v>
      </c>
      <c r="C34" t="s">
        <v>61</v>
      </c>
      <c r="D34" s="1" t="s">
        <v>20</v>
      </c>
      <c r="E34" s="1" t="str">
        <f>_xlfn.REGEXREPLACE(C34, "(.*)\/$", "https://extremismterms.adl.org\1")</f>
        <v>https://extremismterms.adl.org/glossary/six-million-cookies</v>
      </c>
      <c r="F34" s="1" t="str" cm="1">
        <f t="array" ref="F34">_xlfn.LET(_xlpm.rowNum,MATCH(E34,'glossaryterms-export'!C:C,0),
IF(AND(NOT(ISBLANK(INDEX('glossaryterms-export'!H:H,_xlpm.rowNum))),ISBLANK(INDEX('glossaryterms-export'!I:I,_xlpm.rowNum))),"Ready to Fix",""))</f>
        <v/>
      </c>
      <c r="G34">
        <v>4085</v>
      </c>
      <c r="H34">
        <v>3592</v>
      </c>
      <c r="I34">
        <v>1.1372494432071201</v>
      </c>
      <c r="J34">
        <v>16.657293986636901</v>
      </c>
      <c r="K34">
        <v>14740</v>
      </c>
    </row>
    <row r="35" spans="1:11" ht="77.25">
      <c r="A35">
        <v>34</v>
      </c>
      <c r="B35" s="16"/>
      <c r="C35" t="s">
        <v>62</v>
      </c>
      <c r="D35" s="1"/>
      <c r="E35" s="1" t="str">
        <f>_xlfn.REGEXREPLACE(C35, "(.*)\/$", "https://extremismterms.adl.org\1")</f>
        <v>https://extremismterms.adl.org/glossary/traditionalist-catholicism</v>
      </c>
      <c r="F35" s="1" t="str" cm="1">
        <f t="array" ref="F35">_xlfn.LET(_xlpm.rowNum,MATCH(E35,'glossaryterms-export'!C:C,0),
IF(AND(NOT(ISBLANK(INDEX('glossaryterms-export'!H:H,_xlpm.rowNum))),ISBLANK(INDEX('glossaryterms-export'!I:I,_xlpm.rowNum))),"Ready to Fix",""))</f>
        <v/>
      </c>
      <c r="G35">
        <v>3748</v>
      </c>
      <c r="H35">
        <v>3152</v>
      </c>
      <c r="I35">
        <v>1.1890862944162399</v>
      </c>
      <c r="J35">
        <v>51.120241116751203</v>
      </c>
      <c r="K35">
        <v>20868</v>
      </c>
    </row>
    <row r="36" spans="1:11" ht="61.5">
      <c r="A36">
        <v>35</v>
      </c>
      <c r="B36" s="16"/>
      <c r="C36" t="s">
        <v>63</v>
      </c>
      <c r="D36" s="1"/>
      <c r="E36" s="1" t="str">
        <f>_xlfn.REGEXREPLACE(C36, "(.*)\/$", "https://extremismterms.adl.org\1")</f>
        <v>https://extremismterms.adl.org/glossary/chemtrails</v>
      </c>
      <c r="F36" s="1" t="str" cm="1">
        <f t="array" ref="F36">_xlfn.LET(_xlpm.rowNum,MATCH(E36,'glossaryterms-export'!C:C,0),
IF(AND(NOT(ISBLANK(INDEX('glossaryterms-export'!H:H,_xlpm.rowNum))),ISBLANK(INDEX('glossaryterms-export'!I:I,_xlpm.rowNum))),"Ready to Fix",""))</f>
        <v/>
      </c>
      <c r="G36">
        <v>3703</v>
      </c>
      <c r="H36">
        <v>3309</v>
      </c>
      <c r="I36">
        <v>1.1190692051979401</v>
      </c>
      <c r="J36">
        <v>24.314294348745801</v>
      </c>
      <c r="K36">
        <v>15074</v>
      </c>
    </row>
    <row r="37" spans="1:11" ht="108">
      <c r="A37">
        <v>36</v>
      </c>
      <c r="B37" s="11" t="s">
        <v>64</v>
      </c>
      <c r="C37" t="s">
        <v>65</v>
      </c>
      <c r="D37" s="1" t="s">
        <v>20</v>
      </c>
      <c r="E37" s="1" t="str">
        <f>_xlfn.REGEXREPLACE(C37, "(.*)\/$", "https://extremismterms.adl.org\1")</f>
        <v>https://extremismterms.adl.org/glossary/great-replacement-replacement-theory</v>
      </c>
      <c r="F37" s="1" t="str" cm="1">
        <f t="array" ref="F37">_xlfn.LET(_xlpm.rowNum,MATCH(E37,'glossaryterms-export'!C:C,0),
IF(AND(NOT(ISBLANK(INDEX('glossaryterms-export'!H:H,_xlpm.rowNum))),ISBLANK(INDEX('glossaryterms-export'!I:I,_xlpm.rowNum))),"Ready to Fix",""))</f>
        <v>Ready to Fix</v>
      </c>
      <c r="G37">
        <v>3694</v>
      </c>
      <c r="H37">
        <v>3376</v>
      </c>
      <c r="I37">
        <v>1.0941943127961999</v>
      </c>
      <c r="J37">
        <v>25.452902843601802</v>
      </c>
      <c r="K37">
        <v>15087</v>
      </c>
    </row>
    <row r="38" spans="1:11" ht="61.5">
      <c r="A38">
        <v>37</v>
      </c>
      <c r="B38" s="14" t="s">
        <v>15</v>
      </c>
      <c r="C38" t="s">
        <v>66</v>
      </c>
      <c r="D38" s="1" t="s">
        <v>20</v>
      </c>
      <c r="E38" s="1" t="str">
        <f>_xlfn.REGEXREPLACE(C38, "(.*)\/$", "https://extremismterms.adl.org\1")</f>
        <v>https://extremismterms.adl.org/glossary/wwg1wga</v>
      </c>
      <c r="F38" s="1" t="str" cm="1">
        <f t="array" ref="F38">_xlfn.LET(_xlpm.rowNum,MATCH(E38,'glossaryterms-export'!C:C,0),
IF(AND(NOT(ISBLANK(INDEX('glossaryterms-export'!H:H,_xlpm.rowNum))),ISBLANK(INDEX('glossaryterms-export'!I:I,_xlpm.rowNum))),"Ready to Fix",""))</f>
        <v/>
      </c>
      <c r="G38">
        <v>3625</v>
      </c>
      <c r="H38">
        <v>3192</v>
      </c>
      <c r="I38">
        <v>1.1356516290726799</v>
      </c>
      <c r="J38">
        <v>19.9157268170426</v>
      </c>
      <c r="K38">
        <v>14228</v>
      </c>
    </row>
    <row r="39" spans="1:11" ht="61.5">
      <c r="A39">
        <v>38</v>
      </c>
      <c r="B39" s="16"/>
      <c r="C39" t="s">
        <v>67</v>
      </c>
      <c r="D39" s="1"/>
      <c r="E39" s="1" t="str">
        <f>_xlfn.REGEXREPLACE(C39, "(.*)\/$", "https://extremismterms.adl.org\1")</f>
        <v>https://extremismterms.adl.org/glossary/murder-seth-rich</v>
      </c>
      <c r="F39" s="1" t="str" cm="1">
        <f t="array" ref="F39">_xlfn.LET(_xlpm.rowNum,MATCH(E39,'glossaryterms-export'!C:C,0),
IF(AND(NOT(ISBLANK(INDEX('glossaryterms-export'!H:H,_xlpm.rowNum))),ISBLANK(INDEX('glossaryterms-export'!I:I,_xlpm.rowNum))),"Ready to Fix",""))</f>
        <v/>
      </c>
      <c r="G39">
        <v>3162</v>
      </c>
      <c r="H39">
        <v>2848</v>
      </c>
      <c r="I39">
        <v>1.11025280898876</v>
      </c>
      <c r="J39">
        <v>20.5719803370786</v>
      </c>
      <c r="K39">
        <v>12531</v>
      </c>
    </row>
    <row r="40" spans="1:11" ht="61.5">
      <c r="A40">
        <v>39</v>
      </c>
      <c r="B40" s="16"/>
      <c r="C40" t="s">
        <v>68</v>
      </c>
      <c r="D40" s="1"/>
      <c r="E40" s="1" t="str">
        <f>_xlfn.REGEXREPLACE(C40, "(.*)\/$", "https://extremismterms.adl.org\1")</f>
        <v>https://extremismterms.adl.org/glossary/ryan-j-murdough</v>
      </c>
      <c r="F40" s="1" t="str" cm="1">
        <f t="array" ref="F40">_xlfn.LET(_xlpm.rowNum,MATCH(E40,'glossaryterms-export'!C:C,0),
IF(AND(NOT(ISBLANK(INDEX('glossaryterms-export'!H:H,_xlpm.rowNum))),ISBLANK(INDEX('glossaryterms-export'!I:I,_xlpm.rowNum))),"Ready to Fix",""))</f>
        <v>Ready to Fix</v>
      </c>
      <c r="G40">
        <v>3160</v>
      </c>
      <c r="H40">
        <v>2599</v>
      </c>
      <c r="I40">
        <v>1.2158522508657099</v>
      </c>
      <c r="J40">
        <v>21.276644863409</v>
      </c>
      <c r="K40">
        <v>11128</v>
      </c>
    </row>
    <row r="41" spans="1:11" ht="61.5">
      <c r="A41">
        <v>40</v>
      </c>
      <c r="B41" s="16"/>
      <c r="C41" t="s">
        <v>69</v>
      </c>
      <c r="D41" s="1"/>
      <c r="E41" s="1" t="str">
        <f>_xlfn.REGEXREPLACE(C41, "(.*)\/$", "https://extremismterms.adl.org\1")</f>
        <v>https://extremismterms.adl.org/glossary/cultural-marxism</v>
      </c>
      <c r="F41" s="1" t="str" cm="1">
        <f t="array" ref="F41">_xlfn.LET(_xlpm.rowNum,MATCH(E41,'glossaryterms-export'!C:C,0),
IF(AND(NOT(ISBLANK(INDEX('glossaryterms-export'!H:H,_xlpm.rowNum))),ISBLANK(INDEX('glossaryterms-export'!I:I,_xlpm.rowNum))),"Ready to Fix",""))</f>
        <v/>
      </c>
      <c r="G41">
        <v>2990</v>
      </c>
      <c r="H41">
        <v>2629</v>
      </c>
      <c r="I41">
        <v>1.1373145682769099</v>
      </c>
      <c r="J41">
        <v>31.999239254469298</v>
      </c>
      <c r="K41">
        <v>8341</v>
      </c>
    </row>
    <row r="42" spans="1:11" ht="77.25">
      <c r="A42">
        <v>41</v>
      </c>
      <c r="B42" s="10" t="s">
        <v>70</v>
      </c>
      <c r="C42" t="s">
        <v>71</v>
      </c>
      <c r="D42" s="1" t="s">
        <v>20</v>
      </c>
      <c r="E42" s="1" t="str">
        <f>_xlfn.REGEXREPLACE(C42, "(.*)\/$", "https://extremismterms.adl.org\1")</f>
        <v>https://extremismterms.adl.org/glossary/american-blackshirts</v>
      </c>
      <c r="F42" s="1" t="str" cm="1">
        <f t="array" ref="F42">_xlfn.LET(_xlpm.rowNum,MATCH(E42,'glossaryterms-export'!C:C,0),
IF(AND(NOT(ISBLANK(INDEX('glossaryterms-export'!H:H,_xlpm.rowNum))),ISBLANK(INDEX('glossaryterms-export'!I:I,_xlpm.rowNum))),"Ready to Fix",""))</f>
        <v>Ready to Fix</v>
      </c>
      <c r="G42">
        <v>2911</v>
      </c>
      <c r="H42">
        <v>2532</v>
      </c>
      <c r="I42">
        <v>1.1496840442338001</v>
      </c>
      <c r="J42">
        <v>19.254739336492801</v>
      </c>
      <c r="K42">
        <v>10656</v>
      </c>
    </row>
    <row r="43" spans="1:11" ht="77.25">
      <c r="A43">
        <v>42</v>
      </c>
      <c r="B43" s="14" t="s">
        <v>15</v>
      </c>
      <c r="C43" t="s">
        <v>72</v>
      </c>
      <c r="D43" s="1" t="s">
        <v>20</v>
      </c>
      <c r="E43" s="1" t="str">
        <f>_xlfn.REGEXREPLACE(C43, "(.*)\/$", "https://extremismterms.adl.org\1")</f>
        <v>https://extremismterms.adl.org/glossary/great-awakening-map</v>
      </c>
      <c r="F43" s="1" t="str" cm="1">
        <f t="array" ref="F43">_xlfn.LET(_xlpm.rowNum,MATCH(E43,'glossaryterms-export'!C:C,0),
IF(AND(NOT(ISBLANK(INDEX('glossaryterms-export'!H:H,_xlpm.rowNum))),ISBLANK(INDEX('glossaryterms-export'!I:I,_xlpm.rowNum))),"Ready to Fix",""))</f>
        <v/>
      </c>
      <c r="G43">
        <v>2909</v>
      </c>
      <c r="H43">
        <v>2508</v>
      </c>
      <c r="I43">
        <v>1.15988835725677</v>
      </c>
      <c r="J43">
        <v>15.051834130781399</v>
      </c>
      <c r="K43">
        <v>12066</v>
      </c>
    </row>
    <row r="44" spans="1:11" ht="77.25">
      <c r="A44">
        <v>43</v>
      </c>
      <c r="B44" s="14" t="s">
        <v>15</v>
      </c>
      <c r="C44" t="s">
        <v>73</v>
      </c>
      <c r="D44" s="1" t="s">
        <v>20</v>
      </c>
      <c r="E44" s="1" t="str">
        <f>_xlfn.REGEXREPLACE(C44, "(.*)\/$", "https://extremismterms.adl.org\1")</f>
        <v>https://extremismterms.adl.org/glossary/19th-president</v>
      </c>
      <c r="F44" s="1" t="str" cm="1">
        <f t="array" ref="F44">_xlfn.LET(_xlpm.rowNum,MATCH(E44,'glossaryterms-export'!C:C,0),
IF(AND(NOT(ISBLANK(INDEX('glossaryterms-export'!H:H,_xlpm.rowNum))),ISBLANK(INDEX('glossaryterms-export'!I:I,_xlpm.rowNum))),"Ready to Fix",""))</f>
        <v/>
      </c>
      <c r="G44">
        <v>2869</v>
      </c>
      <c r="H44">
        <v>2562</v>
      </c>
      <c r="I44">
        <v>1.1198282591725199</v>
      </c>
      <c r="J44">
        <v>35.900468384074898</v>
      </c>
      <c r="K44">
        <v>10045</v>
      </c>
    </row>
    <row r="45" spans="1:11" ht="77.25">
      <c r="A45">
        <v>44</v>
      </c>
      <c r="B45" s="10" t="s">
        <v>74</v>
      </c>
      <c r="C45" t="s">
        <v>75</v>
      </c>
      <c r="D45" s="1" t="s">
        <v>20</v>
      </c>
      <c r="E45" s="1" t="str">
        <f>_xlfn.REGEXREPLACE(C45, "(.*)\/$", "https://extremismterms.adl.org\1")</f>
        <v>https://extremismterms.adl.org/glossary/goyim-defense-league</v>
      </c>
      <c r="F45" s="1" t="str" cm="1">
        <f t="array" ref="F45">_xlfn.LET(_xlpm.rowNum,MATCH(E45,'glossaryterms-export'!C:C,0),
IF(AND(NOT(ISBLANK(INDEX('glossaryterms-export'!H:H,_xlpm.rowNum))),ISBLANK(INDEX('glossaryterms-export'!I:I,_xlpm.rowNum))),"Ready to Fix",""))</f>
        <v/>
      </c>
      <c r="G45">
        <v>2650</v>
      </c>
      <c r="H45">
        <v>2429</v>
      </c>
      <c r="I45">
        <v>1.0909839440098801</v>
      </c>
      <c r="J45">
        <v>18.16426513</v>
      </c>
      <c r="K45">
        <v>6506</v>
      </c>
    </row>
    <row r="46" spans="1:11" ht="61.5">
      <c r="A46">
        <v>45</v>
      </c>
      <c r="B46" s="11" t="s">
        <v>38</v>
      </c>
      <c r="C46" t="s">
        <v>76</v>
      </c>
      <c r="D46" s="1" t="s">
        <v>20</v>
      </c>
      <c r="E46" s="1" t="str">
        <f>_xlfn.REGEXREPLACE(C46, "(.*)\/$", "https://extremismterms.adl.org\1")</f>
        <v>https://extremismterms.adl.org/glossary/my-heart-goes-out-you</v>
      </c>
      <c r="F46" s="1" t="str" cm="1">
        <f t="array" ref="F46">_xlfn.LET(_xlpm.rowNum,MATCH(E46,'glossaryterms-export'!C:C,0),
IF(AND(NOT(ISBLANK(INDEX('glossaryterms-export'!H:H,_xlpm.rowNum))),ISBLANK(INDEX('glossaryterms-export'!I:I,_xlpm.rowNum))),"Ready to Fix",""))</f>
        <v/>
      </c>
      <c r="G46">
        <v>2563</v>
      </c>
      <c r="H46">
        <v>2343</v>
      </c>
      <c r="I46">
        <v>1.0938967136150199</v>
      </c>
      <c r="J46">
        <v>17.987622705932498</v>
      </c>
      <c r="K46">
        <v>6138</v>
      </c>
    </row>
    <row r="47" spans="1:11" ht="77.25">
      <c r="A47">
        <v>46</v>
      </c>
      <c r="B47" s="10" t="s">
        <v>77</v>
      </c>
      <c r="C47" t="s">
        <v>78</v>
      </c>
      <c r="D47" s="1" t="s">
        <v>20</v>
      </c>
      <c r="E47" s="1" t="str">
        <f>_xlfn.REGEXREPLACE(C47, "(.*)\/$", "https://extremismterms.adl.org\1")</f>
        <v>https://extremismterms.adl.org/glossary/new-england-white-network</v>
      </c>
      <c r="F47" s="1" t="str" cm="1">
        <f t="array" ref="F47">_xlfn.LET(_xlpm.rowNum,MATCH(E47,'glossaryterms-export'!C:C,0),
IF(AND(NOT(ISBLANK(INDEX('glossaryterms-export'!H:H,_xlpm.rowNum))),ISBLANK(INDEX('glossaryterms-export'!I:I,_xlpm.rowNum))),"Ready to Fix",""))</f>
        <v>Ready to Fix</v>
      </c>
      <c r="G47">
        <v>2563</v>
      </c>
      <c r="H47">
        <v>2235</v>
      </c>
      <c r="I47">
        <v>1.14675615212527</v>
      </c>
      <c r="J47">
        <v>22.367337807606201</v>
      </c>
      <c r="K47">
        <v>9495</v>
      </c>
    </row>
    <row r="48" spans="1:11" ht="77.25">
      <c r="A48">
        <v>47</v>
      </c>
      <c r="B48" s="16"/>
      <c r="C48" t="s">
        <v>79</v>
      </c>
      <c r="D48" s="1"/>
      <c r="E48" s="1" t="str">
        <f>_xlfn.REGEXREPLACE(C48, "(.*)\/$", "https://extremismterms.adl.org\1")</f>
        <v>https://extremismterms.adl.org/glossary/parents-rights-movement</v>
      </c>
      <c r="F48" s="1" t="str" cm="1">
        <f t="array" ref="F48">_xlfn.LET(_xlpm.rowNum,MATCH(E48,'glossaryterms-export'!C:C,0),
IF(AND(NOT(ISBLANK(INDEX('glossaryterms-export'!H:H,_xlpm.rowNum))),ISBLANK(INDEX('glossaryterms-export'!I:I,_xlpm.rowNum))),"Ready to Fix",""))</f>
        <v/>
      </c>
      <c r="G48">
        <v>2553</v>
      </c>
      <c r="H48">
        <v>2312</v>
      </c>
      <c r="I48">
        <v>1.1042387543252501</v>
      </c>
      <c r="J48">
        <v>26.731833910034599</v>
      </c>
      <c r="K48">
        <v>7701</v>
      </c>
    </row>
    <row r="49" spans="1:11" ht="61.5">
      <c r="A49">
        <v>48</v>
      </c>
      <c r="B49" s="16"/>
      <c r="C49" t="s">
        <v>80</v>
      </c>
      <c r="D49" s="1"/>
      <c r="E49" s="1" t="str">
        <f>_xlfn.REGEXREPLACE(C49, "(.*)\/$", "https://extremismterms.adl.org\1")</f>
        <v>https://extremismterms.adl.org/glossary/stew-peters</v>
      </c>
      <c r="F49" s="1" t="str" cm="1">
        <f t="array" ref="F49">_xlfn.LET(_xlpm.rowNum,MATCH(E49,'glossaryterms-export'!C:C,0),
IF(AND(NOT(ISBLANK(INDEX('glossaryterms-export'!H:H,_xlpm.rowNum))),ISBLANK(INDEX('glossaryterms-export'!I:I,_xlpm.rowNum))),"Ready to Fix",""))</f>
        <v>Ready to Fix</v>
      </c>
      <c r="G49">
        <v>2520</v>
      </c>
      <c r="H49">
        <v>2255</v>
      </c>
      <c r="I49">
        <v>1.11751662971175</v>
      </c>
      <c r="J49">
        <v>21.247893569844699</v>
      </c>
      <c r="K49">
        <v>7742</v>
      </c>
    </row>
    <row r="50" spans="1:11" ht="77.25">
      <c r="A50">
        <v>49</v>
      </c>
      <c r="B50" s="11" t="s">
        <v>38</v>
      </c>
      <c r="C50" t="s">
        <v>81</v>
      </c>
      <c r="D50" s="1" t="s">
        <v>20</v>
      </c>
      <c r="E50" s="1" t="str">
        <f>_xlfn.REGEXREPLACE(C50, "(.*)\/$", "https://extremismterms.adl.org\1")</f>
        <v>https://extremismterms.adl.org/glossary/fatigue-black-fatigue-jew-fatigue</v>
      </c>
      <c r="F50" s="1" t="str" cm="1">
        <f t="array" ref="F50">_xlfn.LET(_xlpm.rowNum,MATCH(E50,'glossaryterms-export'!C:C,0),
IF(AND(NOT(ISBLANK(INDEX('glossaryterms-export'!H:H,_xlpm.rowNum))),ISBLANK(INDEX('glossaryterms-export'!I:I,_xlpm.rowNum))),"Ready to Fix",""))</f>
        <v/>
      </c>
      <c r="G50">
        <v>2438</v>
      </c>
      <c r="H50">
        <v>2194</v>
      </c>
      <c r="I50">
        <v>1.11121239744758</v>
      </c>
      <c r="J50">
        <v>24.949407474931601</v>
      </c>
      <c r="K50">
        <v>6300</v>
      </c>
    </row>
    <row r="51" spans="1:11" ht="61.5">
      <c r="A51">
        <v>50</v>
      </c>
      <c r="B51" s="11" t="s">
        <v>15</v>
      </c>
      <c r="C51" t="s">
        <v>82</v>
      </c>
      <c r="D51" s="1" t="s">
        <v>20</v>
      </c>
      <c r="E51" s="1" t="str">
        <f>_xlfn.REGEXREPLACE(C51, "(.*)\/$", "https://extremismterms.adl.org\1")</f>
        <v>https://extremismterms.adl.org/glossary/q-clock</v>
      </c>
      <c r="F51" s="1" t="str" cm="1">
        <f t="array" ref="F51">_xlfn.LET(_xlpm.rowNum,MATCH(E51,'glossaryterms-export'!C:C,0),
IF(AND(NOT(ISBLANK(INDEX('glossaryterms-export'!H:H,_xlpm.rowNum))),ISBLANK(INDEX('glossaryterms-export'!I:I,_xlpm.rowNum))),"Ready to Fix",""))</f>
        <v/>
      </c>
      <c r="G51">
        <v>2311</v>
      </c>
      <c r="H51">
        <v>2012</v>
      </c>
      <c r="I51">
        <v>1.1486083499005899</v>
      </c>
      <c r="J51">
        <v>20.536282306162999</v>
      </c>
      <c r="K51">
        <v>9376</v>
      </c>
    </row>
    <row r="52" spans="1:11" ht="77.25">
      <c r="A52">
        <v>51</v>
      </c>
      <c r="B52" s="16"/>
      <c r="C52" t="s">
        <v>83</v>
      </c>
      <c r="D52" s="1"/>
      <c r="E52" s="1" t="str">
        <f>_xlfn.REGEXREPLACE(C52, "(.*)\/$", "https://extremismterms.adl.org\1")</f>
        <v>https://extremismterms.adl.org/glossary/resistance-news-network-rnn</v>
      </c>
      <c r="F52" s="1" t="str" cm="1">
        <f t="array" ref="F52">_xlfn.LET(_xlpm.rowNum,MATCH(E52,'glossaryterms-export'!C:C,0),
IF(AND(NOT(ISBLANK(INDEX('glossaryterms-export'!H:H,_xlpm.rowNum))),ISBLANK(INDEX('glossaryterms-export'!I:I,_xlpm.rowNum))),"Ready to Fix",""))</f>
        <v/>
      </c>
      <c r="G52">
        <v>2307</v>
      </c>
      <c r="H52">
        <v>1965</v>
      </c>
      <c r="I52">
        <v>1.1740458015267099</v>
      </c>
      <c r="J52">
        <v>34.975063613231498</v>
      </c>
      <c r="K52">
        <v>11539</v>
      </c>
    </row>
    <row r="53" spans="1:11" ht="61.5">
      <c r="A53">
        <v>52</v>
      </c>
      <c r="B53" s="11" t="s">
        <v>84</v>
      </c>
      <c r="C53" t="s">
        <v>85</v>
      </c>
      <c r="D53" s="1" t="s">
        <v>20</v>
      </c>
      <c r="E53" s="1" t="str">
        <f>_xlfn.REGEXREPLACE(C53, "(.*)\/$", "https://extremismterms.adl.org\1")</f>
        <v>https://extremismterms.adl.org/glossary/dancing-israelis</v>
      </c>
      <c r="F53" s="1" t="str" cm="1">
        <f t="array" ref="F53">_xlfn.LET(_xlpm.rowNum,MATCH(E53,'glossaryterms-export'!C:C,0),
IF(AND(NOT(ISBLANK(INDEX('glossaryterms-export'!H:H,_xlpm.rowNum))),ISBLANK(INDEX('glossaryterms-export'!I:I,_xlpm.rowNum))),"Ready to Fix",""))</f>
        <v>Ready to Fix</v>
      </c>
      <c r="G53">
        <v>2244</v>
      </c>
      <c r="H53">
        <v>2047</v>
      </c>
      <c r="I53">
        <v>1.0962383976551</v>
      </c>
      <c r="J53">
        <v>10.306790425012201</v>
      </c>
      <c r="K53">
        <v>7018</v>
      </c>
    </row>
    <row r="54" spans="1:11" ht="61.5">
      <c r="A54">
        <v>53</v>
      </c>
      <c r="B54" s="11" t="s">
        <v>38</v>
      </c>
      <c r="C54" t="s">
        <v>86</v>
      </c>
      <c r="D54" s="1" t="s">
        <v>20</v>
      </c>
      <c r="E54" s="1" t="str">
        <f>_xlfn.REGEXREPLACE(C54, "(.*)\/$", "https://extremismterms.adl.org\1")</f>
        <v>https://extremismterms.adl.org/glossary/juice</v>
      </c>
      <c r="F54" s="1" t="str" cm="1">
        <f t="array" ref="F54">_xlfn.LET(_xlpm.rowNum,MATCH(E54,'glossaryterms-export'!C:C,0),
IF(AND(NOT(ISBLANK(INDEX('glossaryterms-export'!H:H,_xlpm.rowNum))),ISBLANK(INDEX('glossaryterms-export'!I:I,_xlpm.rowNum))),"Ready to Fix",""))</f>
        <v/>
      </c>
      <c r="G54">
        <v>2176</v>
      </c>
      <c r="H54">
        <v>1936</v>
      </c>
      <c r="I54">
        <v>1.1239669421487599</v>
      </c>
      <c r="J54">
        <v>12.5568181818181</v>
      </c>
      <c r="K54">
        <v>5641</v>
      </c>
    </row>
    <row r="55" spans="1:11" ht="61.5">
      <c r="A55">
        <v>54</v>
      </c>
      <c r="B55" s="11" t="s">
        <v>87</v>
      </c>
      <c r="C55" t="s">
        <v>88</v>
      </c>
      <c r="D55" s="1"/>
      <c r="E55" s="1" t="str">
        <f>_xlfn.REGEXREPLACE(C55, "(.*)\/$", "https://extremismterms.adl.org\1")</f>
        <v>https://extremismterms.adl.org/glossary/yakub</v>
      </c>
      <c r="F55" s="1" t="str" cm="1">
        <f t="array" ref="F55">_xlfn.LET(_xlpm.rowNum,MATCH(E55,'glossaryterms-export'!C:C,0),
IF(AND(NOT(ISBLANK(INDEX('glossaryterms-export'!H:H,_xlpm.rowNum))),ISBLANK(INDEX('glossaryterms-export'!I:I,_xlpm.rowNum))),"Ready to Fix",""))</f>
        <v/>
      </c>
      <c r="G55">
        <v>2101</v>
      </c>
      <c r="H55">
        <v>1807</v>
      </c>
      <c r="I55">
        <v>1.1627006087437699</v>
      </c>
      <c r="J55">
        <v>28.810736026563301</v>
      </c>
      <c r="K55">
        <v>8126</v>
      </c>
    </row>
    <row r="56" spans="1:11">
      <c r="A56">
        <v>55</v>
      </c>
      <c r="B56" s="16"/>
      <c r="C56" t="s">
        <v>89</v>
      </c>
      <c r="D56" s="1"/>
      <c r="E56" s="1"/>
      <c r="F56" s="1" t="str" cm="1">
        <f t="array" ref="F56">_xlfn.LET(_xlpm.rowNum,MATCH(E56,'glossaryterms-export'!C:C,0),
IF(AND(NOT(ISBLANK(INDEX('glossaryterms-export'!H:H,_xlpm.rowNum))),ISBLANK(INDEX('glossaryterms-export'!I:I,_xlpm.rowNum))),"Ready to Fix",""))</f>
        <v/>
      </c>
      <c r="G56">
        <v>2095</v>
      </c>
      <c r="H56">
        <v>1519</v>
      </c>
      <c r="I56">
        <v>1.3791968400263299</v>
      </c>
      <c r="J56">
        <v>79.652402896642499</v>
      </c>
      <c r="K56">
        <v>14489</v>
      </c>
    </row>
    <row r="57" spans="1:11" ht="61.5">
      <c r="A57">
        <v>56</v>
      </c>
      <c r="B57" s="16"/>
      <c r="C57" t="s">
        <v>90</v>
      </c>
      <c r="D57" s="1"/>
      <c r="E57" s="1" t="str">
        <f>_xlfn.REGEXREPLACE(C57, "(.*)\/$", "https://extremismterms.adl.org\1")</f>
        <v>https://extremismterms.adl.org/glossary/ten-days-darkness</v>
      </c>
      <c r="F57" s="1" t="str" cm="1">
        <f t="array" ref="F57">_xlfn.LET(_xlpm.rowNum,MATCH(E57,'glossaryterms-export'!C:C,0),
IF(AND(NOT(ISBLANK(INDEX('glossaryterms-export'!H:H,_xlpm.rowNum))),ISBLANK(INDEX('glossaryterms-export'!I:I,_xlpm.rowNum))),"Ready to Fix",""))</f>
        <v/>
      </c>
      <c r="G57">
        <v>2025</v>
      </c>
      <c r="H57">
        <v>1782</v>
      </c>
      <c r="I57">
        <v>1.13636363636363</v>
      </c>
      <c r="J57">
        <v>28.407407407407401</v>
      </c>
      <c r="K57">
        <v>8122</v>
      </c>
    </row>
    <row r="58" spans="1:11" ht="77.25">
      <c r="A58">
        <v>57</v>
      </c>
      <c r="B58" s="14" t="s">
        <v>5</v>
      </c>
      <c r="C58" t="s">
        <v>91</v>
      </c>
      <c r="D58" s="1" t="s">
        <v>20</v>
      </c>
      <c r="E58" s="1" t="str">
        <f>_xlfn.REGEXREPLACE(C58, "(.*)\/$", "https://extremismterms.adl.org\1")</f>
        <v>https://extremismterms.adl.org/glossary/order-nine-angles-o9a-ona</v>
      </c>
      <c r="F58" s="1" t="str" cm="1">
        <f t="array" ref="F58">_xlfn.LET(_xlpm.rowNum,MATCH(E58,'glossaryterms-export'!C:C,0),
IF(AND(NOT(ISBLANK(INDEX('glossaryterms-export'!H:H,_xlpm.rowNum))),ISBLANK(INDEX('glossaryterms-export'!I:I,_xlpm.rowNum))),"Ready to Fix",""))</f>
        <v/>
      </c>
      <c r="G58">
        <v>2006</v>
      </c>
      <c r="H58">
        <v>1748</v>
      </c>
      <c r="I58">
        <v>1.14759725400457</v>
      </c>
      <c r="J58">
        <v>14.769450800915299</v>
      </c>
      <c r="K58">
        <v>5223</v>
      </c>
    </row>
    <row r="59" spans="1:11" ht="61.5">
      <c r="A59">
        <v>58</v>
      </c>
      <c r="B59" s="22" t="s">
        <v>92</v>
      </c>
      <c r="C59" t="s">
        <v>93</v>
      </c>
      <c r="D59" s="1" t="s">
        <v>20</v>
      </c>
      <c r="E59" s="1" t="str">
        <f>_xlfn.REGEXREPLACE(C59, "(.*)\/$", "https://extremismterms.adl.org\1")</f>
        <v>https://extremismterms.adl.org/glossary/injekt-division</v>
      </c>
      <c r="F59" s="1" t="str" cm="1">
        <f t="array" ref="F59">_xlfn.LET(_xlpm.rowNum,MATCH(E59,'glossaryterms-export'!C:C,0),
IF(AND(NOT(ISBLANK(INDEX('glossaryterms-export'!H:H,_xlpm.rowNum))),ISBLANK(INDEX('glossaryterms-export'!I:I,_xlpm.rowNum))),"Ready to Fix",""))</f>
        <v/>
      </c>
      <c r="G59">
        <v>2000</v>
      </c>
      <c r="H59">
        <v>1604</v>
      </c>
      <c r="I59">
        <v>1.24688279301745</v>
      </c>
      <c r="J59">
        <v>30.504987531171999</v>
      </c>
      <c r="K59">
        <v>9803</v>
      </c>
    </row>
    <row r="60" spans="1:11" ht="92.25">
      <c r="A60">
        <v>59</v>
      </c>
      <c r="B60" s="16"/>
      <c r="C60" t="s">
        <v>94</v>
      </c>
      <c r="D60" s="1"/>
      <c r="E60" s="1" t="str">
        <f>_xlfn.REGEXREPLACE(C60, "(.*)\/$", "https://extremismterms.adl.org\1")</f>
        <v>https://extremismterms.adl.org/glossary/atlantic-nationalist-club-anc</v>
      </c>
      <c r="F60" s="1" t="str" cm="1">
        <f t="array" ref="F60">_xlfn.LET(_xlpm.rowNum,MATCH(E60,'glossaryterms-export'!C:C,0),
IF(AND(NOT(ISBLANK(INDEX('glossaryterms-export'!H:H,_xlpm.rowNum))),ISBLANK(INDEX('glossaryterms-export'!I:I,_xlpm.rowNum))),"Ready to Fix",""))</f>
        <v>Ready to Fix</v>
      </c>
      <c r="G60">
        <v>1978</v>
      </c>
      <c r="H60">
        <v>1651</v>
      </c>
      <c r="I60">
        <v>1.19806178073894</v>
      </c>
      <c r="J60">
        <v>25.772259236826098</v>
      </c>
      <c r="K60">
        <v>9091</v>
      </c>
    </row>
    <row r="61" spans="1:11" ht="46.5">
      <c r="A61">
        <v>60</v>
      </c>
      <c r="B61" s="14" t="s">
        <v>15</v>
      </c>
      <c r="C61" t="s">
        <v>95</v>
      </c>
      <c r="D61" s="1" t="s">
        <v>20</v>
      </c>
      <c r="E61" s="1" t="str">
        <f>_xlfn.REGEXREPLACE(C61, "(.*)\/$", "https://extremismterms.adl.org\1")</f>
        <v>https://extremismterms.adl.org/glossary/q-0</v>
      </c>
      <c r="F61" s="1" t="str" cm="1">
        <f t="array" ref="F61">_xlfn.LET(_xlpm.rowNum,MATCH(E61,'glossaryterms-export'!C:C,0),
IF(AND(NOT(ISBLANK(INDEX('glossaryterms-export'!H:H,_xlpm.rowNum))),ISBLANK(INDEX('glossaryterms-export'!I:I,_xlpm.rowNum))),"Ready to Fix",""))</f>
        <v/>
      </c>
      <c r="G61">
        <v>1920</v>
      </c>
      <c r="H61">
        <v>1713</v>
      </c>
      <c r="I61">
        <v>1.12084063047285</v>
      </c>
      <c r="J61">
        <v>16.838295388207801</v>
      </c>
      <c r="K61">
        <v>7618</v>
      </c>
    </row>
    <row r="62" spans="1:11" ht="46.5">
      <c r="A62">
        <v>61</v>
      </c>
      <c r="B62" s="14" t="s">
        <v>5</v>
      </c>
      <c r="C62" t="s">
        <v>96</v>
      </c>
      <c r="D62" s="1" t="s">
        <v>20</v>
      </c>
      <c r="E62" s="1" t="str">
        <f>_xlfn.REGEXREPLACE(C62, "(.*)\/$", "https://extremismterms.adl.org\1")</f>
        <v>https://extremismterms.adl.org/glossary/764</v>
      </c>
      <c r="F62" s="1" t="str" cm="1">
        <f t="array" ref="F62">_xlfn.LET(_xlpm.rowNum,MATCH(E62,'glossaryterms-export'!C:C,0),
IF(AND(NOT(ISBLANK(INDEX('glossaryterms-export'!H:H,_xlpm.rowNum))),ISBLANK(INDEX('glossaryterms-export'!I:I,_xlpm.rowNum))),"Ready to Fix",""))</f>
        <v/>
      </c>
      <c r="G62">
        <v>1874</v>
      </c>
      <c r="H62">
        <v>1677</v>
      </c>
      <c r="I62">
        <v>1.11747167561121</v>
      </c>
      <c r="J62">
        <v>30.322003577817501</v>
      </c>
      <c r="K62">
        <v>8256</v>
      </c>
    </row>
    <row r="63" spans="1:11" ht="61.5">
      <c r="A63">
        <v>62</v>
      </c>
      <c r="B63" s="11" t="s">
        <v>97</v>
      </c>
      <c r="C63" t="s">
        <v>98</v>
      </c>
      <c r="D63" s="1"/>
      <c r="E63" s="1" t="str">
        <f>_xlfn.REGEXREPLACE(C63, "(.*)\/$", "https://extremismterms.adl.org\1")</f>
        <v>https://extremismterms.adl.org/glossary/david-irving</v>
      </c>
      <c r="F63" s="1" t="str" cm="1">
        <f t="array" ref="F63">_xlfn.LET(_xlpm.rowNum,MATCH(E63,'glossaryterms-export'!C:C,0),
IF(AND(NOT(ISBLANK(INDEX('glossaryterms-export'!H:H,_xlpm.rowNum))),ISBLANK(INDEX('glossaryterms-export'!I:I,_xlpm.rowNum))),"Ready to Fix",""))</f>
        <v>Ready to Fix</v>
      </c>
      <c r="G63">
        <v>1854</v>
      </c>
      <c r="H63">
        <v>1502</v>
      </c>
      <c r="I63">
        <v>1.2343541944074501</v>
      </c>
      <c r="J63">
        <v>65.053928095872095</v>
      </c>
      <c r="K63">
        <v>9919</v>
      </c>
    </row>
    <row r="64" spans="1:11" ht="77.25">
      <c r="A64">
        <v>63</v>
      </c>
      <c r="B64" s="16"/>
      <c r="C64" t="s">
        <v>99</v>
      </c>
      <c r="D64" s="1"/>
      <c r="E64" s="1" t="str">
        <f>_xlfn.REGEXREPLACE(C64, "(.*)\/$", "https://extremismterms.adl.org\1")</f>
        <v>https://extremismterms.adl.org/glossary/open-borders-israel</v>
      </c>
      <c r="F64" s="1" t="str" cm="1">
        <f t="array" ref="F64">_xlfn.LET(_xlpm.rowNum,MATCH(E64,'glossaryterms-export'!C:C,0),
IF(AND(NOT(ISBLANK(INDEX('glossaryterms-export'!H:H,_xlpm.rowNum))),ISBLANK(INDEX('glossaryterms-export'!I:I,_xlpm.rowNum))),"Ready to Fix",""))</f>
        <v/>
      </c>
      <c r="G64">
        <v>1851</v>
      </c>
      <c r="H64">
        <v>1587</v>
      </c>
      <c r="I64">
        <v>1.1663516068052899</v>
      </c>
      <c r="J64">
        <v>17.764335223692498</v>
      </c>
      <c r="K64">
        <v>6873</v>
      </c>
    </row>
    <row r="65" spans="1:11" ht="92.25">
      <c r="A65">
        <v>64</v>
      </c>
      <c r="B65" s="14" t="s">
        <v>92</v>
      </c>
      <c r="C65" t="s">
        <v>100</v>
      </c>
      <c r="D65" s="1" t="s">
        <v>20</v>
      </c>
      <c r="E65" s="1" t="str">
        <f>_xlfn.REGEXREPLACE(C65, "(.*)\/$", "https://extremismterms.adl.org\1")</f>
        <v>https://extremismterms.adl.org/glossary/national-socialist-resistance-front-nsrf</v>
      </c>
      <c r="F65" s="1" t="str" cm="1">
        <f t="array" ref="F65">_xlfn.LET(_xlpm.rowNum,MATCH(E65,'glossaryterms-export'!C:C,0),
IF(AND(NOT(ISBLANK(INDEX('glossaryterms-export'!H:H,_xlpm.rowNum))),ISBLANK(INDEX('glossaryterms-export'!I:I,_xlpm.rowNum))),"Ready to Fix",""))</f>
        <v/>
      </c>
      <c r="G65">
        <v>1843</v>
      </c>
      <c r="H65">
        <v>1594</v>
      </c>
      <c r="I65">
        <v>1.15621079046424</v>
      </c>
      <c r="J65">
        <v>21.269761606022499</v>
      </c>
      <c r="K65">
        <v>4580</v>
      </c>
    </row>
    <row r="66" spans="1:11" ht="61.5">
      <c r="A66">
        <v>65</v>
      </c>
      <c r="B66" s="16"/>
      <c r="C66" t="s">
        <v>101</v>
      </c>
      <c r="D66" s="1"/>
      <c r="E66" s="1" t="str">
        <f>_xlfn.REGEXREPLACE(C66, "(.*)\/$", "https://extremismterms.adl.org\1")</f>
        <v>https://extremismterms.adl.org/glossary/remigration</v>
      </c>
      <c r="F66" s="1" t="str" cm="1">
        <f t="array" ref="F66">_xlfn.LET(_xlpm.rowNum,MATCH(E66,'glossaryterms-export'!C:C,0),
IF(AND(NOT(ISBLANK(INDEX('glossaryterms-export'!H:H,_xlpm.rowNum))),ISBLANK(INDEX('glossaryterms-export'!I:I,_xlpm.rowNum))),"Ready to Fix",""))</f>
        <v/>
      </c>
      <c r="G66">
        <v>1839</v>
      </c>
      <c r="H66">
        <v>1621</v>
      </c>
      <c r="I66">
        <v>1.13448488587291</v>
      </c>
      <c r="J66">
        <v>21.797038864898202</v>
      </c>
      <c r="K66">
        <v>6723</v>
      </c>
    </row>
    <row r="67" spans="1:11" ht="61.5">
      <c r="A67">
        <v>66</v>
      </c>
      <c r="B67" s="10" t="s">
        <v>102</v>
      </c>
      <c r="C67" t="s">
        <v>103</v>
      </c>
      <c r="D67" s="1"/>
      <c r="E67" s="1" t="str">
        <f>_xlfn.REGEXREPLACE(C67, "(.*)\/$", "https://extremismterms.adl.org\1")</f>
        <v>https://extremismterms.adl.org/glossary/e-michael-jones</v>
      </c>
      <c r="F67" s="1" t="str" cm="1">
        <f t="array" ref="F67">_xlfn.LET(_xlpm.rowNum,MATCH(E67,'glossaryterms-export'!C:C,0),
IF(AND(NOT(ISBLANK(INDEX('glossaryterms-export'!H:H,_xlpm.rowNum))),ISBLANK(INDEX('glossaryterms-export'!I:I,_xlpm.rowNum))),"Ready to Fix",""))</f>
        <v>Ready to Fix</v>
      </c>
      <c r="G67">
        <v>1755</v>
      </c>
      <c r="H67">
        <v>1623</v>
      </c>
      <c r="I67">
        <v>1.0813308687615499</v>
      </c>
      <c r="J67">
        <v>34.502156500307997</v>
      </c>
      <c r="K67">
        <v>7559</v>
      </c>
    </row>
    <row r="68" spans="1:11" ht="61.5">
      <c r="A68">
        <v>67</v>
      </c>
      <c r="B68" s="11" t="s">
        <v>38</v>
      </c>
      <c r="C68" t="s">
        <v>104</v>
      </c>
      <c r="D68" s="1" t="s">
        <v>20</v>
      </c>
      <c r="E68" s="1" t="str">
        <f>_xlfn.REGEXREPLACE(C68, "(.*)\/$", "https://extremismterms.adl.org\1")</f>
        <v>https://extremismterms.adl.org/glossary/every-single-time</v>
      </c>
      <c r="F68" s="1" t="str" cm="1">
        <f t="array" ref="F68">_xlfn.LET(_xlpm.rowNum,MATCH(E68,'glossaryterms-export'!C:C,0),
IF(AND(NOT(ISBLANK(INDEX('glossaryterms-export'!H:H,_xlpm.rowNum))),ISBLANK(INDEX('glossaryterms-export'!I:I,_xlpm.rowNum))),"Ready to Fix",""))</f>
        <v/>
      </c>
      <c r="G68">
        <v>1734</v>
      </c>
      <c r="H68">
        <v>1547</v>
      </c>
      <c r="I68">
        <v>1.12087912087912</v>
      </c>
      <c r="J68">
        <v>15.8926955397543</v>
      </c>
      <c r="K68">
        <v>4031</v>
      </c>
    </row>
    <row r="69" spans="1:11" ht="61.5">
      <c r="A69">
        <v>68</v>
      </c>
      <c r="B69" s="14" t="s">
        <v>15</v>
      </c>
      <c r="C69" t="s">
        <v>105</v>
      </c>
      <c r="D69" s="1" t="s">
        <v>20</v>
      </c>
      <c r="E69" s="1" t="str">
        <f>_xlfn.REGEXREPLACE(C69, "(.*)\/$", "https://extremismterms.adl.org\1")</f>
        <v>https://extremismterms.adl.org/glossary/romana-didulo</v>
      </c>
      <c r="F69" s="1" t="str" cm="1">
        <f t="array" ref="F69">_xlfn.LET(_xlpm.rowNum,MATCH(E69,'glossaryterms-export'!C:C,0),
IF(AND(NOT(ISBLANK(INDEX('glossaryterms-export'!H:H,_xlpm.rowNum))),ISBLANK(INDEX('glossaryterms-export'!I:I,_xlpm.rowNum))),"Ready to Fix",""))</f>
        <v/>
      </c>
      <c r="G69">
        <v>1709</v>
      </c>
      <c r="H69">
        <v>1577</v>
      </c>
      <c r="I69">
        <v>1.0837032339885799</v>
      </c>
      <c r="J69">
        <v>28.0291693088142</v>
      </c>
      <c r="K69">
        <v>6530</v>
      </c>
    </row>
    <row r="70" spans="1:11" ht="61.5">
      <c r="A70">
        <v>69</v>
      </c>
      <c r="B70" s="16"/>
      <c r="C70" t="s">
        <v>106</v>
      </c>
      <c r="D70" s="1"/>
      <c r="E70" s="1" t="str">
        <f>_xlfn.REGEXREPLACE(C70, "(.*)\/$", "https://extremismterms.adl.org\1")</f>
        <v>https://extremismterms.adl.org/glossary/follow-white-rabbit</v>
      </c>
      <c r="F70" s="1" t="str" cm="1">
        <f t="array" ref="F70">_xlfn.LET(_xlpm.rowNum,MATCH(E70,'glossaryterms-export'!C:C,0),
IF(AND(NOT(ISBLANK(INDEX('glossaryterms-export'!H:H,_xlpm.rowNum))),ISBLANK(INDEX('glossaryterms-export'!I:I,_xlpm.rowNum))),"Ready to Fix",""))</f>
        <v/>
      </c>
      <c r="G70">
        <v>1647</v>
      </c>
      <c r="H70">
        <v>1447</v>
      </c>
      <c r="I70">
        <v>1.1382170006910799</v>
      </c>
      <c r="J70">
        <v>13.949550794747701</v>
      </c>
      <c r="K70">
        <v>6609</v>
      </c>
    </row>
    <row r="71" spans="1:11" ht="61.5">
      <c r="A71">
        <v>70</v>
      </c>
      <c r="B71" s="16"/>
      <c r="C71" t="s">
        <v>107</v>
      </c>
      <c r="D71" s="1"/>
      <c r="E71" s="1" t="str">
        <f>_xlfn.REGEXREPLACE(C71, "(.*)\/$", "https://extremismterms.adl.org\1")</f>
        <v>https://extremismterms.adl.org/glossary/khazars</v>
      </c>
      <c r="F71" s="1" t="str" cm="1">
        <f t="array" ref="F71">_xlfn.LET(_xlpm.rowNum,MATCH(E71,'glossaryterms-export'!C:C,0),
IF(AND(NOT(ISBLANK(INDEX('glossaryterms-export'!H:H,_xlpm.rowNum))),ISBLANK(INDEX('glossaryterms-export'!I:I,_xlpm.rowNum))),"Ready to Fix",""))</f>
        <v>Ready to Fix</v>
      </c>
      <c r="G71">
        <v>1644</v>
      </c>
      <c r="H71">
        <v>1475</v>
      </c>
      <c r="I71">
        <v>1.11457627118644</v>
      </c>
      <c r="J71">
        <v>29.4725423728813</v>
      </c>
      <c r="K71">
        <v>5654</v>
      </c>
    </row>
    <row r="72" spans="1:11" ht="61.5">
      <c r="A72">
        <v>71</v>
      </c>
      <c r="B72" s="16"/>
      <c r="C72" t="s">
        <v>108</v>
      </c>
      <c r="D72" s="1"/>
      <c r="E72" s="1" t="str">
        <f>_xlfn.REGEXREPLACE(C72, "(.*)\/$", "https://extremismterms.adl.org\1")</f>
        <v>https://extremismterms.adl.org/glossary/psyop</v>
      </c>
      <c r="F72" s="1" t="str" cm="1">
        <f t="array" ref="F72">_xlfn.LET(_xlpm.rowNum,MATCH(E72,'glossaryterms-export'!C:C,0),
IF(AND(NOT(ISBLANK(INDEX('glossaryterms-export'!H:H,_xlpm.rowNum))),ISBLANK(INDEX('glossaryterms-export'!I:I,_xlpm.rowNum))),"Ready to Fix",""))</f>
        <v/>
      </c>
      <c r="G72">
        <v>1636</v>
      </c>
      <c r="H72">
        <v>1435</v>
      </c>
      <c r="I72">
        <v>1.1400696859999999</v>
      </c>
      <c r="J72">
        <v>14.335888501742099</v>
      </c>
      <c r="K72">
        <v>5959</v>
      </c>
    </row>
    <row r="73" spans="1:11" ht="77.25">
      <c r="A73">
        <v>72</v>
      </c>
      <c r="B73" s="14" t="s">
        <v>92</v>
      </c>
      <c r="C73" t="s">
        <v>109</v>
      </c>
      <c r="D73" s="1" t="s">
        <v>20</v>
      </c>
      <c r="E73" s="1" t="str">
        <f>_xlfn.REGEXREPLACE(C73, "(.*)\/$", "https://extremismterms.adl.org\1")</f>
        <v>https://extremismterms.adl.org/glossary/american-futurist-0</v>
      </c>
      <c r="F73" s="1" t="str" cm="1">
        <f t="array" ref="F73">_xlfn.LET(_xlpm.rowNum,MATCH(E73,'glossaryterms-export'!C:C,0),
IF(AND(NOT(ISBLANK(INDEX('glossaryterms-export'!H:H,_xlpm.rowNum))),ISBLANK(INDEX('glossaryterms-export'!I:I,_xlpm.rowNum))),"Ready to Fix",""))</f>
        <v/>
      </c>
      <c r="G73">
        <v>1568</v>
      </c>
      <c r="H73">
        <v>1363</v>
      </c>
      <c r="I73">
        <v>1.1504035216434301</v>
      </c>
      <c r="J73">
        <v>22.763022743947101</v>
      </c>
      <c r="K73">
        <v>4072</v>
      </c>
    </row>
    <row r="74" spans="1:11" ht="61.5">
      <c r="A74">
        <v>73</v>
      </c>
      <c r="B74" s="16"/>
      <c r="C74" t="s">
        <v>110</v>
      </c>
      <c r="D74" s="1"/>
      <c r="E74" s="1" t="str">
        <f>_xlfn.REGEXREPLACE(C74, "(.*)\/$", "https://extremismterms.adl.org\1")</f>
        <v>https://extremismterms.adl.org/glossary/scott-mckay</v>
      </c>
      <c r="F74" s="1" t="str" cm="1">
        <f t="array" ref="F74">_xlfn.LET(_xlpm.rowNum,MATCH(E74,'glossaryterms-export'!C:C,0),
IF(AND(NOT(ISBLANK(INDEX('glossaryterms-export'!H:H,_xlpm.rowNum))),ISBLANK(INDEX('glossaryterms-export'!I:I,_xlpm.rowNum))),"Ready to Fix",""))</f>
        <v/>
      </c>
      <c r="G74">
        <v>1568</v>
      </c>
      <c r="H74">
        <v>1359</v>
      </c>
      <c r="I74">
        <v>1.15378955114054</v>
      </c>
      <c r="J74">
        <v>26.080941869021299</v>
      </c>
      <c r="K74">
        <v>4784</v>
      </c>
    </row>
    <row r="75" spans="1:11" ht="77.25">
      <c r="A75">
        <v>74</v>
      </c>
      <c r="B75" s="16"/>
      <c r="C75" t="s">
        <v>111</v>
      </c>
      <c r="D75" s="1"/>
      <c r="E75" s="1" t="str">
        <f>_xlfn.REGEXREPLACE(C75, "(.*)\/$", "https://extremismterms.adl.org\1")</f>
        <v>https://extremismterms.adl.org/glossary/race-realism-racial-realism</v>
      </c>
      <c r="F75" s="1" t="str" cm="1">
        <f t="array" ref="F75">_xlfn.LET(_xlpm.rowNum,MATCH(E75,'glossaryterms-export'!C:C,0),
IF(AND(NOT(ISBLANK(INDEX('glossaryterms-export'!H:H,_xlpm.rowNum))),ISBLANK(INDEX('glossaryterms-export'!I:I,_xlpm.rowNum))),"Ready to Fix",""))</f>
        <v/>
      </c>
      <c r="G75">
        <v>1529</v>
      </c>
      <c r="H75">
        <v>1372</v>
      </c>
      <c r="I75">
        <v>1.1144314868804599</v>
      </c>
      <c r="J75">
        <v>20.1479591836734</v>
      </c>
      <c r="K75">
        <v>6168</v>
      </c>
    </row>
    <row r="76" spans="1:11" ht="77.25">
      <c r="A76">
        <v>75</v>
      </c>
      <c r="B76" s="16"/>
      <c r="C76" t="s">
        <v>112</v>
      </c>
      <c r="D76" s="1"/>
      <c r="E76" s="1" t="str">
        <f>_xlfn.REGEXREPLACE(C76, "(.*)\/$", "https://extremismterms.adl.org\1")</f>
        <v>https://extremismterms.adl.org/glossary/ghost-face-gangster</v>
      </c>
      <c r="F76" s="1" t="str" cm="1">
        <f t="array" ref="F76">_xlfn.LET(_xlpm.rowNum,MATCH(E76,'glossaryterms-export'!C:C,0),
IF(AND(NOT(ISBLANK(INDEX('glossaryterms-export'!H:H,_xlpm.rowNum))),ISBLANK(INDEX('glossaryterms-export'!I:I,_xlpm.rowNum))),"Ready to Fix",""))</f>
        <v>Ready to Fix</v>
      </c>
      <c r="G76">
        <v>1528</v>
      </c>
      <c r="H76">
        <v>1307</v>
      </c>
      <c r="I76">
        <v>1.1690895179801</v>
      </c>
      <c r="J76">
        <v>30.078041315990799</v>
      </c>
      <c r="K76">
        <v>5811</v>
      </c>
    </row>
    <row r="77" spans="1:11" ht="61.5">
      <c r="A77">
        <v>76</v>
      </c>
      <c r="B77" s="22" t="s">
        <v>92</v>
      </c>
      <c r="C77" t="s">
        <v>113</v>
      </c>
      <c r="D77" s="1" t="s">
        <v>20</v>
      </c>
      <c r="E77" s="1" t="str">
        <f>_xlfn.REGEXREPLACE(C77, "(.*)\/$", "https://extremismterms.adl.org\1")</f>
        <v>https://extremismterms.adl.org/glossary/accelerationism</v>
      </c>
      <c r="F77" s="1" t="str" cm="1">
        <f t="array" ref="F77">_xlfn.LET(_xlpm.rowNum,MATCH(E77,'glossaryterms-export'!C:C,0),
IF(AND(NOT(ISBLANK(INDEX('glossaryterms-export'!H:H,_xlpm.rowNum))),ISBLANK(INDEX('glossaryterms-export'!I:I,_xlpm.rowNum))),"Ready to Fix",""))</f>
        <v/>
      </c>
      <c r="G77">
        <v>1490</v>
      </c>
      <c r="H77">
        <v>1316</v>
      </c>
      <c r="I77">
        <v>1.1322188449848001</v>
      </c>
      <c r="J77">
        <v>22.298632218844901</v>
      </c>
      <c r="K77">
        <v>3948</v>
      </c>
    </row>
    <row r="78" spans="1:11" ht="61.5">
      <c r="A78">
        <v>77</v>
      </c>
      <c r="B78" s="16"/>
      <c r="C78" t="s">
        <v>114</v>
      </c>
      <c r="D78" s="1"/>
      <c r="E78" s="1" t="str">
        <f>_xlfn.REGEXREPLACE(C78, "(.*)\/$", "https://extremismterms.adl.org\1")</f>
        <v>https://extremismterms.adl.org/glossary/hate-group</v>
      </c>
      <c r="F78" s="1" t="str" cm="1">
        <f t="array" ref="F78">_xlfn.LET(_xlpm.rowNum,MATCH(E78,'glossaryterms-export'!C:C,0),
IF(AND(NOT(ISBLANK(INDEX('glossaryterms-export'!H:H,_xlpm.rowNum))),ISBLANK(INDEX('glossaryterms-export'!I:I,_xlpm.rowNum))),"Ready to Fix",""))</f>
        <v/>
      </c>
      <c r="G78">
        <v>1466</v>
      </c>
      <c r="H78">
        <v>1220</v>
      </c>
      <c r="I78">
        <v>1.2016393442622899</v>
      </c>
      <c r="J78">
        <v>20.393442622950801</v>
      </c>
      <c r="K78">
        <v>5699</v>
      </c>
    </row>
    <row r="79" spans="1:11" ht="77.25">
      <c r="A79">
        <v>78</v>
      </c>
      <c r="B79" s="16"/>
      <c r="C79" t="s">
        <v>115</v>
      </c>
      <c r="D79" s="1"/>
      <c r="E79" s="1" t="str">
        <f>_xlfn.REGEXREPLACE(C79, "(.*)\/$", "https://extremismterms.adl.org\1")</f>
        <v>https://extremismterms.adl.org/glossary/bishop-richard-williamson</v>
      </c>
      <c r="F79" s="1" t="str" cm="1">
        <f t="array" ref="F79">_xlfn.LET(_xlpm.rowNum,MATCH(E79,'glossaryterms-export'!C:C,0),
IF(AND(NOT(ISBLANK(INDEX('glossaryterms-export'!H:H,_xlpm.rowNum))),ISBLANK(INDEX('glossaryterms-export'!I:I,_xlpm.rowNum))),"Ready to Fix",""))</f>
        <v>Ready to Fix</v>
      </c>
      <c r="G79">
        <v>1465</v>
      </c>
      <c r="H79">
        <v>1267</v>
      </c>
      <c r="I79">
        <v>1.1562746645619499</v>
      </c>
      <c r="J79">
        <v>44.881610102604498</v>
      </c>
      <c r="K79">
        <v>7698</v>
      </c>
    </row>
    <row r="80" spans="1:11" ht="61.5">
      <c r="A80">
        <v>79</v>
      </c>
      <c r="B80" s="10" t="s">
        <v>116</v>
      </c>
      <c r="C80" t="s">
        <v>117</v>
      </c>
      <c r="D80" s="1" t="s">
        <v>20</v>
      </c>
      <c r="E80" s="1" t="str">
        <f>_xlfn.REGEXREPLACE(C80, "(.*)\/$", "https://extremismterms.adl.org\1")</f>
        <v>https://extremismterms.adl.org/glossary/nick-fuentes</v>
      </c>
      <c r="F80" s="1" t="str" cm="1">
        <f t="array" ref="F80">_xlfn.LET(_xlpm.rowNum,MATCH(E80,'glossaryterms-export'!C:C,0),
IF(AND(NOT(ISBLANK(INDEX('glossaryterms-export'!H:H,_xlpm.rowNum))),ISBLANK(INDEX('glossaryterms-export'!I:I,_xlpm.rowNum))),"Ready to Fix",""))</f>
        <v>Ready to Fix</v>
      </c>
      <c r="G80">
        <v>1464</v>
      </c>
      <c r="H80">
        <v>1275</v>
      </c>
      <c r="I80">
        <v>1.1482352941176399</v>
      </c>
      <c r="J80">
        <v>17.472156859999998</v>
      </c>
      <c r="K80">
        <v>3651</v>
      </c>
    </row>
    <row r="81" spans="1:11" ht="61.5">
      <c r="A81">
        <v>80</v>
      </c>
      <c r="B81" s="16"/>
      <c r="C81" t="s">
        <v>118</v>
      </c>
      <c r="D81" s="1"/>
      <c r="E81" s="1" t="str">
        <f>_xlfn.REGEXREPLACE(C81, "(.*)\/$", "https://extremismterms.adl.org\1")</f>
        <v>https://extremismterms.adl.org/glossary/new-world-order</v>
      </c>
      <c r="F81" s="1" t="str" cm="1">
        <f t="array" ref="F81">_xlfn.LET(_xlpm.rowNum,MATCH(E81,'glossaryterms-export'!C:C,0),
IF(AND(NOT(ISBLANK(INDEX('glossaryterms-export'!H:H,_xlpm.rowNum))),ISBLANK(INDEX('glossaryterms-export'!I:I,_xlpm.rowNum))),"Ready to Fix",""))</f>
        <v/>
      </c>
      <c r="G81">
        <v>1462</v>
      </c>
      <c r="H81">
        <v>1269</v>
      </c>
      <c r="I81">
        <v>1.15208825847123</v>
      </c>
      <c r="J81">
        <v>29.967691095350599</v>
      </c>
      <c r="K81">
        <v>5640</v>
      </c>
    </row>
    <row r="82" spans="1:11" ht="61.5">
      <c r="A82">
        <v>81</v>
      </c>
      <c r="B82" s="16"/>
      <c r="C82" t="s">
        <v>119</v>
      </c>
      <c r="D82" s="1"/>
      <c r="E82" s="1" t="str">
        <f>_xlfn.REGEXREPLACE(C82, "(.*)\/$", "https://extremismterms.adl.org\1")</f>
        <v>https://extremismterms.adl.org/glossary/raven-folk-united</v>
      </c>
      <c r="F82" s="1" t="str" cm="1">
        <f t="array" ref="F82">_xlfn.LET(_xlpm.rowNum,MATCH(E82,'glossaryterms-export'!C:C,0),
IF(AND(NOT(ISBLANK(INDEX('glossaryterms-export'!H:H,_xlpm.rowNum))),ISBLANK(INDEX('glossaryterms-export'!I:I,_xlpm.rowNum))),"Ready to Fix",""))</f>
        <v/>
      </c>
      <c r="G82">
        <v>1455</v>
      </c>
      <c r="H82">
        <v>1248</v>
      </c>
      <c r="I82">
        <v>1.1658653846153799</v>
      </c>
      <c r="J82">
        <v>23.600160256410199</v>
      </c>
      <c r="K82">
        <v>4082</v>
      </c>
    </row>
    <row r="83" spans="1:11" ht="61.5">
      <c r="A83">
        <v>82</v>
      </c>
      <c r="B83" s="11" t="s">
        <v>22</v>
      </c>
      <c r="C83" t="s">
        <v>120</v>
      </c>
      <c r="D83" s="1"/>
      <c r="E83" s="1" t="str">
        <f>_xlfn.REGEXREPLACE(C83, "(.*)\/$", "https://extremismterms.adl.org\1")</f>
        <v>https://extremismterms.adl.org/glossary/fakecel</v>
      </c>
      <c r="F83" s="1" t="str" cm="1">
        <f t="array" ref="F83">_xlfn.LET(_xlpm.rowNum,MATCH(E83,'glossaryterms-export'!C:C,0),
IF(AND(NOT(ISBLANK(INDEX('glossaryterms-export'!H:H,_xlpm.rowNum))),ISBLANK(INDEX('glossaryterms-export'!I:I,_xlpm.rowNum))),"Ready to Fix",""))</f>
        <v/>
      </c>
      <c r="G83">
        <v>1412</v>
      </c>
      <c r="H83">
        <v>1248</v>
      </c>
      <c r="I83">
        <v>1.1314102564102499</v>
      </c>
      <c r="J83">
        <v>16.071314102564099</v>
      </c>
      <c r="K83">
        <v>5146</v>
      </c>
    </row>
    <row r="84" spans="1:11" ht="61.5">
      <c r="A84">
        <v>83</v>
      </c>
      <c r="B84" s="16"/>
      <c r="C84" t="s">
        <v>121</v>
      </c>
      <c r="D84" s="1"/>
      <c r="E84" s="1" t="str">
        <f>_xlfn.REGEXREPLACE(C84, "(.*)\/$", "https://extremismterms.adl.org\1")</f>
        <v>https://extremismterms.adl.org/glossary/wolves-vinland</v>
      </c>
      <c r="F84" s="1" t="str" cm="1">
        <f t="array" ref="F84">_xlfn.LET(_xlpm.rowNum,MATCH(E84,'glossaryterms-export'!C:C,0),
IF(AND(NOT(ISBLANK(INDEX('glossaryterms-export'!H:H,_xlpm.rowNum))),ISBLANK(INDEX('glossaryterms-export'!I:I,_xlpm.rowNum))),"Ready to Fix",""))</f>
        <v>Ready to Fix</v>
      </c>
      <c r="G84">
        <v>1367</v>
      </c>
      <c r="H84">
        <v>1159</v>
      </c>
      <c r="I84">
        <v>1.179465056</v>
      </c>
      <c r="J84">
        <v>25.861087144089701</v>
      </c>
      <c r="K84">
        <v>3689</v>
      </c>
    </row>
    <row r="85" spans="1:11" ht="108">
      <c r="A85">
        <v>84</v>
      </c>
      <c r="B85" s="16"/>
      <c r="C85" t="s">
        <v>122</v>
      </c>
      <c r="D85" s="1"/>
      <c r="E85" s="1" t="str">
        <f>_xlfn.REGEXREPLACE(C85, "(.*)\/$", "https://extremismterms.adl.org\1")</f>
        <v>https://extremismterms.adl.org/resources/tools-and-strategies/education-glossary-terms</v>
      </c>
      <c r="F85" s="1" t="str" cm="1">
        <f t="array" ref="F85">_xlfn.LET(_xlpm.rowNum,MATCH(E85,'glossaryterms-export'!C:C,0),
IF(AND(NOT(ISBLANK(INDEX('glossaryterms-export'!H:H,_xlpm.rowNum))),ISBLANK(INDEX('glossaryterms-export'!I:I,_xlpm.rowNum))),"Ready to Fix",""))</f>
        <v/>
      </c>
      <c r="G85">
        <v>1331</v>
      </c>
      <c r="H85">
        <v>1042</v>
      </c>
      <c r="I85">
        <v>1.27735124760076</v>
      </c>
      <c r="J85">
        <v>34.071976967370396</v>
      </c>
      <c r="K85">
        <v>8707</v>
      </c>
    </row>
    <row r="86" spans="1:11" ht="61.5">
      <c r="A86">
        <v>85</v>
      </c>
      <c r="B86" s="16"/>
      <c r="C86" t="s">
        <v>123</v>
      </c>
      <c r="D86" s="1"/>
      <c r="E86" s="1" t="str">
        <f>_xlfn.REGEXREPLACE(C86, "(.*)\/$", "https://extremismterms.adl.org\1")</f>
        <v>https://extremismterms.adl.org/glossary/american-futurist</v>
      </c>
      <c r="F86" s="1" t="str" cm="1">
        <f t="array" ref="F86">_xlfn.LET(_xlpm.rowNum,MATCH(E86,'glossaryterms-export'!C:C,0),
IF(AND(NOT(ISBLANK(INDEX('glossaryterms-export'!H:H,_xlpm.rowNum))),ISBLANK(INDEX('glossaryterms-export'!I:I,_xlpm.rowNum))),"Ready to Fix",""))</f>
        <v/>
      </c>
      <c r="G86">
        <v>1300</v>
      </c>
      <c r="H86">
        <v>1147</v>
      </c>
      <c r="I86">
        <v>1.1333914559720999</v>
      </c>
      <c r="J86">
        <v>17.014821272885701</v>
      </c>
      <c r="K86">
        <v>6676</v>
      </c>
    </row>
    <row r="87" spans="1:11" ht="77.25">
      <c r="A87">
        <v>86</v>
      </c>
      <c r="B87" s="32" t="s">
        <v>124</v>
      </c>
      <c r="C87" t="s">
        <v>125</v>
      </c>
      <c r="D87" s="1" t="s">
        <v>20</v>
      </c>
      <c r="E87" s="1" t="str">
        <f>_xlfn.REGEXREPLACE(C87, "(.*)\/$", "https://extremismterms.adl.org\1")</f>
        <v>https://extremismterms.adl.org/glossary/14th-amendment</v>
      </c>
      <c r="F87" s="1" t="str" cm="1">
        <f t="array" ref="F87">_xlfn.LET(_xlpm.rowNum,MATCH(E87,'glossaryterms-export'!C:C,0),
IF(AND(NOT(ISBLANK(INDEX('glossaryterms-export'!H:H,_xlpm.rowNum))),ISBLANK(INDEX('glossaryterms-export'!I:I,_xlpm.rowNum))),"Ready to Fix",""))</f>
        <v/>
      </c>
      <c r="G87">
        <v>1282</v>
      </c>
      <c r="H87">
        <v>1211</v>
      </c>
      <c r="I87">
        <v>1.05862923203963</v>
      </c>
      <c r="J87">
        <v>22.4772914946325</v>
      </c>
      <c r="K87">
        <v>4033</v>
      </c>
    </row>
    <row r="88" spans="1:11" ht="77.25">
      <c r="A88">
        <v>87</v>
      </c>
      <c r="B88" s="16"/>
      <c r="C88" t="s">
        <v>126</v>
      </c>
      <c r="D88" s="1"/>
      <c r="E88" s="1" t="str">
        <f>_xlfn.REGEXREPLACE(C88, "(.*)\/$", "https://extremismterms.adl.org\1")</f>
        <v>https://extremismterms.adl.org/glossary/nationalist-network</v>
      </c>
      <c r="F88" s="1" t="str" cm="1">
        <f t="array" ref="F88">_xlfn.LET(_xlpm.rowNum,MATCH(E88,'glossaryterms-export'!C:C,0),
IF(AND(NOT(ISBLANK(INDEX('glossaryterms-export'!H:H,_xlpm.rowNum))),ISBLANK(INDEX('glossaryterms-export'!I:I,_xlpm.rowNum))),"Ready to Fix",""))</f>
        <v/>
      </c>
      <c r="G88">
        <v>1245</v>
      </c>
      <c r="H88">
        <v>1073</v>
      </c>
      <c r="I88">
        <v>1.16029822926374</v>
      </c>
      <c r="J88">
        <v>18.143522833178</v>
      </c>
      <c r="K88">
        <v>3539</v>
      </c>
    </row>
    <row r="89" spans="1:11" ht="61.5">
      <c r="A89">
        <v>88</v>
      </c>
      <c r="B89" s="16"/>
      <c r="C89" t="s">
        <v>127</v>
      </c>
      <c r="D89" s="1"/>
      <c r="E89" s="1" t="str">
        <f>_xlfn.REGEXREPLACE(C89, "(.*)\/$", "https://extremismterms.adl.org\1")</f>
        <v>https://extremismterms.adl.org/glossary/globalist</v>
      </c>
      <c r="F89" s="1" t="str" cm="1">
        <f t="array" ref="F89">_xlfn.LET(_xlpm.rowNum,MATCH(E89,'glossaryterms-export'!C:C,0),
IF(AND(NOT(ISBLANK(INDEX('glossaryterms-export'!H:H,_xlpm.rowNum))),ISBLANK(INDEX('glossaryterms-export'!I:I,_xlpm.rowNum))),"Ready to Fix",""))</f>
        <v>Ready to Fix</v>
      </c>
      <c r="G89">
        <v>1235</v>
      </c>
      <c r="H89">
        <v>1058</v>
      </c>
      <c r="I89">
        <v>1.1672967863894099</v>
      </c>
      <c r="J89">
        <v>27.676748582230601</v>
      </c>
      <c r="K89">
        <v>5392</v>
      </c>
    </row>
    <row r="90" spans="1:11" ht="77.25">
      <c r="A90">
        <v>89</v>
      </c>
      <c r="B90" s="16"/>
      <c r="C90" t="s">
        <v>128</v>
      </c>
      <c r="D90" s="1"/>
      <c r="E90" s="1" t="str">
        <f>_xlfn.REGEXREPLACE(C90, "(.*)\/$", "https://extremismterms.adl.org\1")</f>
        <v>https://extremismterms.adl.org/glossary/harold-hardy-carroll-lloyd</v>
      </c>
      <c r="F90" s="1" t="str" cm="1">
        <f t="array" ref="F90">_xlfn.LET(_xlpm.rowNum,MATCH(E90,'glossaryterms-export'!C:C,0),
IF(AND(NOT(ISBLANK(INDEX('glossaryterms-export'!H:H,_xlpm.rowNum))),ISBLANK(INDEX('glossaryterms-export'!I:I,_xlpm.rowNum))),"Ready to Fix",""))</f>
        <v/>
      </c>
      <c r="G90">
        <v>1196</v>
      </c>
      <c r="H90">
        <v>1124</v>
      </c>
      <c r="I90">
        <v>1.06405693950177</v>
      </c>
      <c r="J90">
        <v>15.837188612099601</v>
      </c>
      <c r="K90">
        <v>2813</v>
      </c>
    </row>
    <row r="91" spans="1:11" ht="61.5">
      <c r="A91">
        <v>90</v>
      </c>
      <c r="B91" s="16"/>
      <c r="C91" t="s">
        <v>129</v>
      </c>
      <c r="D91" s="1"/>
      <c r="E91" s="1" t="str">
        <f>_xlfn.REGEXREPLACE(C91, "(.*)\/$", "https://extremismterms.adl.org\1")</f>
        <v>https://extremismterms.adl.org/glossary/pepe-frog</v>
      </c>
      <c r="F91" s="1" t="str" cm="1">
        <f t="array" ref="F91">_xlfn.LET(_xlpm.rowNum,MATCH(E91,'glossaryterms-export'!C:C,0),
IF(AND(NOT(ISBLANK(INDEX('glossaryterms-export'!H:H,_xlpm.rowNum))),ISBLANK(INDEX('glossaryterms-export'!I:I,_xlpm.rowNum))),"Ready to Fix",""))</f>
        <v>Ready to Fix</v>
      </c>
      <c r="G91">
        <v>1189</v>
      </c>
      <c r="H91">
        <v>1029</v>
      </c>
      <c r="I91">
        <v>1.1554907677356601</v>
      </c>
      <c r="J91">
        <v>16.284742468415899</v>
      </c>
      <c r="K91">
        <v>2989</v>
      </c>
    </row>
    <row r="92" spans="1:11" ht="77.25">
      <c r="A92">
        <v>91</v>
      </c>
      <c r="B92" s="16"/>
      <c r="C92" t="s">
        <v>130</v>
      </c>
      <c r="D92" s="1"/>
      <c r="E92" s="1" t="str">
        <f>_xlfn.REGEXREPLACE(C92, "(.*)\/$", "https://extremismterms.adl.org\1")</f>
        <v>https://extremismterms.adl.org/glossary/khaybar-khaybar-ya-yahud</v>
      </c>
      <c r="F92" s="1" t="str" cm="1">
        <f t="array" ref="F92">_xlfn.LET(_xlpm.rowNum,MATCH(E92,'glossaryterms-export'!C:C,0),
IF(AND(NOT(ISBLANK(INDEX('glossaryterms-export'!H:H,_xlpm.rowNum))),ISBLANK(INDEX('glossaryterms-export'!I:I,_xlpm.rowNum))),"Ready to Fix",""))</f>
        <v>Ready to Fix</v>
      </c>
      <c r="G92">
        <v>1188</v>
      </c>
      <c r="H92">
        <v>1012</v>
      </c>
      <c r="I92">
        <v>1.1739130434782601</v>
      </c>
      <c r="J92">
        <v>24.7332015810276</v>
      </c>
      <c r="K92">
        <v>4280</v>
      </c>
    </row>
    <row r="93" spans="1:11" ht="61.5">
      <c r="A93">
        <v>92</v>
      </c>
      <c r="B93" s="16"/>
      <c r="C93" t="s">
        <v>131</v>
      </c>
      <c r="D93" s="1"/>
      <c r="E93" s="1" t="str">
        <f>_xlfn.REGEXREPLACE(C93, "(.*)\/$", "https://extremismterms.adl.org\1")</f>
        <v>https://extremismterms.adl.org/glossary/neo-nazi</v>
      </c>
      <c r="F93" s="1" t="str" cm="1">
        <f t="array" ref="F93">_xlfn.LET(_xlpm.rowNum,MATCH(E93,'glossaryterms-export'!C:C,0),
IF(AND(NOT(ISBLANK(INDEX('glossaryterms-export'!H:H,_xlpm.rowNum))),ISBLANK(INDEX('glossaryterms-export'!I:I,_xlpm.rowNum))),"Ready to Fix",""))</f>
        <v/>
      </c>
      <c r="G93">
        <v>1187</v>
      </c>
      <c r="H93">
        <v>1056</v>
      </c>
      <c r="I93">
        <v>1.1240530303030301</v>
      </c>
      <c r="J93">
        <v>14.3683712121212</v>
      </c>
      <c r="K93">
        <v>3144</v>
      </c>
    </row>
    <row r="94" spans="1:11" ht="61.5">
      <c r="A94">
        <v>93</v>
      </c>
      <c r="B94" s="14" t="s">
        <v>97</v>
      </c>
      <c r="C94" t="s">
        <v>132</v>
      </c>
      <c r="D94" s="1" t="s">
        <v>20</v>
      </c>
      <c r="E94" s="1" t="str">
        <f>_xlfn.REGEXREPLACE(C94, "(.*)\/$", "https://extremismterms.adl.org\1")</f>
        <v>https://extremismterms.adl.org/glossary/arthur-butz</v>
      </c>
      <c r="F94" s="1" t="str" cm="1">
        <f t="array" ref="F94">_xlfn.LET(_xlpm.rowNum,MATCH(E94,'glossaryterms-export'!C:C,0),
IF(AND(NOT(ISBLANK(INDEX('glossaryterms-export'!H:H,_xlpm.rowNum))),ISBLANK(INDEX('glossaryterms-export'!I:I,_xlpm.rowNum))),"Ready to Fix",""))</f>
        <v/>
      </c>
      <c r="G94">
        <v>1182</v>
      </c>
      <c r="H94">
        <v>977</v>
      </c>
      <c r="I94">
        <v>1.20982599795291</v>
      </c>
      <c r="J94">
        <v>42.451381780962102</v>
      </c>
      <c r="K94">
        <v>6026</v>
      </c>
    </row>
    <row r="95" spans="1:11" ht="61.5">
      <c r="A95">
        <v>94</v>
      </c>
      <c r="B95" s="14" t="s">
        <v>15</v>
      </c>
      <c r="C95" t="s">
        <v>133</v>
      </c>
      <c r="D95" s="1" t="s">
        <v>20</v>
      </c>
      <c r="E95" s="1" t="str">
        <f>_xlfn.REGEXREPLACE(C95, "(.*)\/$", "https://extremismterms.adl.org\1")</f>
        <v>https://extremismterms.adl.org/glossary/clay-clark</v>
      </c>
      <c r="F95" s="1" t="str" cm="1">
        <f t="array" ref="F95">_xlfn.LET(_xlpm.rowNum,MATCH(E95,'glossaryterms-export'!C:C,0),
IF(AND(NOT(ISBLANK(INDEX('glossaryterms-export'!H:H,_xlpm.rowNum))),ISBLANK(INDEX('glossaryterms-export'!I:I,_xlpm.rowNum))),"Ready to Fix",""))</f>
        <v/>
      </c>
      <c r="G95">
        <v>1163</v>
      </c>
      <c r="H95">
        <v>974</v>
      </c>
      <c r="I95">
        <v>1.1940451745379801</v>
      </c>
      <c r="J95">
        <v>25.054414784394201</v>
      </c>
      <c r="K95">
        <v>4730</v>
      </c>
    </row>
    <row r="96" spans="1:11" ht="77.25">
      <c r="A96">
        <v>95</v>
      </c>
      <c r="B96" s="10" t="s">
        <v>134</v>
      </c>
      <c r="C96" t="s">
        <v>135</v>
      </c>
      <c r="D96" s="1" t="s">
        <v>20</v>
      </c>
      <c r="E96" s="1" t="str">
        <f>_xlfn.REGEXREPLACE(C96, "(.*)\/$", "https://extremismterms.adl.org\1")</f>
        <v>https://extremismterms.adl.org/glossary/christian-identity-movement</v>
      </c>
      <c r="F96" s="1" t="str" cm="1">
        <f t="array" ref="F96">_xlfn.LET(_xlpm.rowNum,MATCH(E96,'glossaryterms-export'!C:C,0),
IF(AND(NOT(ISBLANK(INDEX('glossaryterms-export'!H:H,_xlpm.rowNum))),ISBLANK(INDEX('glossaryterms-export'!I:I,_xlpm.rowNum))),"Ready to Fix",""))</f>
        <v>Ready to Fix</v>
      </c>
      <c r="G96">
        <v>1152</v>
      </c>
      <c r="H96">
        <v>972</v>
      </c>
      <c r="I96">
        <v>1.18518518518518</v>
      </c>
      <c r="J96">
        <v>34.548353909465</v>
      </c>
      <c r="K96">
        <v>3387</v>
      </c>
    </row>
    <row r="97" spans="1:11" ht="77.25">
      <c r="A97">
        <v>96</v>
      </c>
      <c r="B97" s="16"/>
      <c r="C97" t="s">
        <v>136</v>
      </c>
      <c r="D97" s="1"/>
      <c r="E97" s="1" t="str">
        <f>_xlfn.REGEXREPLACE(C97, "(.*)\/$", "https://extremismterms.adl.org\1")</f>
        <v>https://extremismterms.adl.org/glossary/western-chauvinism</v>
      </c>
      <c r="F97" s="1" t="str" cm="1">
        <f t="array" ref="F97">_xlfn.LET(_xlpm.rowNum,MATCH(E97,'glossaryterms-export'!C:C,0),
IF(AND(NOT(ISBLANK(INDEX('glossaryterms-export'!H:H,_xlpm.rowNum))),ISBLANK(INDEX('glossaryterms-export'!I:I,_xlpm.rowNum))),"Ready to Fix",""))</f>
        <v/>
      </c>
      <c r="G97">
        <v>1105</v>
      </c>
      <c r="H97">
        <v>942</v>
      </c>
      <c r="I97">
        <v>1.17303609341825</v>
      </c>
      <c r="J97">
        <v>22.072186836518</v>
      </c>
      <c r="K97">
        <v>4251</v>
      </c>
    </row>
    <row r="98" spans="1:11" ht="77.25">
      <c r="A98">
        <v>97</v>
      </c>
      <c r="B98" s="16"/>
      <c r="C98" t="s">
        <v>137</v>
      </c>
      <c r="D98" s="1"/>
      <c r="E98" s="1" t="str">
        <f>_xlfn.REGEXREPLACE(C98, "(.*)\/$", "https://extremismterms.adl.org\1")</f>
        <v>https://extremismterms.adl.org/glossary/hannah-pearl-davis</v>
      </c>
      <c r="F98" s="1" t="str" cm="1">
        <f t="array" ref="F98">_xlfn.LET(_xlpm.rowNum,MATCH(E98,'glossaryterms-export'!C:C,0),
IF(AND(NOT(ISBLANK(INDEX('glossaryterms-export'!H:H,_xlpm.rowNum))),ISBLANK(INDEX('glossaryterms-export'!I:I,_xlpm.rowNum))),"Ready to Fix",""))</f>
        <v/>
      </c>
      <c r="G98">
        <v>1088</v>
      </c>
      <c r="H98">
        <v>988</v>
      </c>
      <c r="I98">
        <v>1.1012145748987801</v>
      </c>
      <c r="J98">
        <v>29.321862348178101</v>
      </c>
      <c r="K98">
        <v>4380</v>
      </c>
    </row>
    <row r="99" spans="1:11" ht="77.25">
      <c r="A99">
        <v>98</v>
      </c>
      <c r="B99" s="16"/>
      <c r="C99" t="s">
        <v>138</v>
      </c>
      <c r="D99" s="1"/>
      <c r="E99" s="1" t="str">
        <f>_xlfn.REGEXREPLACE(C99, "(.*)\/$", "https://extremismterms.adl.org\1")</f>
        <v>https://extremismterms.adl.org/glossary/ucc-1-308-and-ucc-1-207</v>
      </c>
      <c r="F99" s="1" t="str" cm="1">
        <f t="array" ref="F99">_xlfn.LET(_xlpm.rowNum,MATCH(E99,'glossaryterms-export'!C:C,0),
IF(AND(NOT(ISBLANK(INDEX('glossaryterms-export'!H:H,_xlpm.rowNum))),ISBLANK(INDEX('glossaryterms-export'!I:I,_xlpm.rowNum))),"Ready to Fix",""))</f>
        <v>Ready to Fix</v>
      </c>
      <c r="G99">
        <v>1086</v>
      </c>
      <c r="H99">
        <v>964</v>
      </c>
      <c r="I99">
        <v>1.1265560165975099</v>
      </c>
      <c r="J99">
        <v>42.208506224066298</v>
      </c>
      <c r="K99">
        <v>4714</v>
      </c>
    </row>
    <row r="100" spans="1:11" ht="61.5">
      <c r="A100">
        <v>99</v>
      </c>
      <c r="B100" s="16"/>
      <c r="C100" t="s">
        <v>139</v>
      </c>
      <c r="D100" s="1"/>
      <c r="E100" s="1" t="str">
        <f>_xlfn.REGEXREPLACE(C100, "(.*)\/$", "https://extremismterms.adl.org\1")</f>
        <v>https://extremismterms.adl.org/glossary/mkultra</v>
      </c>
      <c r="F100" s="1" t="str" cm="1">
        <f t="array" ref="F100">_xlfn.LET(_xlpm.rowNum,MATCH(E100,'glossaryterms-export'!C:C,0),
IF(AND(NOT(ISBLANK(INDEX('glossaryterms-export'!H:H,_xlpm.rowNum))),ISBLANK(INDEX('glossaryterms-export'!I:I,_xlpm.rowNum))),"Ready to Fix",""))</f>
        <v/>
      </c>
      <c r="G100">
        <v>1061</v>
      </c>
      <c r="H100">
        <v>902</v>
      </c>
      <c r="I100">
        <v>1.1762749445676199</v>
      </c>
      <c r="J100">
        <v>22.845898004434499</v>
      </c>
      <c r="K100">
        <v>4401</v>
      </c>
    </row>
    <row r="101" spans="1:11" ht="61.5">
      <c r="A101">
        <v>100</v>
      </c>
      <c r="B101" s="16"/>
      <c r="C101" t="s">
        <v>140</v>
      </c>
      <c r="D101" s="1"/>
      <c r="E101" s="1" t="str">
        <f>_xlfn.REGEXREPLACE(C101, "(.*)\/$", "https://extremismterms.adl.org\1")</f>
        <v>https://extremismterms.adl.org/glossary/vinland-rebels</v>
      </c>
      <c r="F101" s="1" t="str" cm="1">
        <f t="array" ref="F101">_xlfn.LET(_xlpm.rowNum,MATCH(E101,'glossaryterms-export'!C:C,0),
IF(AND(NOT(ISBLANK(INDEX('glossaryterms-export'!H:H,_xlpm.rowNum))),ISBLANK(INDEX('glossaryterms-export'!I:I,_xlpm.rowNum))),"Ready to Fix",""))</f>
        <v>Ready to Fix</v>
      </c>
      <c r="G101">
        <v>1061</v>
      </c>
      <c r="H101">
        <v>900</v>
      </c>
      <c r="I101">
        <v>1.17888888888888</v>
      </c>
      <c r="J101">
        <v>26.4855555555555</v>
      </c>
      <c r="K101">
        <v>3819</v>
      </c>
    </row>
    <row r="102" spans="1:11" ht="92.25">
      <c r="A102">
        <v>101</v>
      </c>
      <c r="B102" s="14" t="s">
        <v>5</v>
      </c>
      <c r="C102" t="s">
        <v>141</v>
      </c>
      <c r="D102" s="1" t="s">
        <v>20</v>
      </c>
      <c r="E102" s="1" t="str">
        <f>_xlfn.REGEXREPLACE(C102, "(.*)\/$", "https://extremismterms.adl.org\1")</f>
        <v>https://extremismterms.adl.org/glossary/maniac-murder-cult-mky-mku-mmc</v>
      </c>
      <c r="F102" s="1" t="str" cm="1">
        <f t="array" ref="F102">_xlfn.LET(_xlpm.rowNum,MATCH(E102,'glossaryterms-export'!C:C,0),
IF(AND(NOT(ISBLANK(INDEX('glossaryterms-export'!H:H,_xlpm.rowNum))),ISBLANK(INDEX('glossaryterms-export'!I:I,_xlpm.rowNum))),"Ready to Fix",""))</f>
        <v/>
      </c>
      <c r="G102">
        <v>1045</v>
      </c>
      <c r="H102">
        <v>863</v>
      </c>
      <c r="I102">
        <v>1.2108922363846999</v>
      </c>
      <c r="J102">
        <v>33.3812282734646</v>
      </c>
      <c r="K102">
        <v>4779</v>
      </c>
    </row>
    <row r="103" spans="1:11" ht="61.5">
      <c r="A103">
        <v>102</v>
      </c>
      <c r="B103" s="16"/>
      <c r="C103" t="s">
        <v>142</v>
      </c>
      <c r="D103" s="1"/>
      <c r="E103" s="1" t="str">
        <f>_xlfn.REGEXREPLACE(C103, "(.*)\/$", "https://extremismterms.adl.org\1")</f>
        <v>https://extremismterms.adl.org/glossary/hate-club</v>
      </c>
      <c r="F103" s="1" t="str" cm="1">
        <f t="array" ref="F103">_xlfn.LET(_xlpm.rowNum,MATCH(E103,'glossaryterms-export'!C:C,0),
IF(AND(NOT(ISBLANK(INDEX('glossaryterms-export'!H:H,_xlpm.rowNum))),ISBLANK(INDEX('glossaryterms-export'!I:I,_xlpm.rowNum))),"Ready to Fix",""))</f>
        <v>Ready to Fix</v>
      </c>
      <c r="G103">
        <v>1037</v>
      </c>
      <c r="H103">
        <v>837</v>
      </c>
      <c r="I103">
        <v>1.2389486260453999</v>
      </c>
      <c r="J103">
        <v>31.706093189964101</v>
      </c>
      <c r="K103">
        <v>3821</v>
      </c>
    </row>
    <row r="104" spans="1:11" ht="61.5">
      <c r="A104">
        <v>103</v>
      </c>
      <c r="B104" s="16"/>
      <c r="C104" t="s">
        <v>143</v>
      </c>
      <c r="D104" s="1"/>
      <c r="E104" s="1" t="str">
        <f>_xlfn.REGEXREPLACE(C104, "(.*)\/$", "https://extremismterms.adl.org\1")</f>
        <v>https://extremismterms.adl.org/glossary/stop-zionist-hate</v>
      </c>
      <c r="F104" s="1" t="str" cm="1">
        <f t="array" ref="F104">_xlfn.LET(_xlpm.rowNum,MATCH(E104,'glossaryterms-export'!C:C,0),
IF(AND(NOT(ISBLANK(INDEX('glossaryterms-export'!H:H,_xlpm.rowNum))),ISBLANK(INDEX('glossaryterms-export'!I:I,_xlpm.rowNum))),"Ready to Fix",""))</f>
        <v/>
      </c>
      <c r="G104">
        <v>1036</v>
      </c>
      <c r="H104">
        <v>939</v>
      </c>
      <c r="I104">
        <v>1.10330138445154</v>
      </c>
      <c r="J104">
        <v>25.048988285410001</v>
      </c>
      <c r="K104">
        <v>3525</v>
      </c>
    </row>
    <row r="105" spans="1:11" ht="46.5">
      <c r="A105">
        <v>104</v>
      </c>
      <c r="B105" s="16"/>
      <c r="C105" t="s">
        <v>144</v>
      </c>
      <c r="D105" s="1"/>
      <c r="E105" s="1" t="str">
        <f>_xlfn.REGEXREPLACE(C105, "(.*)\/$", "https://extremismterms.adl.org\1")</f>
        <v>https://extremismterms.adl.org/glossary/83</v>
      </c>
      <c r="F105" s="1" t="str" cm="1">
        <f t="array" ref="F105">_xlfn.LET(_xlpm.rowNum,MATCH(E105,'glossaryterms-export'!C:C,0),
IF(AND(NOT(ISBLANK(INDEX('glossaryterms-export'!H:H,_xlpm.rowNum))),ISBLANK(INDEX('glossaryterms-export'!I:I,_xlpm.rowNum))),"Ready to Fix",""))</f>
        <v>Ready to Fix</v>
      </c>
      <c r="G105">
        <v>1006</v>
      </c>
      <c r="H105">
        <v>791</v>
      </c>
      <c r="I105">
        <v>1.2718078381795099</v>
      </c>
      <c r="J105">
        <v>19.418457648546099</v>
      </c>
      <c r="K105">
        <v>2567</v>
      </c>
    </row>
    <row r="106" spans="1:11" ht="61.5">
      <c r="A106">
        <v>105</v>
      </c>
      <c r="B106" s="16"/>
      <c r="C106" t="s">
        <v>145</v>
      </c>
      <c r="D106" s="1"/>
      <c r="E106" s="1" t="str">
        <f>_xlfn.REGEXREPLACE(C106, "(.*)\/$", "https://extremismterms.adl.org\1")</f>
        <v>https://extremismterms.adl.org/glossary/kalergi-plan</v>
      </c>
      <c r="F106" s="1" t="str" cm="1">
        <f t="array" ref="F106">_xlfn.LET(_xlpm.rowNum,MATCH(E106,'glossaryterms-export'!C:C,0),
IF(AND(NOT(ISBLANK(INDEX('glossaryterms-export'!H:H,_xlpm.rowNum))),ISBLANK(INDEX('glossaryterms-export'!I:I,_xlpm.rowNum))),"Ready to Fix",""))</f>
        <v/>
      </c>
      <c r="G106">
        <v>981</v>
      </c>
      <c r="H106">
        <v>883</v>
      </c>
      <c r="I106">
        <v>1.1109852774631901</v>
      </c>
      <c r="J106">
        <v>31.0464326160815</v>
      </c>
      <c r="K106">
        <v>3920</v>
      </c>
    </row>
    <row r="107" spans="1:11" ht="92.25">
      <c r="A107">
        <v>106</v>
      </c>
      <c r="B107" s="16"/>
      <c r="C107" t="s">
        <v>146</v>
      </c>
      <c r="D107" s="1"/>
      <c r="E107" s="1" t="str">
        <f>_xlfn.REGEXREPLACE(C107, "(.*)\/$", "https://extremismterms.adl.org\1")</f>
        <v>https://extremismterms.adl.org/glossary/national-organization-vital-action-nova</v>
      </c>
      <c r="F107" s="1" t="str" cm="1">
        <f t="array" ref="F107">_xlfn.LET(_xlpm.rowNum,MATCH(E107,'glossaryterms-export'!C:C,0),
IF(AND(NOT(ISBLANK(INDEX('glossaryterms-export'!H:H,_xlpm.rowNum))),ISBLANK(INDEX('glossaryterms-export'!I:I,_xlpm.rowNum))),"Ready to Fix",""))</f>
        <v>Ready to Fix</v>
      </c>
      <c r="G107">
        <v>960</v>
      </c>
      <c r="H107">
        <v>806</v>
      </c>
      <c r="I107">
        <v>1.1910669975186099</v>
      </c>
      <c r="J107">
        <v>24.9615384615384</v>
      </c>
      <c r="K107">
        <v>3204</v>
      </c>
    </row>
    <row r="108" spans="1:11" ht="61.5">
      <c r="A108">
        <v>107</v>
      </c>
      <c r="B108" s="16"/>
      <c r="C108" t="s">
        <v>147</v>
      </c>
      <c r="D108" s="1"/>
      <c r="E108" s="1" t="str">
        <f>_xlfn.REGEXREPLACE(C108, "(.*)\/$", "https://extremismterms.adl.org\1")</f>
        <v>https://extremismterms.adl.org/glossary/irminfolk</v>
      </c>
      <c r="F108" s="1" t="str" cm="1">
        <f t="array" ref="F108">_xlfn.LET(_xlpm.rowNum,MATCH(E108,'glossaryterms-export'!C:C,0),
IF(AND(NOT(ISBLANK(INDEX('glossaryterms-export'!H:H,_xlpm.rowNum))),ISBLANK(INDEX('glossaryterms-export'!I:I,_xlpm.rowNum))),"Ready to Fix",""))</f>
        <v>Ready to Fix</v>
      </c>
      <c r="G108">
        <v>955</v>
      </c>
      <c r="H108">
        <v>847</v>
      </c>
      <c r="I108">
        <v>1.1275088547815799</v>
      </c>
      <c r="J108">
        <v>24.038961038960998</v>
      </c>
      <c r="K108">
        <v>4038</v>
      </c>
    </row>
    <row r="109" spans="1:11" ht="108">
      <c r="A109">
        <v>108</v>
      </c>
      <c r="B109" s="16"/>
      <c r="C109" t="s">
        <v>148</v>
      </c>
      <c r="D109" s="1"/>
      <c r="E109" s="1" t="str">
        <f>_xlfn.REGEXREPLACE(C109, "(.*)\/$", "https://extremismterms.adl.org\1")</f>
        <v>https://extremismterms.adl.org/glossary/unity-fields-formerly-known-palestine-action-us</v>
      </c>
      <c r="F109" s="1" t="str" cm="1">
        <f t="array" ref="F109">_xlfn.LET(_xlpm.rowNum,MATCH(E109,'glossaryterms-export'!C:C,0),
IF(AND(NOT(ISBLANK(INDEX('glossaryterms-export'!H:H,_xlpm.rowNum))),ISBLANK(INDEX('glossaryterms-export'!I:I,_xlpm.rowNum))),"Ready to Fix",""))</f>
        <v>Ready to Fix</v>
      </c>
      <c r="G109">
        <v>917</v>
      </c>
      <c r="H109">
        <v>781</v>
      </c>
      <c r="I109">
        <v>1.17413572343149</v>
      </c>
      <c r="J109">
        <v>32.400768245838599</v>
      </c>
      <c r="K109">
        <v>4614</v>
      </c>
    </row>
    <row r="110" spans="1:11" ht="77.25">
      <c r="A110">
        <v>109</v>
      </c>
      <c r="B110" s="16"/>
      <c r="C110" t="s">
        <v>149</v>
      </c>
      <c r="D110" s="1"/>
      <c r="E110" s="1" t="str">
        <f>_xlfn.REGEXREPLACE(C110, "(.*)\/$", "https://extremismterms.adl.org\1")</f>
        <v>https://extremismterms.adl.org/glossary/2119-crew</v>
      </c>
      <c r="F110" s="1" t="str" cm="1">
        <f t="array" ref="F110">_xlfn.LET(_xlpm.rowNum,MATCH(E110,'glossaryterms-export'!C:C,0),
IF(AND(NOT(ISBLANK(INDEX('glossaryterms-export'!H:H,_xlpm.rowNum))),ISBLANK(INDEX('glossaryterms-export'!I:I,_xlpm.rowNum))),"Ready to Fix",""))</f>
        <v>Ready to Fix</v>
      </c>
      <c r="G110">
        <v>896</v>
      </c>
      <c r="H110">
        <v>736</v>
      </c>
      <c r="I110">
        <v>1.2173913043478199</v>
      </c>
      <c r="J110">
        <v>25.433423913043399</v>
      </c>
      <c r="K110">
        <v>3330</v>
      </c>
    </row>
    <row r="111" spans="1:11" ht="92.25">
      <c r="A111">
        <v>110</v>
      </c>
      <c r="B111" s="16"/>
      <c r="C111" t="s">
        <v>150</v>
      </c>
      <c r="D111" s="1"/>
      <c r="E111" s="1" t="str">
        <f>_xlfn.REGEXREPLACE(C111, "(.*)\/$", "https://extremismterms.adl.org\1")</f>
        <v>https://extremismterms.adl.org/glossary/popular-front-liberation-palestine</v>
      </c>
      <c r="F111" s="1" t="str" cm="1">
        <f t="array" ref="F111">_xlfn.LET(_xlpm.rowNum,MATCH(E111,'glossaryterms-export'!C:C,0),
IF(AND(NOT(ISBLANK(INDEX('glossaryterms-export'!H:H,_xlpm.rowNum))),ISBLANK(INDEX('glossaryterms-export'!I:I,_xlpm.rowNum))),"Ready to Fix",""))</f>
        <v/>
      </c>
      <c r="G111">
        <v>887</v>
      </c>
      <c r="H111">
        <v>740</v>
      </c>
      <c r="I111">
        <v>1.1986486486486401</v>
      </c>
      <c r="J111">
        <v>21.55</v>
      </c>
      <c r="K111">
        <v>3516</v>
      </c>
    </row>
    <row r="112" spans="1:11" ht="61.5">
      <c r="A112">
        <v>111</v>
      </c>
      <c r="B112" s="16"/>
      <c r="C112" t="s">
        <v>151</v>
      </c>
      <c r="D112" s="1"/>
      <c r="E112" s="1" t="str">
        <f>_xlfn.REGEXREPLACE(C112, "(.*)\/$", "https://extremismterms.adl.org\1")</f>
        <v>https://extremismterms.adl.org/glossary/paul-miller</v>
      </c>
      <c r="F112" s="1" t="str" cm="1">
        <f t="array" ref="F112">_xlfn.LET(_xlpm.rowNum,MATCH(E112,'glossaryterms-export'!C:C,0),
IF(AND(NOT(ISBLANK(INDEX('glossaryterms-export'!H:H,_xlpm.rowNum))),ISBLANK(INDEX('glossaryterms-export'!I:I,_xlpm.rowNum))),"Ready to Fix",""))</f>
        <v>Ready to Fix</v>
      </c>
      <c r="G112">
        <v>882</v>
      </c>
      <c r="H112">
        <v>781</v>
      </c>
      <c r="I112">
        <v>1.1293213828424999</v>
      </c>
      <c r="J112">
        <v>17.156209987195901</v>
      </c>
      <c r="K112">
        <v>2461</v>
      </c>
    </row>
    <row r="113" spans="1:11" ht="61.5">
      <c r="A113">
        <v>112</v>
      </c>
      <c r="B113" s="13" t="s">
        <v>152</v>
      </c>
      <c r="C113" t="s">
        <v>153</v>
      </c>
      <c r="D113" s="1" t="s">
        <v>20</v>
      </c>
      <c r="E113" s="1" t="str">
        <f>_xlfn.REGEXREPLACE(C113, "(.*)\/$", "https://extremismterms.adl.org\1")</f>
        <v>https://extremismterms.adl.org/glossary/oath-keepers-usa</v>
      </c>
      <c r="F113" s="1" t="str" cm="1">
        <f t="array" ref="F113">_xlfn.LET(_xlpm.rowNum,MATCH(E113,'glossaryterms-export'!C:C,0),
IF(AND(NOT(ISBLANK(INDEX('glossaryterms-export'!H:H,_xlpm.rowNum))),ISBLANK(INDEX('glossaryterms-export'!I:I,_xlpm.rowNum))),"Ready to Fix",""))</f>
        <v>Ready to Fix</v>
      </c>
      <c r="G113">
        <v>871</v>
      </c>
      <c r="H113">
        <v>757</v>
      </c>
      <c r="I113">
        <v>1.15059445178335</v>
      </c>
      <c r="J113">
        <v>27.453104359312999</v>
      </c>
      <c r="K113">
        <v>2322</v>
      </c>
    </row>
    <row r="114" spans="1:11" ht="92.25">
      <c r="A114">
        <v>113</v>
      </c>
      <c r="B114" s="16"/>
      <c r="C114" t="s">
        <v>154</v>
      </c>
      <c r="D114" s="1"/>
      <c r="E114" s="1" t="str">
        <f>_xlfn.REGEXREPLACE(C114, "(.*)\/$", "https://extremismterms.adl.org\1")</f>
        <v>https://extremismterms.adl.org/glossary/promised-them-3000-years-ago</v>
      </c>
      <c r="F114" s="1" t="str" cm="1">
        <f t="array" ref="F114">_xlfn.LET(_xlpm.rowNum,MATCH(E114,'glossaryterms-export'!C:C,0),
IF(AND(NOT(ISBLANK(INDEX('glossaryterms-export'!H:H,_xlpm.rowNum))),ISBLANK(INDEX('glossaryterms-export'!I:I,_xlpm.rowNum))),"Ready to Fix",""))</f>
        <v/>
      </c>
      <c r="G114">
        <v>869</v>
      </c>
      <c r="H114">
        <v>764</v>
      </c>
      <c r="I114">
        <v>1.1374345549738201</v>
      </c>
      <c r="J114">
        <v>25.346858638743399</v>
      </c>
      <c r="K114">
        <v>2318</v>
      </c>
    </row>
    <row r="115" spans="1:11" ht="61.5">
      <c r="A115">
        <v>114</v>
      </c>
      <c r="B115" s="16"/>
      <c r="C115" t="s">
        <v>155</v>
      </c>
      <c r="D115" s="1"/>
      <c r="E115" s="1" t="str">
        <f>_xlfn.REGEXREPLACE(C115, "(.*)\/$", "https://extremismterms.adl.org\1")</f>
        <v>https://extremismterms.adl.org/glossary/brenton-tarrant</v>
      </c>
      <c r="F115" s="1" t="str" cm="1">
        <f t="array" ref="F115">_xlfn.LET(_xlpm.rowNum,MATCH(E115,'glossaryterms-export'!C:C,0),
IF(AND(NOT(ISBLANK(INDEX('glossaryterms-export'!H:H,_xlpm.rowNum))),ISBLANK(INDEX('glossaryterms-export'!I:I,_xlpm.rowNum))),"Ready to Fix",""))</f>
        <v>Ready to Fix</v>
      </c>
      <c r="G115">
        <v>864</v>
      </c>
      <c r="H115">
        <v>771</v>
      </c>
      <c r="I115">
        <v>1.1206225680933799</v>
      </c>
      <c r="J115">
        <v>14.7639429312581</v>
      </c>
      <c r="K115">
        <v>1875</v>
      </c>
    </row>
    <row r="116" spans="1:11" ht="61.5">
      <c r="A116">
        <v>115</v>
      </c>
      <c r="B116" s="14" t="s">
        <v>25</v>
      </c>
      <c r="C116" t="s">
        <v>156</v>
      </c>
      <c r="D116" s="1" t="s">
        <v>20</v>
      </c>
      <c r="E116" s="1" t="str">
        <f>_xlfn.REGEXREPLACE(C116, "(.*)\/$", "https://extremismterms.adl.org\1")</f>
        <v>https://extremismterms.adl.org/glossary/bobby-lawrence</v>
      </c>
      <c r="F116" s="1" t="str" cm="1">
        <f t="array" ref="F116">_xlfn.LET(_xlpm.rowNum,MATCH(E116,'glossaryterms-export'!C:C,0),
IF(AND(NOT(ISBLANK(INDEX('glossaryterms-export'!H:H,_xlpm.rowNum))),ISBLANK(INDEX('glossaryterms-export'!I:I,_xlpm.rowNum))),"Ready to Fix",""))</f>
        <v/>
      </c>
      <c r="G116">
        <v>848</v>
      </c>
      <c r="H116">
        <v>674</v>
      </c>
      <c r="I116">
        <v>1.25816023738872</v>
      </c>
      <c r="J116">
        <v>30.502967359050398</v>
      </c>
      <c r="K116">
        <v>3243</v>
      </c>
    </row>
    <row r="117" spans="1:11" ht="77.25">
      <c r="A117">
        <v>116</v>
      </c>
      <c r="B117" s="16"/>
      <c r="C117" t="s">
        <v>157</v>
      </c>
      <c r="D117" s="1"/>
      <c r="E117" s="1" t="str">
        <f>_xlfn.REGEXREPLACE(C117, "(.*)\/$", "https://extremismterms.adl.org\1")</f>
        <v>https://extremismterms.adl.org/glossary/trinity-white-knights</v>
      </c>
      <c r="F117" s="1" t="str" cm="1">
        <f t="array" ref="F117">_xlfn.LET(_xlpm.rowNum,MATCH(E117,'glossaryterms-export'!C:C,0),
IF(AND(NOT(ISBLANK(INDEX('glossaryterms-export'!H:H,_xlpm.rowNum))),ISBLANK(INDEX('glossaryterms-export'!I:I,_xlpm.rowNum))),"Ready to Fix",""))</f>
        <v>Ready to Fix</v>
      </c>
      <c r="G117">
        <v>833</v>
      </c>
      <c r="H117">
        <v>727</v>
      </c>
      <c r="I117">
        <v>1.1458046767537799</v>
      </c>
      <c r="J117">
        <v>19.382393397524002</v>
      </c>
      <c r="K117">
        <v>3073</v>
      </c>
    </row>
    <row r="118" spans="1:11" ht="92.25">
      <c r="A118">
        <v>117</v>
      </c>
      <c r="B118" s="16"/>
      <c r="C118" t="s">
        <v>158</v>
      </c>
      <c r="D118" s="1"/>
      <c r="E118" s="1" t="str">
        <f>_xlfn.REGEXREPLACE(C118, "(.*)\/$", "https://extremismterms.adl.org\1")</f>
        <v>https://extremismterms.adl.org/glossary/weimar-problems-require-weimar-solutions</v>
      </c>
      <c r="F118" s="1" t="str" cm="1">
        <f t="array" ref="F118">_xlfn.LET(_xlpm.rowNum,MATCH(E118,'glossaryterms-export'!C:C,0),
IF(AND(NOT(ISBLANK(INDEX('glossaryterms-export'!H:H,_xlpm.rowNum))),ISBLANK(INDEX('glossaryterms-export'!I:I,_xlpm.rowNum))),"Ready to Fix",""))</f>
        <v/>
      </c>
      <c r="G118">
        <v>823</v>
      </c>
      <c r="H118">
        <v>699</v>
      </c>
      <c r="I118">
        <v>1.17739628040057</v>
      </c>
      <c r="J118">
        <v>36.929899856938398</v>
      </c>
      <c r="K118">
        <v>4323</v>
      </c>
    </row>
    <row r="119" spans="1:11" ht="77.25">
      <c r="A119">
        <v>118</v>
      </c>
      <c r="B119" s="14" t="s">
        <v>159</v>
      </c>
      <c r="C119" t="s">
        <v>160</v>
      </c>
      <c r="D119" s="1" t="s">
        <v>20</v>
      </c>
      <c r="E119" s="1" t="str">
        <f>_xlfn.REGEXREPLACE(C119, "(.*)\/$", "https://extremismterms.adl.org\1")</f>
        <v>https://extremismterms.adl.org/glossary/pacific-northwest-wolfpack</v>
      </c>
      <c r="F119" s="1" t="str" cm="1">
        <f t="array" ref="F119">_xlfn.LET(_xlpm.rowNum,MATCH(E119,'glossaryterms-export'!C:C,0),
IF(AND(NOT(ISBLANK(INDEX('glossaryterms-export'!H:H,_xlpm.rowNum))),ISBLANK(INDEX('glossaryterms-export'!I:I,_xlpm.rowNum))),"Ready to Fix",""))</f>
        <v>Ready to Fix</v>
      </c>
      <c r="G119">
        <v>812</v>
      </c>
      <c r="H119">
        <v>689</v>
      </c>
      <c r="I119">
        <v>1.1785195936139301</v>
      </c>
      <c r="J119">
        <v>30.348330914368599</v>
      </c>
      <c r="K119">
        <v>2515</v>
      </c>
    </row>
    <row r="120" spans="1:11" ht="77.25">
      <c r="A120">
        <v>119</v>
      </c>
      <c r="B120" s="16"/>
      <c r="C120" t="s">
        <v>161</v>
      </c>
      <c r="D120" s="1"/>
      <c r="E120" s="1" t="str">
        <f>_xlfn.REGEXREPLACE(C120, "(.*)\/$", "https://extremismterms.adl.org\1")</f>
        <v>https://extremismterms.adl.org/glossary/rwdsright-wing-death-squad</v>
      </c>
      <c r="F120" s="1" t="str" cm="1">
        <f t="array" ref="F120">_xlfn.LET(_xlpm.rowNum,MATCH(E120,'glossaryterms-export'!C:C,0),
IF(AND(NOT(ISBLANK(INDEX('glossaryterms-export'!H:H,_xlpm.rowNum))),ISBLANK(INDEX('glossaryterms-export'!I:I,_xlpm.rowNum))),"Ready to Fix",""))</f>
        <v/>
      </c>
      <c r="G120">
        <v>804</v>
      </c>
      <c r="H120">
        <v>706</v>
      </c>
      <c r="I120">
        <v>1.1388101983002801</v>
      </c>
      <c r="J120">
        <v>30.910764872521199</v>
      </c>
      <c r="K120">
        <v>4260</v>
      </c>
    </row>
    <row r="121" spans="1:11" ht="61.5">
      <c r="A121">
        <v>120</v>
      </c>
      <c r="B121" s="16"/>
      <c r="C121" t="s">
        <v>162</v>
      </c>
      <c r="D121" s="1"/>
      <c r="E121" s="1" t="str">
        <f>_xlfn.REGEXREPLACE(C121, "(.*)\/$", "https://extremismterms.adl.org\1")</f>
        <v>https://extremismterms.adl.org/glossary/transgenderism</v>
      </c>
      <c r="F121" s="1" t="str" cm="1">
        <f t="array" ref="F121">_xlfn.LET(_xlpm.rowNum,MATCH(E121,'glossaryterms-export'!C:C,0),
IF(AND(NOT(ISBLANK(INDEX('glossaryterms-export'!H:H,_xlpm.rowNum))),ISBLANK(INDEX('glossaryterms-export'!I:I,_xlpm.rowNum))),"Ready to Fix",""))</f>
        <v>Ready to Fix</v>
      </c>
      <c r="G121">
        <v>794</v>
      </c>
      <c r="H121">
        <v>712</v>
      </c>
      <c r="I121">
        <v>1.1151685393258399</v>
      </c>
      <c r="J121">
        <v>20.974719101123501</v>
      </c>
      <c r="K121">
        <v>2329</v>
      </c>
    </row>
    <row r="122" spans="1:11" ht="77.25">
      <c r="A122">
        <v>121</v>
      </c>
      <c r="B122" s="16"/>
      <c r="C122" t="s">
        <v>163</v>
      </c>
      <c r="D122" s="1"/>
      <c r="E122" s="1" t="str">
        <f>_xlfn.REGEXREPLACE(C122, "(.*)\/$", "https://extremismterms.adl.org\1")</f>
        <v>https://extremismterms.adl.org/glossary/party-socialism-and-liberation-psl</v>
      </c>
      <c r="F122" s="1" t="str" cm="1">
        <f t="array" ref="F122">_xlfn.LET(_xlpm.rowNum,MATCH(E122,'glossaryterms-export'!C:C,0),
IF(AND(NOT(ISBLANK(INDEX('glossaryterms-export'!H:H,_xlpm.rowNum))),ISBLANK(INDEX('glossaryterms-export'!I:I,_xlpm.rowNum))),"Ready to Fix",""))</f>
        <v>Ready to Fix</v>
      </c>
      <c r="G122">
        <v>785</v>
      </c>
      <c r="H122">
        <v>688</v>
      </c>
      <c r="I122">
        <v>1.1409883720930201</v>
      </c>
      <c r="J122">
        <v>24.422965116278998</v>
      </c>
      <c r="K122">
        <v>3320</v>
      </c>
    </row>
    <row r="123" spans="1:11" ht="61.5">
      <c r="A123">
        <v>122</v>
      </c>
      <c r="B123" s="16"/>
      <c r="C123" t="s">
        <v>164</v>
      </c>
      <c r="D123" s="1"/>
      <c r="E123" s="1" t="str">
        <f>_xlfn.REGEXREPLACE(C123, "(.*)\/$", "https://extremismterms.adl.org\1")</f>
        <v>https://extremismterms.adl.org/glossary/8kun</v>
      </c>
      <c r="F123" s="1" t="str" cm="1">
        <f t="array" ref="F123">_xlfn.LET(_xlpm.rowNum,MATCH(E123,'glossaryterms-export'!C:C,0),
IF(AND(NOT(ISBLANK(INDEX('glossaryterms-export'!H:H,_xlpm.rowNum))),ISBLANK(INDEX('glossaryterms-export'!I:I,_xlpm.rowNum))),"Ready to Fix",""))</f>
        <v/>
      </c>
      <c r="G123">
        <v>776</v>
      </c>
      <c r="H123">
        <v>696</v>
      </c>
      <c r="I123">
        <v>1.11494252873563</v>
      </c>
      <c r="J123">
        <v>9.9583333333333304</v>
      </c>
      <c r="K123">
        <v>1793</v>
      </c>
    </row>
    <row r="124" spans="1:11" ht="61.5">
      <c r="A124">
        <v>123</v>
      </c>
      <c r="B124" s="16"/>
      <c r="C124" t="s">
        <v>165</v>
      </c>
      <c r="D124" s="1"/>
      <c r="E124" s="1" t="str">
        <f>_xlfn.REGEXREPLACE(C124, "(.*)\/$", "https://extremismterms.adl.org\1")</f>
        <v>https://extremismterms.adl.org/glossary/david-icke</v>
      </c>
      <c r="F124" s="1" t="str" cm="1">
        <f t="array" ref="F124">_xlfn.LET(_xlpm.rowNum,MATCH(E124,'glossaryterms-export'!C:C,0),
IF(AND(NOT(ISBLANK(INDEX('glossaryterms-export'!H:H,_xlpm.rowNum))),ISBLANK(INDEX('glossaryterms-export'!I:I,_xlpm.rowNum))),"Ready to Fix",""))</f>
        <v>Ready to Fix</v>
      </c>
      <c r="G124">
        <v>774</v>
      </c>
      <c r="H124">
        <v>717</v>
      </c>
      <c r="I124">
        <v>1.0794979079497899</v>
      </c>
      <c r="J124">
        <v>28.465829846582899</v>
      </c>
      <c r="K124">
        <v>3207</v>
      </c>
    </row>
    <row r="125" spans="1:11" ht="61.5">
      <c r="A125">
        <v>124</v>
      </c>
      <c r="B125" s="16"/>
      <c r="C125" t="s">
        <v>166</v>
      </c>
      <c r="D125" s="1"/>
      <c r="E125" s="1" t="str">
        <f>_xlfn.REGEXREPLACE(C125, "(.*)\/$", "https://extremismterms.adl.org\1")</f>
        <v>https://extremismterms.adl.org/glossary/lgbtq-agenda</v>
      </c>
      <c r="F125" s="1" t="str" cm="1">
        <f t="array" ref="F125">_xlfn.LET(_xlpm.rowNum,MATCH(E125,'glossaryterms-export'!C:C,0),
IF(AND(NOT(ISBLANK(INDEX('glossaryterms-export'!H:H,_xlpm.rowNum))),ISBLANK(INDEX('glossaryterms-export'!I:I,_xlpm.rowNum))),"Ready to Fix",""))</f>
        <v/>
      </c>
      <c r="G125">
        <v>764</v>
      </c>
      <c r="H125">
        <v>679</v>
      </c>
      <c r="I125">
        <v>1.1251840942562501</v>
      </c>
      <c r="J125">
        <v>22.687776141384301</v>
      </c>
      <c r="K125">
        <v>2067</v>
      </c>
    </row>
    <row r="126" spans="1:11" ht="61.5">
      <c r="A126">
        <v>125</v>
      </c>
      <c r="B126" s="16"/>
      <c r="C126" t="s">
        <v>167</v>
      </c>
      <c r="D126" s="1"/>
      <c r="E126" s="1" t="str">
        <f>_xlfn.REGEXREPLACE(C126, "(.*)\/$", "https://extremismterms.adl.org\1")</f>
        <v>https://extremismterms.adl.org/glossary/odinism</v>
      </c>
      <c r="F126" s="1" t="str" cm="1">
        <f t="array" ref="F126">_xlfn.LET(_xlpm.rowNum,MATCH(E126,'glossaryterms-export'!C:C,0),
IF(AND(NOT(ISBLANK(INDEX('glossaryterms-export'!H:H,_xlpm.rowNum))),ISBLANK(INDEX('glossaryterms-export'!I:I,_xlpm.rowNum))),"Ready to Fix",""))</f>
        <v/>
      </c>
      <c r="G126">
        <v>763</v>
      </c>
      <c r="H126">
        <v>682</v>
      </c>
      <c r="I126">
        <v>1.1187683284457399</v>
      </c>
      <c r="J126">
        <v>18.046920821114298</v>
      </c>
      <c r="K126">
        <v>2466</v>
      </c>
    </row>
    <row r="127" spans="1:11" ht="61.5">
      <c r="A127">
        <v>126</v>
      </c>
      <c r="B127" s="16"/>
      <c r="C127" t="s">
        <v>168</v>
      </c>
      <c r="D127" s="1"/>
      <c r="E127" s="1" t="str">
        <f>_xlfn.REGEXREPLACE(C127, "(.*)\/$", "https://extremismterms.adl.org\1")</f>
        <v>https://extremismterms.adl.org/glossary/white-supremacy</v>
      </c>
      <c r="F127" s="1" t="str" cm="1">
        <f t="array" ref="F127">_xlfn.LET(_xlpm.rowNum,MATCH(E127,'glossaryterms-export'!C:C,0),
IF(AND(NOT(ISBLANK(INDEX('glossaryterms-export'!H:H,_xlpm.rowNum))),ISBLANK(INDEX('glossaryterms-export'!I:I,_xlpm.rowNum))),"Ready to Fix",""))</f>
        <v>Ready to Fix</v>
      </c>
      <c r="G127">
        <v>760</v>
      </c>
      <c r="H127">
        <v>628</v>
      </c>
      <c r="I127">
        <v>1.21019108280254</v>
      </c>
      <c r="J127">
        <v>29.748407643312099</v>
      </c>
      <c r="K127">
        <v>2839</v>
      </c>
    </row>
    <row r="128" spans="1:11" ht="61.5">
      <c r="A128">
        <v>127</v>
      </c>
      <c r="B128" s="14" t="s">
        <v>5</v>
      </c>
      <c r="C128" t="s">
        <v>169</v>
      </c>
      <c r="D128" s="1" t="s">
        <v>20</v>
      </c>
      <c r="E128" s="1" t="str">
        <f>_xlfn.REGEXREPLACE(C128, "(.*)\/$", "https://extremismterms.adl.org\1")</f>
        <v>https://extremismterms.adl.org/glossary/no-lives-matter-nlm</v>
      </c>
      <c r="F128" s="1" t="str" cm="1">
        <f t="array" ref="F128">_xlfn.LET(_xlpm.rowNum,MATCH(E128,'glossaryterms-export'!C:C,0),
IF(AND(NOT(ISBLANK(INDEX('glossaryterms-export'!H:H,_xlpm.rowNum))),ISBLANK(INDEX('glossaryterms-export'!I:I,_xlpm.rowNum))),"Ready to Fix",""))</f>
        <v/>
      </c>
      <c r="G128">
        <v>759</v>
      </c>
      <c r="H128">
        <v>629</v>
      </c>
      <c r="I128">
        <v>1.20667726550079</v>
      </c>
      <c r="J128">
        <v>20.589825119236799</v>
      </c>
      <c r="K128">
        <v>1828</v>
      </c>
    </row>
    <row r="129" spans="1:11" ht="77.25">
      <c r="A129">
        <v>128</v>
      </c>
      <c r="B129" s="16"/>
      <c r="C129" t="s">
        <v>170</v>
      </c>
      <c r="D129" s="1"/>
      <c r="E129" s="1" t="str">
        <f>_xlfn.REGEXREPLACE(C129, "(.*)\/$", "https://extremismterms.adl.org\1")</f>
        <v>https://extremismterms.adl.org/glossary/uss-liberty-conspiracy-theory</v>
      </c>
      <c r="F129" s="1" t="str" cm="1">
        <f t="array" ref="F129">_xlfn.LET(_xlpm.rowNum,MATCH(E129,'glossaryterms-export'!C:C,0),
IF(AND(NOT(ISBLANK(INDEX('glossaryterms-export'!H:H,_xlpm.rowNum))),ISBLANK(INDEX('glossaryterms-export'!I:I,_xlpm.rowNum))),"Ready to Fix",""))</f>
        <v/>
      </c>
      <c r="G129">
        <v>753</v>
      </c>
      <c r="H129">
        <v>660</v>
      </c>
      <c r="I129">
        <v>1.14090909090909</v>
      </c>
      <c r="J129">
        <v>17.098484848484802</v>
      </c>
      <c r="K129">
        <v>2469</v>
      </c>
    </row>
    <row r="130" spans="1:11" ht="61.5">
      <c r="A130">
        <v>129</v>
      </c>
      <c r="B130" s="16"/>
      <c r="C130" t="s">
        <v>171</v>
      </c>
      <c r="D130" s="1"/>
      <c r="E130" s="1" t="str">
        <f>_xlfn.REGEXREPLACE(C130, "(.*)\/$", "https://extremismterms.adl.org\1")</f>
        <v>https://extremismterms.adl.org/glossary/1352</v>
      </c>
      <c r="F130" s="1" t="str" cm="1">
        <f t="array" ref="F130">_xlfn.LET(_xlpm.rowNum,MATCH(E130,'glossaryterms-export'!C:C,0),
IF(AND(NOT(ISBLANK(INDEX('glossaryterms-export'!H:H,_xlpm.rowNum))),ISBLANK(INDEX('glossaryterms-export'!I:I,_xlpm.rowNum))),"Ready to Fix",""))</f>
        <v>Ready to Fix</v>
      </c>
      <c r="G130">
        <v>746</v>
      </c>
      <c r="H130">
        <v>696</v>
      </c>
      <c r="I130">
        <v>1.0718390804597699</v>
      </c>
      <c r="J130">
        <v>13.418103448275801</v>
      </c>
      <c r="K130">
        <v>1748</v>
      </c>
    </row>
    <row r="131" spans="1:11" ht="61.5">
      <c r="A131">
        <v>130</v>
      </c>
      <c r="B131" s="14" t="s">
        <v>15</v>
      </c>
      <c r="C131" t="s">
        <v>172</v>
      </c>
      <c r="D131" s="1" t="s">
        <v>20</v>
      </c>
      <c r="E131" s="1" t="str">
        <f>_xlfn.REGEXREPLACE(C131, "(.*)\/$", "https://extremismterms.adl.org\1")</f>
        <v>https://extremismterms.adl.org/glossary/dog-code</v>
      </c>
      <c r="F131" s="1" t="str" cm="1">
        <f t="array" ref="F131">_xlfn.LET(_xlpm.rowNum,MATCH(E131,'glossaryterms-export'!C:C,0),
IF(AND(NOT(ISBLANK(INDEX('glossaryterms-export'!H:H,_xlpm.rowNum))),ISBLANK(INDEX('glossaryterms-export'!I:I,_xlpm.rowNum))),"Ready to Fix",""))</f>
        <v/>
      </c>
      <c r="G131">
        <v>746</v>
      </c>
      <c r="H131">
        <v>659</v>
      </c>
      <c r="I131">
        <v>1.1320182094081901</v>
      </c>
      <c r="J131">
        <v>17.276176024279199</v>
      </c>
      <c r="K131">
        <v>2832</v>
      </c>
    </row>
    <row r="132" spans="1:11" ht="61.5">
      <c r="A132">
        <v>131</v>
      </c>
      <c r="B132" s="16"/>
      <c r="C132" t="s">
        <v>173</v>
      </c>
      <c r="D132" s="1"/>
      <c r="E132" s="1" t="str">
        <f>_xlfn.REGEXREPLACE(C132, "(.*)\/$", "https://extremismterms.adl.org\1")</f>
        <v>https://extremismterms.adl.org/glossary/jewish-questionjq</v>
      </c>
      <c r="F132" s="1" t="str" cm="1">
        <f t="array" ref="F132">_xlfn.LET(_xlpm.rowNum,MATCH(E132,'glossaryterms-export'!C:C,0),
IF(AND(NOT(ISBLANK(INDEX('glossaryterms-export'!H:H,_xlpm.rowNum))),ISBLANK(INDEX('glossaryterms-export'!I:I,_xlpm.rowNum))),"Ready to Fix",""))</f>
        <v/>
      </c>
      <c r="G132">
        <v>739</v>
      </c>
      <c r="H132">
        <v>688</v>
      </c>
      <c r="I132">
        <v>1.07412790697674</v>
      </c>
      <c r="J132">
        <v>10.0857558139534</v>
      </c>
      <c r="K132">
        <v>2365</v>
      </c>
    </row>
    <row r="133" spans="1:11" ht="61.5">
      <c r="A133">
        <v>132</v>
      </c>
      <c r="B133" s="16"/>
      <c r="C133" t="s">
        <v>174</v>
      </c>
      <c r="D133" s="1"/>
      <c r="E133" s="1" t="str">
        <f>_xlfn.REGEXREPLACE(C133, "(.*)\/$", "https://extremismterms.adl.org\1")</f>
        <v>https://extremismterms.adl.org/glossary/clockwork-crew</v>
      </c>
      <c r="F133" s="1" t="str" cm="1">
        <f t="array" ref="F133">_xlfn.LET(_xlpm.rowNum,MATCH(E133,'glossaryterms-export'!C:C,0),
IF(AND(NOT(ISBLANK(INDEX('glossaryterms-export'!H:H,_xlpm.rowNum))),ISBLANK(INDEX('glossaryterms-export'!I:I,_xlpm.rowNum))),"Ready to Fix",""))</f>
        <v>Ready to Fix</v>
      </c>
      <c r="G133">
        <v>736</v>
      </c>
      <c r="H133">
        <v>624</v>
      </c>
      <c r="I133">
        <v>1.17948717948717</v>
      </c>
      <c r="J133">
        <v>11.559294871794799</v>
      </c>
      <c r="K133">
        <v>2510</v>
      </c>
    </row>
    <row r="134" spans="1:11" ht="92.25">
      <c r="A134">
        <v>133</v>
      </c>
      <c r="B134" s="16"/>
      <c r="C134" t="s">
        <v>175</v>
      </c>
      <c r="D134" s="1"/>
      <c r="E134" s="1" t="str">
        <f>_xlfn.REGEXREPLACE(C134, "(.*)\/$", "https://extremismterms.adl.org\1")</f>
        <v>https://extremismterms.adl.org/glossary/northwest-nationalist-network-3n</v>
      </c>
      <c r="F134" s="1" t="str" cm="1">
        <f t="array" ref="F134">_xlfn.LET(_xlpm.rowNum,MATCH(E134,'glossaryterms-export'!C:C,0),
IF(AND(NOT(ISBLANK(INDEX('glossaryterms-export'!H:H,_xlpm.rowNum))),ISBLANK(INDEX('glossaryterms-export'!I:I,_xlpm.rowNum))),"Ready to Fix",""))</f>
        <v>Ready to Fix</v>
      </c>
      <c r="G134">
        <v>719</v>
      </c>
      <c r="H134">
        <v>597</v>
      </c>
      <c r="I134">
        <v>1.20435510887772</v>
      </c>
      <c r="J134">
        <v>28.517587939698402</v>
      </c>
      <c r="K134">
        <v>2774</v>
      </c>
    </row>
    <row r="135" spans="1:11" ht="61.5">
      <c r="A135">
        <v>134</v>
      </c>
      <c r="B135" s="4" t="s">
        <v>176</v>
      </c>
      <c r="C135" t="s">
        <v>177</v>
      </c>
      <c r="D135" s="1" t="s">
        <v>20</v>
      </c>
      <c r="E135" s="1" t="str">
        <f>_xlfn.REGEXREPLACE(C135, "(.*)\/$", "https://extremismterms.adl.org\1")</f>
        <v>https://extremismterms.adl.org/glossary/three-percenters</v>
      </c>
      <c r="F135" s="1" t="str" cm="1">
        <f t="array" ref="F135">_xlfn.LET(_xlpm.rowNum,MATCH(E135,'glossaryterms-export'!C:C,0),
IF(AND(NOT(ISBLANK(INDEX('glossaryterms-export'!H:H,_xlpm.rowNum))),ISBLANK(INDEX('glossaryterms-export'!I:I,_xlpm.rowNum))),"Ready to Fix",""))</f>
        <v>Ready to Fix</v>
      </c>
      <c r="G135">
        <v>707</v>
      </c>
      <c r="H135">
        <v>624</v>
      </c>
      <c r="I135">
        <v>1.13301282051282</v>
      </c>
      <c r="J135">
        <v>31.0288461538461</v>
      </c>
      <c r="K135">
        <v>2347</v>
      </c>
    </row>
    <row r="136" spans="1:11" ht="61.5">
      <c r="A136">
        <v>135</v>
      </c>
      <c r="B136" s="16"/>
      <c r="C136" t="s">
        <v>178</v>
      </c>
      <c r="D136" s="1"/>
      <c r="E136" s="1" t="str">
        <f>_xlfn.REGEXREPLACE(C136, "(.*)\/$", "https://extremismterms.adl.org\1")</f>
        <v>https://extremismterms.adl.org/glossary/fresnecks</v>
      </c>
      <c r="F136" s="1" t="str" cm="1">
        <f t="array" ref="F136">_xlfn.LET(_xlpm.rowNum,MATCH(E136,'glossaryterms-export'!C:C,0),
IF(AND(NOT(ISBLANK(INDEX('glossaryterms-export'!H:H,_xlpm.rowNum))),ISBLANK(INDEX('glossaryterms-export'!I:I,_xlpm.rowNum))),"Ready to Fix",""))</f>
        <v/>
      </c>
      <c r="G136">
        <v>703</v>
      </c>
      <c r="H136">
        <v>590</v>
      </c>
      <c r="I136">
        <v>1.19152542372881</v>
      </c>
      <c r="J136">
        <v>47.723728813559298</v>
      </c>
      <c r="K136">
        <v>3038</v>
      </c>
    </row>
    <row r="137" spans="1:11" ht="61.5">
      <c r="A137">
        <v>136</v>
      </c>
      <c r="B137" s="16"/>
      <c r="C137" t="s">
        <v>179</v>
      </c>
      <c r="D137" s="1"/>
      <c r="E137" s="1" t="str">
        <f>_xlfn.REGEXREPLACE(C137, "(.*)\/$", "https://extremismterms.adl.org\1")</f>
        <v>https://extremismterms.adl.org/glossary/wotanism</v>
      </c>
      <c r="F137" s="1" t="str" cm="1">
        <f t="array" ref="F137">_xlfn.LET(_xlpm.rowNum,MATCH(E137,'glossaryterms-export'!C:C,0),
IF(AND(NOT(ISBLANK(INDEX('glossaryterms-export'!H:H,_xlpm.rowNum))),ISBLANK(INDEX('glossaryterms-export'!I:I,_xlpm.rowNum))),"Ready to Fix",""))</f>
        <v/>
      </c>
      <c r="G137">
        <v>697</v>
      </c>
      <c r="H137">
        <v>624</v>
      </c>
      <c r="I137">
        <v>1.11698717948717</v>
      </c>
      <c r="J137">
        <v>17.983974358974301</v>
      </c>
      <c r="K137">
        <v>1810</v>
      </c>
    </row>
    <row r="138" spans="1:11" ht="77.25">
      <c r="A138">
        <v>137</v>
      </c>
      <c r="B138" s="16"/>
      <c r="C138" t="s">
        <v>180</v>
      </c>
      <c r="D138" s="1"/>
      <c r="E138" s="1" t="str">
        <f>_xlfn.REGEXREPLACE(C138, "(.*)\/$", "https://extremismterms.adl.org\1")</f>
        <v>https://extremismterms.adl.org/glossary/trinity-white-knights-0</v>
      </c>
      <c r="F138" s="1" t="str" cm="1">
        <f t="array" ref="F138">_xlfn.LET(_xlpm.rowNum,MATCH(E138,'glossaryterms-export'!C:C,0),
IF(AND(NOT(ISBLANK(INDEX('glossaryterms-export'!H:H,_xlpm.rowNum))),ISBLANK(INDEX('glossaryterms-export'!I:I,_xlpm.rowNum))),"Ready to Fix",""))</f>
        <v/>
      </c>
      <c r="G138">
        <v>688</v>
      </c>
      <c r="H138">
        <v>582</v>
      </c>
      <c r="I138">
        <v>1.1821305841924299</v>
      </c>
      <c r="J138">
        <v>24.061855670103</v>
      </c>
      <c r="K138">
        <v>2551</v>
      </c>
    </row>
    <row r="139" spans="1:11" ht="61.5">
      <c r="A139">
        <v>138</v>
      </c>
      <c r="B139" s="4" t="s">
        <v>181</v>
      </c>
      <c r="C139" t="s">
        <v>182</v>
      </c>
      <c r="D139" s="1" t="s">
        <v>20</v>
      </c>
      <c r="E139" s="1" t="str">
        <f>_xlfn.REGEXREPLACE(C139, "(.*)\/$", "https://extremismterms.adl.org\1")</f>
        <v>https://extremismterms.adl.org/glossary/antifa</v>
      </c>
      <c r="F139" s="1" t="str" cm="1">
        <f t="array" ref="F139">_xlfn.LET(_xlpm.rowNum,MATCH(E139,'glossaryterms-export'!C:C,0),
IF(AND(NOT(ISBLANK(INDEX('glossaryterms-export'!H:H,_xlpm.rowNum))),ISBLANK(INDEX('glossaryterms-export'!I:I,_xlpm.rowNum))),"Ready to Fix",""))</f>
        <v>Ready to Fix</v>
      </c>
      <c r="G139">
        <v>686</v>
      </c>
      <c r="H139">
        <v>636</v>
      </c>
      <c r="I139">
        <v>1.07861635220125</v>
      </c>
      <c r="J139">
        <v>22.1635220125786</v>
      </c>
      <c r="K139">
        <v>1695</v>
      </c>
    </row>
    <row r="140" spans="1:11" ht="46.5">
      <c r="A140">
        <v>139</v>
      </c>
      <c r="B140" s="16"/>
      <c r="C140" t="s">
        <v>183</v>
      </c>
      <c r="D140" s="1"/>
      <c r="E140" s="1" t="str">
        <f>_xlfn.REGEXREPLACE(C140, "(.*)\/$", "https://extremismterms.adl.org\1")</f>
        <v>https://extremismterms.adl.org/glossary/ye</v>
      </c>
      <c r="F140" s="1" t="str" cm="1">
        <f t="array" ref="F140">_xlfn.LET(_xlpm.rowNum,MATCH(E140,'glossaryterms-export'!C:C,0),
IF(AND(NOT(ISBLANK(INDEX('glossaryterms-export'!H:H,_xlpm.rowNum))),ISBLANK(INDEX('glossaryterms-export'!I:I,_xlpm.rowNum))),"Ready to Fix",""))</f>
        <v>Ready to Fix</v>
      </c>
      <c r="G140">
        <v>679</v>
      </c>
      <c r="H140">
        <v>612</v>
      </c>
      <c r="I140">
        <v>1.1094771241829999</v>
      </c>
      <c r="J140">
        <v>32.045751633986903</v>
      </c>
      <c r="K140">
        <v>2572</v>
      </c>
    </row>
    <row r="141" spans="1:11" ht="61.5">
      <c r="A141">
        <v>140</v>
      </c>
      <c r="B141" s="14" t="s">
        <v>97</v>
      </c>
      <c r="C141" t="s">
        <v>184</v>
      </c>
      <c r="D141" s="1" t="s">
        <v>20</v>
      </c>
      <c r="E141" s="1" t="str">
        <f>_xlfn.REGEXREPLACE(C141, "(.*)\/$", "https://extremismterms.adl.org\1")</f>
        <v>https://extremismterms.adl.org/glossary/alison-chabloz</v>
      </c>
      <c r="F141" s="1" t="str" cm="1">
        <f t="array" ref="F141">_xlfn.LET(_xlpm.rowNum,MATCH(E141,'glossaryterms-export'!C:C,0),
IF(AND(NOT(ISBLANK(INDEX('glossaryterms-export'!H:H,_xlpm.rowNum))),ISBLANK(INDEX('glossaryterms-export'!I:I,_xlpm.rowNum))),"Ready to Fix",""))</f>
        <v>Ready to Fix</v>
      </c>
      <c r="G141">
        <v>670</v>
      </c>
      <c r="H141">
        <v>580</v>
      </c>
      <c r="I141">
        <v>1.1551724137931001</v>
      </c>
      <c r="J141">
        <v>37.786206896551697</v>
      </c>
      <c r="K141">
        <v>3085</v>
      </c>
    </row>
    <row r="142" spans="1:11" ht="61.5">
      <c r="A142">
        <v>141</v>
      </c>
      <c r="B142" s="16"/>
      <c r="C142" t="s">
        <v>185</v>
      </c>
      <c r="D142" s="1"/>
      <c r="E142" s="1" t="str">
        <f>_xlfn.REGEXREPLACE(C142, "(.*)\/$", "https://extremismterms.adl.org\1")</f>
        <v>https://extremismterms.adl.org/glossary/fred-leuchter</v>
      </c>
      <c r="F142" s="1" t="str" cm="1">
        <f t="array" ref="F142">_xlfn.LET(_xlpm.rowNum,MATCH(E142,'glossaryterms-export'!C:C,0),
IF(AND(NOT(ISBLANK(INDEX('glossaryterms-export'!H:H,_xlpm.rowNum))),ISBLANK(INDEX('glossaryterms-export'!I:I,_xlpm.rowNum))),"Ready to Fix",""))</f>
        <v/>
      </c>
      <c r="G142">
        <v>669</v>
      </c>
      <c r="H142">
        <v>587</v>
      </c>
      <c r="I142">
        <v>1.1396933560477001</v>
      </c>
      <c r="J142">
        <v>60.296422487223097</v>
      </c>
      <c r="K142">
        <v>3716</v>
      </c>
    </row>
    <row r="143" spans="1:11" ht="77.25">
      <c r="A143">
        <v>142</v>
      </c>
      <c r="B143" s="16"/>
      <c r="C143" t="s">
        <v>186</v>
      </c>
      <c r="D143" s="1"/>
      <c r="E143" s="1" t="str">
        <f>_xlfn.REGEXREPLACE(C143, "(.*)\/$", "https://extremismterms.adl.org\1")</f>
        <v>https://extremismterms.adl.org/glossary/folkish-resistance-movement-frm</v>
      </c>
      <c r="F143" s="1" t="str" cm="1">
        <f t="array" ref="F143">_xlfn.LET(_xlpm.rowNum,MATCH(E143,'glossaryterms-export'!C:C,0),
IF(AND(NOT(ISBLANK(INDEX('glossaryterms-export'!H:H,_xlpm.rowNum))),ISBLANK(INDEX('glossaryterms-export'!I:I,_xlpm.rowNum))),"Ready to Fix",""))</f>
        <v>Ready to Fix</v>
      </c>
      <c r="G143">
        <v>664</v>
      </c>
      <c r="H143">
        <v>557</v>
      </c>
      <c r="I143">
        <v>1.1921005385996399</v>
      </c>
      <c r="J143">
        <v>15.9228007181328</v>
      </c>
      <c r="K143">
        <v>2370</v>
      </c>
    </row>
    <row r="144" spans="1:11" ht="61.5">
      <c r="A144">
        <v>143</v>
      </c>
      <c r="B144" s="14" t="s">
        <v>25</v>
      </c>
      <c r="C144" t="s">
        <v>187</v>
      </c>
      <c r="D144" s="1" t="s">
        <v>20</v>
      </c>
      <c r="E144" s="1" t="str">
        <f>_xlfn.REGEXREPLACE(C144, "(.*)\/$", "https://extremismterms.adl.org\1")</f>
        <v>https://extremismterms.adl.org/glossary/gold-fringed-flag</v>
      </c>
      <c r="F144" s="1" t="str" cm="1">
        <f t="array" ref="F144">_xlfn.LET(_xlpm.rowNum,MATCH(E144,'glossaryterms-export'!C:C,0),
IF(AND(NOT(ISBLANK(INDEX('glossaryterms-export'!H:H,_xlpm.rowNum))),ISBLANK(INDEX('glossaryterms-export'!I:I,_xlpm.rowNum))),"Ready to Fix",""))</f>
        <v/>
      </c>
      <c r="G144">
        <v>660</v>
      </c>
      <c r="H144">
        <v>614</v>
      </c>
      <c r="I144">
        <v>1.0749185667752399</v>
      </c>
      <c r="J144">
        <v>18.495114006514601</v>
      </c>
      <c r="K144">
        <v>2530</v>
      </c>
    </row>
    <row r="145" spans="1:11" ht="77.25">
      <c r="A145">
        <v>144</v>
      </c>
      <c r="B145" s="16"/>
      <c r="C145" t="s">
        <v>188</v>
      </c>
      <c r="D145" s="1"/>
      <c r="E145" s="1" t="str">
        <f>_xlfn.REGEXREPLACE(C145, "(.*)\/$", "https://extremismterms.adl.org\1")</f>
        <v>https://extremismterms.adl.org/glossary/nathaniel-ray-aka-bishop-nathanyel</v>
      </c>
      <c r="F145" s="1" t="str" cm="1">
        <f t="array" ref="F145">_xlfn.LET(_xlpm.rowNum,MATCH(E145,'glossaryterms-export'!C:C,0),
IF(AND(NOT(ISBLANK(INDEX('glossaryterms-export'!H:H,_xlpm.rowNum))),ISBLANK(INDEX('glossaryterms-export'!I:I,_xlpm.rowNum))),"Ready to Fix",""))</f>
        <v>Ready to Fix</v>
      </c>
      <c r="G145">
        <v>657</v>
      </c>
      <c r="H145">
        <v>552</v>
      </c>
      <c r="I145">
        <v>1.1902173913043399</v>
      </c>
      <c r="J145">
        <v>33.023550724637602</v>
      </c>
      <c r="K145">
        <v>2550</v>
      </c>
    </row>
    <row r="146" spans="1:11" ht="92.25">
      <c r="A146">
        <v>145</v>
      </c>
      <c r="B146" s="16"/>
      <c r="C146" t="s">
        <v>189</v>
      </c>
      <c r="D146" s="1"/>
      <c r="E146" s="1" t="str">
        <f>_xlfn.REGEXREPLACE(C146, "(.*)\/$", "https://extremismterms.adl.org\1")</f>
        <v>https://extremismterms.adl.org/glossary/sacred-white-knights-ku-klux-klan-swk</v>
      </c>
      <c r="F146" s="1" t="str" cm="1">
        <f t="array" ref="F146">_xlfn.LET(_xlpm.rowNum,MATCH(E146,'glossaryterms-export'!C:C,0),
IF(AND(NOT(ISBLANK(INDEX('glossaryterms-export'!H:H,_xlpm.rowNum))),ISBLANK(INDEX('glossaryterms-export'!I:I,_xlpm.rowNum))),"Ready to Fix",""))</f>
        <v>Ready to Fix</v>
      </c>
      <c r="G146">
        <v>657</v>
      </c>
      <c r="H146">
        <v>555</v>
      </c>
      <c r="I146">
        <v>1.1837837837837799</v>
      </c>
      <c r="J146">
        <v>23.8</v>
      </c>
      <c r="K146">
        <v>1670</v>
      </c>
    </row>
    <row r="147" spans="1:11" ht="61.5">
      <c r="A147">
        <v>146</v>
      </c>
      <c r="B147" s="16"/>
      <c r="C147" t="s">
        <v>190</v>
      </c>
      <c r="D147" s="1"/>
      <c r="E147" s="1" t="str">
        <f>_xlfn.REGEXREPLACE(C147, "(.*)\/$", "https://extremismterms.adl.org\1")</f>
        <v>https://extremismterms.adl.org/glossary/henry-herskovitz</v>
      </c>
      <c r="F147" s="1" t="str" cm="1">
        <f t="array" ref="F147">_xlfn.LET(_xlpm.rowNum,MATCH(E147,'glossaryterms-export'!C:C,0),
IF(AND(NOT(ISBLANK(INDEX('glossaryterms-export'!H:H,_xlpm.rowNum))),ISBLANK(INDEX('glossaryterms-export'!I:I,_xlpm.rowNum))),"Ready to Fix",""))</f>
        <v>Ready to Fix</v>
      </c>
      <c r="G147">
        <v>655</v>
      </c>
      <c r="H147">
        <v>561</v>
      </c>
      <c r="I147">
        <v>1.1675579322638101</v>
      </c>
      <c r="J147">
        <v>45.213903743315498</v>
      </c>
      <c r="K147">
        <v>3154</v>
      </c>
    </row>
    <row r="148" spans="1:11" ht="61.5">
      <c r="A148">
        <v>147</v>
      </c>
      <c r="B148" s="16" t="s">
        <v>191</v>
      </c>
      <c r="C148" t="s">
        <v>192</v>
      </c>
      <c r="D148" s="1" t="s">
        <v>193</v>
      </c>
      <c r="E148" s="1" t="str">
        <f>_xlfn.REGEXREPLACE(C148, "(.*)\/$", "https://extremismterms.adl.org\1")</f>
        <v>https://extremismterms.adl.org/glossary/ayo-kimathi</v>
      </c>
      <c r="F148" s="1" t="str" cm="1">
        <f t="array" ref="F148">_xlfn.LET(_xlpm.rowNum,MATCH(E148,'glossaryterms-export'!C:C,0),
IF(AND(NOT(ISBLANK(INDEX('glossaryterms-export'!H:H,_xlpm.rowNum))),ISBLANK(INDEX('glossaryterms-export'!I:I,_xlpm.rowNum))),"Ready to Fix",""))</f>
        <v>Ready to Fix</v>
      </c>
      <c r="G148">
        <v>654</v>
      </c>
      <c r="H148">
        <v>555</v>
      </c>
      <c r="I148">
        <v>1.1783783783783699</v>
      </c>
      <c r="J148">
        <v>29.6</v>
      </c>
      <c r="K148">
        <v>2661</v>
      </c>
    </row>
    <row r="149" spans="1:11" ht="108">
      <c r="A149">
        <v>148</v>
      </c>
      <c r="B149" s="16"/>
      <c r="C149" t="s">
        <v>194</v>
      </c>
      <c r="D149" s="1"/>
      <c r="E149" s="1" t="str">
        <f>_xlfn.REGEXREPLACE(C149, "(.*)\/$", "https://extremismterms.adl.org\1")</f>
        <v>https://extremismterms.adl.org/glossary/israelite-school-universal-practical-knowledge-isupk</v>
      </c>
      <c r="F149" s="1" t="str" cm="1">
        <f t="array" ref="F149">_xlfn.LET(_xlpm.rowNum,MATCH(E149,'glossaryterms-export'!C:C,0),
IF(AND(NOT(ISBLANK(INDEX('glossaryterms-export'!H:H,_xlpm.rowNum))),ISBLANK(INDEX('glossaryterms-export'!I:I,_xlpm.rowNum))),"Ready to Fix",""))</f>
        <v>Ready to Fix</v>
      </c>
      <c r="G149">
        <v>649</v>
      </c>
      <c r="H149">
        <v>580</v>
      </c>
      <c r="I149">
        <v>1.1189655172413699</v>
      </c>
      <c r="J149">
        <v>24.0965517241379</v>
      </c>
      <c r="K149">
        <v>2549</v>
      </c>
    </row>
    <row r="150" spans="1:11" ht="61.5">
      <c r="A150">
        <v>149</v>
      </c>
      <c r="B150" s="4" t="s">
        <v>28</v>
      </c>
      <c r="C150" t="s">
        <v>195</v>
      </c>
      <c r="D150" s="1"/>
      <c r="E150" s="1" t="str">
        <f>_xlfn.REGEXREPLACE(C150, "(.*)\/$", "https://extremismterms.adl.org\1")</f>
        <v>https://extremismterms.adl.org/glossary/groyper-army</v>
      </c>
      <c r="F150" s="1" t="str" cm="1">
        <f t="array" ref="F150">_xlfn.LET(_xlpm.rowNum,MATCH(E150,'glossaryterms-export'!C:C,0),
IF(AND(NOT(ISBLANK(INDEX('glossaryterms-export'!H:H,_xlpm.rowNum))),ISBLANK(INDEX('glossaryterms-export'!I:I,_xlpm.rowNum))),"Ready to Fix",""))</f>
        <v/>
      </c>
      <c r="G150">
        <v>644</v>
      </c>
      <c r="H150">
        <v>568</v>
      </c>
      <c r="I150">
        <v>1.1338028169014001</v>
      </c>
      <c r="J150">
        <v>17.029929577464699</v>
      </c>
      <c r="K150">
        <v>1533</v>
      </c>
    </row>
    <row r="151" spans="1:11" ht="77.25">
      <c r="A151">
        <v>150</v>
      </c>
      <c r="B151" s="16"/>
      <c r="C151" t="s">
        <v>196</v>
      </c>
      <c r="D151" s="1"/>
      <c r="E151" s="1" t="str">
        <f>_xlfn.REGEXREPLACE(C151, "(.*)\/$", "https://extremismterms.adl.org\1")</f>
        <v>https://extremismterms.adl.org/glossary/acab-all-cops-are-bastards</v>
      </c>
      <c r="F151" s="1" t="str" cm="1">
        <f t="array" ref="F151">_xlfn.LET(_xlpm.rowNum,MATCH(E151,'glossaryterms-export'!C:C,0),
IF(AND(NOT(ISBLANK(INDEX('glossaryterms-export'!H:H,_xlpm.rowNum))),ISBLANK(INDEX('glossaryterms-export'!I:I,_xlpm.rowNum))),"Ready to Fix",""))</f>
        <v>Ready to Fix</v>
      </c>
      <c r="G151">
        <v>635</v>
      </c>
      <c r="H151">
        <v>608</v>
      </c>
      <c r="I151">
        <v>1.04440789473684</v>
      </c>
      <c r="J151">
        <v>13.1381578947368</v>
      </c>
      <c r="K151">
        <v>1619</v>
      </c>
    </row>
    <row r="152" spans="1:11" ht="61.5">
      <c r="A152">
        <v>151</v>
      </c>
      <c r="B152" s="16" t="s">
        <v>197</v>
      </c>
      <c r="C152" t="s">
        <v>198</v>
      </c>
      <c r="D152" s="1" t="s">
        <v>193</v>
      </c>
      <c r="E152" s="1" t="str">
        <f>_xlfn.REGEXREPLACE(C152, "(.*)\/$", "https://extremismterms.adl.org\1")</f>
        <v>https://extremismterms.adl.org/glossary/bruce-mejia</v>
      </c>
      <c r="F152" s="1" t="str" cm="1">
        <f t="array" ref="F152">_xlfn.LET(_xlpm.rowNum,MATCH(E152,'glossaryterms-export'!C:C,0),
IF(AND(NOT(ISBLANK(INDEX('glossaryterms-export'!H:H,_xlpm.rowNum))),ISBLANK(INDEX('glossaryterms-export'!I:I,_xlpm.rowNum))),"Ready to Fix",""))</f>
        <v>Ready to Fix</v>
      </c>
      <c r="G152">
        <v>632</v>
      </c>
      <c r="H152">
        <v>537</v>
      </c>
      <c r="I152">
        <v>1.1769087523277399</v>
      </c>
      <c r="J152">
        <v>21.981378026070701</v>
      </c>
      <c r="K152">
        <v>2522</v>
      </c>
    </row>
    <row r="153" spans="1:11" ht="61.5">
      <c r="A153">
        <v>152</v>
      </c>
      <c r="B153" s="16"/>
      <c r="C153" t="s">
        <v>199</v>
      </c>
      <c r="D153" s="1"/>
      <c r="E153" s="1" t="str">
        <f>_xlfn.REGEXREPLACE(C153, "(.*)\/$", "https://extremismterms.adl.org\1")</f>
        <v>https://extremismterms.adl.org/glossary/rothschilds</v>
      </c>
      <c r="F153" s="1" t="str" cm="1">
        <f t="array" ref="F153">_xlfn.LET(_xlpm.rowNum,MATCH(E153,'glossaryterms-export'!C:C,0),
IF(AND(NOT(ISBLANK(INDEX('glossaryterms-export'!H:H,_xlpm.rowNum))),ISBLANK(INDEX('glossaryterms-export'!I:I,_xlpm.rowNum))),"Ready to Fix",""))</f>
        <v/>
      </c>
      <c r="G153">
        <v>627</v>
      </c>
      <c r="H153">
        <v>542</v>
      </c>
      <c r="I153">
        <v>1.15682656826568</v>
      </c>
      <c r="J153">
        <v>25.760147601476</v>
      </c>
      <c r="K153">
        <v>2109</v>
      </c>
    </row>
    <row r="154" spans="1:11" ht="61.5">
      <c r="A154">
        <v>153</v>
      </c>
      <c r="B154" s="4" t="s">
        <v>57</v>
      </c>
      <c r="C154" t="s">
        <v>200</v>
      </c>
      <c r="D154" s="1" t="s">
        <v>20</v>
      </c>
      <c r="E154" s="1" t="str">
        <f>_xlfn.REGEXREPLACE(C154, "(.*)\/$", "https://extremismterms.adl.org\1")</f>
        <v>https://extremismterms.adl.org/glossary/blood-tribe</v>
      </c>
      <c r="F154" s="1" t="str" cm="1">
        <f t="array" ref="F154">_xlfn.LET(_xlpm.rowNum,MATCH(E154,'glossaryterms-export'!C:C,0),
IF(AND(NOT(ISBLANK(INDEX('glossaryterms-export'!H:H,_xlpm.rowNum))),ISBLANK(INDEX('glossaryterms-export'!I:I,_xlpm.rowNum))),"Ready to Fix",""))</f>
        <v>Ready to Fix</v>
      </c>
      <c r="G154">
        <v>626</v>
      </c>
      <c r="H154">
        <v>557</v>
      </c>
      <c r="I154">
        <v>1.12387791741472</v>
      </c>
      <c r="J154">
        <v>24.694793536804301</v>
      </c>
      <c r="K154">
        <v>2206</v>
      </c>
    </row>
    <row r="155" spans="1:11" ht="77.25">
      <c r="A155">
        <v>154</v>
      </c>
      <c r="B155" s="16"/>
      <c r="C155" t="s">
        <v>201</v>
      </c>
      <c r="D155" s="1"/>
      <c r="E155" s="1" t="str">
        <f>_xlfn.REGEXREPLACE(C155, "(.*)\/$", "https://extremismterms.adl.org\1")</f>
        <v>https://extremismterms.adl.org/glossary/threat-duress-coercion-tdc</v>
      </c>
      <c r="F155" s="1" t="str" cm="1">
        <f t="array" ref="F155">_xlfn.LET(_xlpm.rowNum,MATCH(E155,'glossaryterms-export'!C:C,0),
IF(AND(NOT(ISBLANK(INDEX('glossaryterms-export'!H:H,_xlpm.rowNum))),ISBLANK(INDEX('glossaryterms-export'!I:I,_xlpm.rowNum))),"Ready to Fix",""))</f>
        <v>Ready to Fix</v>
      </c>
      <c r="G155">
        <v>619</v>
      </c>
      <c r="H155">
        <v>531</v>
      </c>
      <c r="I155">
        <v>1.1657250470809699</v>
      </c>
      <c r="J155">
        <v>43.532956685499002</v>
      </c>
      <c r="K155">
        <v>2532</v>
      </c>
    </row>
    <row r="156" spans="1:11" ht="61.5">
      <c r="A156">
        <v>155</v>
      </c>
      <c r="B156" s="14" t="s">
        <v>15</v>
      </c>
      <c r="C156" t="s">
        <v>202</v>
      </c>
      <c r="D156" s="1" t="s">
        <v>20</v>
      </c>
      <c r="E156" s="1" t="str">
        <f>_xlfn.REGEXREPLACE(C156, "(.*)\/$", "https://extremismterms.adl.org\1")</f>
        <v>https://extremismterms.adl.org/glossary/adrenochrome</v>
      </c>
      <c r="F156" s="1" t="str" cm="1">
        <f t="array" ref="F156">_xlfn.LET(_xlpm.rowNum,MATCH(E156,'glossaryterms-export'!C:C,0),
IF(AND(NOT(ISBLANK(INDEX('glossaryterms-export'!H:H,_xlpm.rowNum))),ISBLANK(INDEX('glossaryterms-export'!I:I,_xlpm.rowNum))),"Ready to Fix",""))</f>
        <v/>
      </c>
      <c r="G156">
        <v>616</v>
      </c>
      <c r="H156">
        <v>589</v>
      </c>
      <c r="I156">
        <v>1.0458404074702801</v>
      </c>
      <c r="J156">
        <v>16.718166383701099</v>
      </c>
      <c r="K156">
        <v>1461</v>
      </c>
    </row>
    <row r="157" spans="1:11" ht="61.5">
      <c r="A157">
        <v>156</v>
      </c>
      <c r="B157" s="16"/>
      <c r="C157" t="s">
        <v>203</v>
      </c>
      <c r="D157" s="1"/>
      <c r="E157" s="1" t="str">
        <f>_xlfn.REGEXREPLACE(C157, "(.*)\/$", "https://extremismterms.adl.org\1")</f>
        <v>https://extremismterms.adl.org/glossary/Ycel</v>
      </c>
      <c r="F157" s="1" t="str" cm="1">
        <f t="array" ref="F157">_xlfn.LET(_xlpm.rowNum,MATCH(E157,'glossaryterms-export'!C:C,0),
IF(AND(NOT(ISBLANK(INDEX('glossaryterms-export'!H:H,_xlpm.rowNum))),ISBLANK(INDEX('glossaryterms-export'!I:I,_xlpm.rowNum))),"Ready to Fix",""))</f>
        <v/>
      </c>
      <c r="G157">
        <v>615</v>
      </c>
      <c r="H157">
        <v>543</v>
      </c>
      <c r="I157">
        <v>1.1325966850828699</v>
      </c>
      <c r="J157">
        <v>13.777163904235699</v>
      </c>
      <c r="K157">
        <v>2208</v>
      </c>
    </row>
    <row r="158" spans="1:11" ht="92.25">
      <c r="A158">
        <v>157</v>
      </c>
      <c r="B158" s="16"/>
      <c r="C158" t="s">
        <v>204</v>
      </c>
      <c r="D158" s="1"/>
      <c r="E158" s="1" t="str">
        <f>_xlfn.REGEXREPLACE(C158, "(.*)\/$", "https://extremismterms.adl.org\1")</f>
        <v>https://extremismterms.adl.org/glossary/911-conspiracy-theorists</v>
      </c>
      <c r="F158" s="1" t="str" cm="1">
        <f t="array" ref="F158">_xlfn.LET(_xlpm.rowNum,MATCH(E158,'glossaryterms-export'!C:C,0),
IF(AND(NOT(ISBLANK(INDEX('glossaryterms-export'!H:H,_xlpm.rowNum))),ISBLANK(INDEX('glossaryterms-export'!I:I,_xlpm.rowNum))),"Ready to Fix",""))</f>
        <v>Ready to Fix</v>
      </c>
      <c r="G158">
        <v>612</v>
      </c>
      <c r="H158">
        <v>581</v>
      </c>
      <c r="I158">
        <v>1.05335628227194</v>
      </c>
      <c r="J158">
        <v>12.8433734939759</v>
      </c>
      <c r="K158">
        <v>1382</v>
      </c>
    </row>
    <row r="159" spans="1:11" ht="61.5">
      <c r="A159">
        <v>158</v>
      </c>
      <c r="B159" s="16"/>
      <c r="C159" t="s">
        <v>205</v>
      </c>
      <c r="D159" s="1"/>
      <c r="E159" s="1" t="str">
        <f>_xlfn.REGEXREPLACE(C159, "(.*)\/$", "https://extremismterms.adl.org\1")</f>
        <v>https://extremismterms.adl.org/glossary/esoteric-hitlerism</v>
      </c>
      <c r="F159" s="1" t="str" cm="1">
        <f t="array" ref="F159">_xlfn.LET(_xlpm.rowNum,MATCH(E159,'glossaryterms-export'!C:C,0),
IF(AND(NOT(ISBLANK(INDEX('glossaryterms-export'!H:H,_xlpm.rowNum))),ISBLANK(INDEX('glossaryterms-export'!I:I,_xlpm.rowNum))),"Ready to Fix",""))</f>
        <v/>
      </c>
      <c r="G159">
        <v>612</v>
      </c>
      <c r="H159">
        <v>534</v>
      </c>
      <c r="I159">
        <v>1.1460674157303301</v>
      </c>
      <c r="J159">
        <v>16.9325842696629</v>
      </c>
      <c r="K159">
        <v>1580</v>
      </c>
    </row>
    <row r="160" spans="1:11" ht="61.5">
      <c r="A160">
        <v>159</v>
      </c>
      <c r="B160" s="16"/>
      <c r="C160" t="s">
        <v>206</v>
      </c>
      <c r="D160" s="1"/>
      <c r="E160" s="1" t="str">
        <f>_xlfn.REGEXREPLACE(C160, "(.*)\/$", "https://extremismterms.adl.org\1")</f>
        <v>https://extremismterms.adl.org/glossary/1390</v>
      </c>
      <c r="F160" s="1" t="str" cm="1">
        <f t="array" ref="F160">_xlfn.LET(_xlpm.rowNum,MATCH(E160,'glossaryterms-export'!C:C,0),
IF(AND(NOT(ISBLANK(INDEX('glossaryterms-export'!H:H,_xlpm.rowNum))),ISBLANK(INDEX('glossaryterms-export'!I:I,_xlpm.rowNum))),"Ready to Fix",""))</f>
        <v>Ready to Fix</v>
      </c>
      <c r="G160">
        <v>608</v>
      </c>
      <c r="H160">
        <v>589</v>
      </c>
      <c r="I160">
        <v>1.0322580645161199</v>
      </c>
      <c r="J160">
        <v>8.6196943972835296</v>
      </c>
      <c r="K160">
        <v>1372</v>
      </c>
    </row>
    <row r="161" spans="1:11" ht="61.5">
      <c r="A161">
        <v>160</v>
      </c>
      <c r="B161" s="16"/>
      <c r="C161" t="s">
        <v>207</v>
      </c>
      <c r="D161" s="1"/>
      <c r="E161" s="1" t="str">
        <f>_xlfn.REGEXREPLACE(C161, "(.*)\/$", "https://extremismterms.adl.org\1")</f>
        <v>https://extremismterms.adl.org/glossary/gender-ideology</v>
      </c>
      <c r="F161" s="1" t="str" cm="1">
        <f t="array" ref="F161">_xlfn.LET(_xlpm.rowNum,MATCH(E161,'glossaryterms-export'!C:C,0),
IF(AND(NOT(ISBLANK(INDEX('glossaryterms-export'!H:H,_xlpm.rowNum))),ISBLANK(INDEX('glossaryterms-export'!I:I,_xlpm.rowNum))),"Ready to Fix",""))</f>
        <v>Ready to Fix</v>
      </c>
      <c r="G161">
        <v>598</v>
      </c>
      <c r="H161">
        <v>513</v>
      </c>
      <c r="I161">
        <v>1.1656920077972699</v>
      </c>
      <c r="J161">
        <v>29.198830409356699</v>
      </c>
      <c r="K161">
        <v>1883</v>
      </c>
    </row>
    <row r="162" spans="1:11" ht="92.25">
      <c r="A162">
        <v>161</v>
      </c>
      <c r="B162" s="16"/>
      <c r="C162" t="s">
        <v>208</v>
      </c>
      <c r="D162" s="1"/>
      <c r="E162" s="1" t="str">
        <f>_xlfn.REGEXREPLACE(C162, "(.*)\/$", "https://extremismterms.adl.org\1")</f>
        <v>https://extremismterms.adl.org/glossary/al-awda-palestine-right-return-coalition</v>
      </c>
      <c r="F162" s="1" t="str" cm="1">
        <f t="array" ref="F162">_xlfn.LET(_xlpm.rowNum,MATCH(E162,'glossaryterms-export'!C:C,0),
IF(AND(NOT(ISBLANK(INDEX('glossaryterms-export'!H:H,_xlpm.rowNum))),ISBLANK(INDEX('glossaryterms-export'!I:I,_xlpm.rowNum))),"Ready to Fix",""))</f>
        <v>Ready to Fix</v>
      </c>
      <c r="G162">
        <v>588</v>
      </c>
      <c r="H162">
        <v>482</v>
      </c>
      <c r="I162">
        <v>1.21991701244813</v>
      </c>
      <c r="J162">
        <v>33.979253112033099</v>
      </c>
      <c r="K162">
        <v>2448</v>
      </c>
    </row>
    <row r="163" spans="1:11" ht="61.5">
      <c r="A163">
        <v>162</v>
      </c>
      <c r="B163" s="4" t="s">
        <v>209</v>
      </c>
      <c r="C163" t="s">
        <v>210</v>
      </c>
      <c r="D163" s="1" t="s">
        <v>20</v>
      </c>
      <c r="E163" s="1" t="str">
        <f>_xlfn.REGEXREPLACE(C163, "(.*)\/$", "https://extremismterms.adl.org\1")</f>
        <v>https://extremismterms.adl.org/glossary/ammon-bundy</v>
      </c>
      <c r="F163" s="1" t="str" cm="1">
        <f t="array" ref="F163">_xlfn.LET(_xlpm.rowNum,MATCH(E163,'glossaryterms-export'!C:C,0),
IF(AND(NOT(ISBLANK(INDEX('glossaryterms-export'!H:H,_xlpm.rowNum))),ISBLANK(INDEX('glossaryterms-export'!I:I,_xlpm.rowNum))),"Ready to Fix",""))</f>
        <v>Ready to Fix</v>
      </c>
      <c r="G163">
        <v>577</v>
      </c>
      <c r="H163">
        <v>539</v>
      </c>
      <c r="I163">
        <v>1.07050092764378</v>
      </c>
      <c r="J163">
        <v>10.5621521335807</v>
      </c>
      <c r="K163">
        <v>1560</v>
      </c>
    </row>
    <row r="164" spans="1:11" ht="123">
      <c r="A164">
        <v>163</v>
      </c>
      <c r="B164" s="16"/>
      <c r="C164" t="s">
        <v>211</v>
      </c>
      <c r="D164" s="1"/>
      <c r="E164" s="1" t="str">
        <f>_xlfn.REGEXREPLACE(C164, "(.*)\/$", "https://extremismterms.adl.org\1")</f>
        <v>https://extremismterms.adl.org/resources/press-release/adl-launches-first-its-kind-online-glossary-extremism</v>
      </c>
      <c r="F164" s="1" t="str" cm="1">
        <f t="array" ref="F164">_xlfn.LET(_xlpm.rowNum,MATCH(E164,'glossaryterms-export'!C:C,0),
IF(AND(NOT(ISBLANK(INDEX('glossaryterms-export'!H:H,_xlpm.rowNum))),ISBLANK(INDEX('glossaryterms-export'!I:I,_xlpm.rowNum))),"Ready to Fix",""))</f>
        <v/>
      </c>
      <c r="G164">
        <v>571</v>
      </c>
      <c r="H164">
        <v>476</v>
      </c>
      <c r="I164">
        <v>1.19957983193277</v>
      </c>
      <c r="J164">
        <v>12.7920168067226</v>
      </c>
      <c r="K164">
        <v>3170</v>
      </c>
    </row>
    <row r="165" spans="1:11" ht="61.5">
      <c r="A165">
        <v>164</v>
      </c>
      <c r="B165" s="16"/>
      <c r="C165" t="s">
        <v>212</v>
      </c>
      <c r="D165" s="1"/>
      <c r="E165" s="1" t="str">
        <f>_xlfn.REGEXREPLACE(C165, "(.*)\/$", "https://extremismterms.adl.org\1")</f>
        <v>https://extremismterms.adl.org/glossary/synagogue-satan</v>
      </c>
      <c r="F165" s="1" t="str" cm="1">
        <f t="array" ref="F165">_xlfn.LET(_xlpm.rowNum,MATCH(E165,'glossaryterms-export'!C:C,0),
IF(AND(NOT(ISBLANK(INDEX('glossaryterms-export'!H:H,_xlpm.rowNum))),ISBLANK(INDEX('glossaryterms-export'!I:I,_xlpm.rowNum))),"Ready to Fix",""))</f>
        <v/>
      </c>
      <c r="G165">
        <v>560</v>
      </c>
      <c r="H165">
        <v>469</v>
      </c>
      <c r="I165">
        <v>1.1940298507462599</v>
      </c>
      <c r="J165">
        <v>20.897654584221701</v>
      </c>
      <c r="K165">
        <v>1733</v>
      </c>
    </row>
    <row r="166" spans="1:11" ht="61.5">
      <c r="A166">
        <v>165</v>
      </c>
      <c r="B166" s="16"/>
      <c r="C166" t="s">
        <v>213</v>
      </c>
      <c r="D166" s="1"/>
      <c r="E166" s="1" t="str">
        <f>_xlfn.REGEXREPLACE(C166, "(.*)\/$", "https://extremismterms.adl.org\1")</f>
        <v>https://extremismterms.adl.org/glossary/agenda-2030</v>
      </c>
      <c r="F166" s="1" t="str" cm="1">
        <f t="array" ref="F166">_xlfn.LET(_xlpm.rowNum,MATCH(E166,'glossaryterms-export'!C:C,0),
IF(AND(NOT(ISBLANK(INDEX('glossaryterms-export'!H:H,_xlpm.rowNum))),ISBLANK(INDEX('glossaryterms-export'!I:I,_xlpm.rowNum))),"Ready to Fix",""))</f>
        <v>Ready to Fix</v>
      </c>
      <c r="G166">
        <v>559</v>
      </c>
      <c r="H166">
        <v>519</v>
      </c>
      <c r="I166">
        <v>1.07707129094412</v>
      </c>
      <c r="J166">
        <v>21.402697495182998</v>
      </c>
      <c r="K166">
        <v>2188</v>
      </c>
    </row>
    <row r="167" spans="1:11" ht="61.5">
      <c r="A167">
        <v>166</v>
      </c>
      <c r="B167" s="16"/>
      <c r="C167" t="s">
        <v>214</v>
      </c>
      <c r="D167" s="1"/>
      <c r="E167" s="1" t="str">
        <f>_xlfn.REGEXREPLACE(C167, "(.*)\/$", "https://extremismterms.adl.org\1")</f>
        <v>https://extremismterms.adl.org/glossary/old-glory-knights</v>
      </c>
      <c r="F167" s="1" t="str" cm="1">
        <f t="array" ref="F167">_xlfn.LET(_xlpm.rowNum,MATCH(E167,'glossaryterms-export'!C:C,0),
IF(AND(NOT(ISBLANK(INDEX('glossaryterms-export'!H:H,_xlpm.rowNum))),ISBLANK(INDEX('glossaryterms-export'!I:I,_xlpm.rowNum))),"Ready to Fix",""))</f>
        <v/>
      </c>
      <c r="G167">
        <v>559</v>
      </c>
      <c r="H167">
        <v>458</v>
      </c>
      <c r="I167">
        <v>1.22052401746724</v>
      </c>
      <c r="J167">
        <v>25.609170305676798</v>
      </c>
      <c r="K167">
        <v>2226</v>
      </c>
    </row>
    <row r="168" spans="1:11" ht="61.5">
      <c r="A168">
        <v>167</v>
      </c>
      <c r="B168" s="16"/>
      <c r="C168" t="s">
        <v>215</v>
      </c>
      <c r="D168" s="1"/>
      <c r="E168" s="1" t="str">
        <f>_xlfn.REGEXREPLACE(C168, "(.*)\/$", "https://extremismterms.adl.org\1")</f>
        <v>https://extremismterms.adl.org/glossary/14-words</v>
      </c>
      <c r="F168" s="1" t="str" cm="1">
        <f t="array" ref="F168">_xlfn.LET(_xlpm.rowNum,MATCH(E168,'glossaryterms-export'!C:C,0),
IF(AND(NOT(ISBLANK(INDEX('glossaryterms-export'!H:H,_xlpm.rowNum))),ISBLANK(INDEX('glossaryterms-export'!I:I,_xlpm.rowNum))),"Ready to Fix",""))</f>
        <v>Ready to Fix</v>
      </c>
      <c r="G168">
        <v>555</v>
      </c>
      <c r="H168">
        <v>509</v>
      </c>
      <c r="I168">
        <v>1.09037328094302</v>
      </c>
      <c r="J168">
        <v>20.168958742632601</v>
      </c>
      <c r="K168">
        <v>1564</v>
      </c>
    </row>
    <row r="169" spans="1:11" ht="61.5">
      <c r="A169">
        <v>168</v>
      </c>
      <c r="B169" s="16"/>
      <c r="C169" t="s">
        <v>216</v>
      </c>
      <c r="D169" s="1"/>
      <c r="E169" s="1" t="str">
        <f>_xlfn.REGEXREPLACE(C169, "(.*)\/$", "https://extremismterms.adl.org\1")</f>
        <v>https://extremismterms.adl.org/glossary/telegram</v>
      </c>
      <c r="F169" s="1" t="str" cm="1">
        <f t="array" ref="F169">_xlfn.LET(_xlpm.rowNum,MATCH(E169,'glossaryterms-export'!C:C,0),
IF(AND(NOT(ISBLANK(INDEX('glossaryterms-export'!H:H,_xlpm.rowNum))),ISBLANK(INDEX('glossaryterms-export'!I:I,_xlpm.rowNum))),"Ready to Fix",""))</f>
        <v/>
      </c>
      <c r="G169">
        <v>552</v>
      </c>
      <c r="H169">
        <v>504</v>
      </c>
      <c r="I169">
        <v>1.09523809523809</v>
      </c>
      <c r="J169">
        <v>9.1091269841269806</v>
      </c>
      <c r="K169">
        <v>1626</v>
      </c>
    </row>
    <row r="170" spans="1:11" ht="77.25">
      <c r="A170">
        <v>169</v>
      </c>
      <c r="B170" s="14" t="s">
        <v>5</v>
      </c>
      <c r="C170" t="s">
        <v>217</v>
      </c>
      <c r="D170" s="1" t="s">
        <v>20</v>
      </c>
      <c r="E170" s="1" t="str">
        <f>_xlfn.REGEXREPLACE(C170, "(.*)\/$", "https://extremismterms.adl.org\1")</f>
        <v>https://extremismterms.adl.org/glossary/community-com-comm</v>
      </c>
      <c r="F170" s="1" t="str" cm="1">
        <f t="array" ref="F170">_xlfn.LET(_xlpm.rowNum,MATCH(E170,'glossaryterms-export'!C:C,0),
IF(AND(NOT(ISBLANK(INDEX('glossaryterms-export'!H:H,_xlpm.rowNum))),ISBLANK(INDEX('glossaryterms-export'!I:I,_xlpm.rowNum))),"Ready to Fix",""))</f>
        <v/>
      </c>
      <c r="G170">
        <v>551</v>
      </c>
      <c r="H170">
        <v>437</v>
      </c>
      <c r="I170">
        <v>1.26086956521739</v>
      </c>
      <c r="J170">
        <v>15.372997711670401</v>
      </c>
      <c r="K170">
        <v>1479</v>
      </c>
    </row>
    <row r="171" spans="1:11" ht="61.5">
      <c r="A171">
        <v>170</v>
      </c>
      <c r="B171" s="16"/>
      <c r="C171" t="s">
        <v>218</v>
      </c>
      <c r="D171" s="1"/>
      <c r="E171" s="1" t="str">
        <f>_xlfn.REGEXREPLACE(C171, "(.*)\/$", "https://extremismterms.adl.org\1")</f>
        <v>https://extremismterms.adl.org/glossary/charles-weisman</v>
      </c>
      <c r="F171" s="1" t="str" cm="1">
        <f t="array" ref="F171">_xlfn.LET(_xlpm.rowNum,MATCH(E171,'glossaryterms-export'!C:C,0),
IF(AND(NOT(ISBLANK(INDEX('glossaryterms-export'!H:H,_xlpm.rowNum))),ISBLANK(INDEX('glossaryterms-export'!I:I,_xlpm.rowNum))),"Ready to Fix",""))</f>
        <v>Ready to Fix</v>
      </c>
      <c r="G171">
        <v>550</v>
      </c>
      <c r="H171">
        <v>483</v>
      </c>
      <c r="I171">
        <v>1.1387163561076601</v>
      </c>
      <c r="J171">
        <v>16.343685300207</v>
      </c>
      <c r="K171">
        <v>1559</v>
      </c>
    </row>
    <row r="172" spans="1:11" ht="77.25">
      <c r="A172">
        <v>171</v>
      </c>
      <c r="B172" s="11" t="s">
        <v>38</v>
      </c>
      <c r="C172" t="s">
        <v>219</v>
      </c>
      <c r="D172" s="1" t="s">
        <v>20</v>
      </c>
      <c r="E172" s="1" t="str">
        <f>_xlfn.REGEXREPLACE(C172, "(.*)\/$", "https://extremismterms.adl.org\1")</f>
        <v>https://extremismterms.adl.org/glossary/small-hats-big-problems</v>
      </c>
      <c r="F172" s="1" t="str" cm="1">
        <f t="array" ref="F172">_xlfn.LET(_xlpm.rowNum,MATCH(E172,'glossaryterms-export'!C:C,0),
IF(AND(NOT(ISBLANK(INDEX('glossaryterms-export'!H:H,_xlpm.rowNum))),ISBLANK(INDEX('glossaryterms-export'!I:I,_xlpm.rowNum))),"Ready to Fix",""))</f>
        <v>Ready to Fix</v>
      </c>
      <c r="G172">
        <v>550</v>
      </c>
      <c r="H172">
        <v>486</v>
      </c>
      <c r="I172">
        <v>1.13168724279835</v>
      </c>
      <c r="J172">
        <v>19.814814814814799</v>
      </c>
      <c r="K172">
        <v>2075</v>
      </c>
    </row>
    <row r="173" spans="1:11" ht="77.25">
      <c r="A173">
        <v>172</v>
      </c>
      <c r="B173" s="16"/>
      <c r="C173" t="s">
        <v>220</v>
      </c>
      <c r="D173" s="1"/>
      <c r="E173" s="1" t="str">
        <f>_xlfn.REGEXREPLACE(C173, "(.*)\/$", "https://extremismterms.adl.org\1")</f>
        <v>https://extremismterms.adl.org/glossary/white-pride-worldwide-wpww</v>
      </c>
      <c r="F173" s="1" t="str" cm="1">
        <f t="array" ref="F173">_xlfn.LET(_xlpm.rowNum,MATCH(E173,'glossaryterms-export'!C:C,0),
IF(AND(NOT(ISBLANK(INDEX('glossaryterms-export'!H:H,_xlpm.rowNum))),ISBLANK(INDEX('glossaryterms-export'!I:I,_xlpm.rowNum))),"Ready to Fix",""))</f>
        <v/>
      </c>
      <c r="G173">
        <v>549</v>
      </c>
      <c r="H173">
        <v>494</v>
      </c>
      <c r="I173">
        <v>1.1113360323886601</v>
      </c>
      <c r="J173">
        <v>24.969635627530302</v>
      </c>
      <c r="K173">
        <v>2338</v>
      </c>
    </row>
    <row r="174" spans="1:11" ht="92.25">
      <c r="A174">
        <v>173</v>
      </c>
      <c r="B174" s="16"/>
      <c r="C174" t="s">
        <v>221</v>
      </c>
      <c r="D174" s="1"/>
      <c r="E174" s="1" t="str">
        <f>_xlfn.REGEXREPLACE(C174, "(.*)\/$", "https://extremismterms.adl.org\1")</f>
        <v>https://extremismterms.adl.org/glossary/church-jesus-christ-christian-aryan-nations</v>
      </c>
      <c r="F174" s="1" t="str" cm="1">
        <f t="array" ref="F174">_xlfn.LET(_xlpm.rowNum,MATCH(E174,'glossaryterms-export'!C:C,0),
IF(AND(NOT(ISBLANK(INDEX('glossaryterms-export'!H:H,_xlpm.rowNum))),ISBLANK(INDEX('glossaryterms-export'!I:I,_xlpm.rowNum))),"Ready to Fix",""))</f>
        <v>Ready to Fix</v>
      </c>
      <c r="G174">
        <v>546</v>
      </c>
      <c r="H174">
        <v>498</v>
      </c>
      <c r="I174">
        <v>1.0963855421686699</v>
      </c>
      <c r="J174">
        <v>12.381526104417601</v>
      </c>
      <c r="K174">
        <v>1322</v>
      </c>
    </row>
    <row r="175" spans="1:11" ht="61.5">
      <c r="A175">
        <v>174</v>
      </c>
      <c r="B175" s="16"/>
      <c r="C175" t="s">
        <v>222</v>
      </c>
      <c r="D175" s="1"/>
      <c r="E175" s="1" t="str">
        <f>_xlfn.REGEXREPLACE(C175, "(.*)\/$", "https://extremismterms.adl.org\1")</f>
        <v>https://extremismterms.adl.org/glossary/da-goyim-know</v>
      </c>
      <c r="F175" s="1" t="str" cm="1">
        <f t="array" ref="F175">_xlfn.LET(_xlpm.rowNum,MATCH(E175,'glossaryterms-export'!C:C,0),
IF(AND(NOT(ISBLANK(INDEX('glossaryterms-export'!H:H,_xlpm.rowNum))),ISBLANK(INDEX('glossaryterms-export'!I:I,_xlpm.rowNum))),"Ready to Fix",""))</f>
        <v>Ready to Fix</v>
      </c>
      <c r="G175">
        <v>543</v>
      </c>
      <c r="H175">
        <v>490</v>
      </c>
      <c r="I175">
        <v>1.10816326530612</v>
      </c>
      <c r="J175">
        <v>22.228571428571399</v>
      </c>
      <c r="K175">
        <v>1292</v>
      </c>
    </row>
    <row r="176" spans="1:11" ht="61.5">
      <c r="A176">
        <v>175</v>
      </c>
      <c r="B176" s="11" t="s">
        <v>223</v>
      </c>
      <c r="C176" t="s">
        <v>224</v>
      </c>
      <c r="D176" s="1" t="s">
        <v>20</v>
      </c>
      <c r="E176" s="1" t="str">
        <f>_xlfn.REGEXREPLACE(C176, "(.*)\/$", "https://extremismterms.adl.org\1")</f>
        <v>https://extremismterms.adl.org/glossary/red-pillredpilling</v>
      </c>
      <c r="F176" s="1" t="str" cm="1">
        <f t="array" ref="F176">_xlfn.LET(_xlpm.rowNum,MATCH(E176,'glossaryterms-export'!C:C,0),
IF(AND(NOT(ISBLANK(INDEX('glossaryterms-export'!H:H,_xlpm.rowNum))),ISBLANK(INDEX('glossaryterms-export'!I:I,_xlpm.rowNum))),"Ready to Fix",""))</f>
        <v/>
      </c>
      <c r="G176">
        <v>536</v>
      </c>
      <c r="H176">
        <v>473</v>
      </c>
      <c r="I176">
        <v>1.13319238900634</v>
      </c>
      <c r="J176">
        <v>20.232558139534799</v>
      </c>
      <c r="K176">
        <v>1576</v>
      </c>
    </row>
    <row r="177" spans="1:11" ht="92.25">
      <c r="A177">
        <v>176</v>
      </c>
      <c r="B177" s="16"/>
      <c r="C177" t="s">
        <v>225</v>
      </c>
      <c r="D177" s="1"/>
      <c r="E177" s="1" t="str">
        <f>_xlfn.REGEXREPLACE(C177, "(.*)\/$", "https://extremismterms.adl.org\1")</f>
        <v>https://extremismterms.adl.org/glossary/zog-zionist-occupied-government</v>
      </c>
      <c r="F177" s="1" t="str" cm="1">
        <f t="array" ref="F177">_xlfn.LET(_xlpm.rowNum,MATCH(E177,'glossaryterms-export'!C:C,0),
IF(AND(NOT(ISBLANK(INDEX('glossaryterms-export'!H:H,_xlpm.rowNum))),ISBLANK(INDEX('glossaryterms-export'!I:I,_xlpm.rowNum))),"Ready to Fix",""))</f>
        <v/>
      </c>
      <c r="G177">
        <v>535</v>
      </c>
      <c r="H177">
        <v>476</v>
      </c>
      <c r="I177">
        <v>1.1239495798319299</v>
      </c>
      <c r="J177">
        <v>16.6743697478991</v>
      </c>
      <c r="K177">
        <v>1854</v>
      </c>
    </row>
    <row r="178" spans="1:11" ht="77.25">
      <c r="A178">
        <v>177</v>
      </c>
      <c r="B178" s="11" t="s">
        <v>124</v>
      </c>
      <c r="C178" t="s">
        <v>226</v>
      </c>
      <c r="D178" s="1" t="s">
        <v>20</v>
      </c>
      <c r="E178" s="1" t="str">
        <f>_xlfn.REGEXREPLACE(C178, "(.*)\/$", "https://extremismterms.adl.org\1")</f>
        <v>https://extremismterms.adl.org/glossary/moorish-movement</v>
      </c>
      <c r="F178" s="1" t="str" cm="1">
        <f t="array" ref="F178">_xlfn.LET(_xlpm.rowNum,MATCH(E178,'glossaryterms-export'!C:C,0),
IF(AND(NOT(ISBLANK(INDEX('glossaryterms-export'!H:H,_xlpm.rowNum))),ISBLANK(INDEX('glossaryterms-export'!I:I,_xlpm.rowNum))),"Ready to Fix",""))</f>
        <v/>
      </c>
      <c r="G178">
        <v>532</v>
      </c>
      <c r="H178">
        <v>476</v>
      </c>
      <c r="I178">
        <v>1.1176470588235199</v>
      </c>
      <c r="J178">
        <v>28.756302521008401</v>
      </c>
      <c r="K178">
        <v>1434</v>
      </c>
    </row>
    <row r="179" spans="1:11" ht="77.25">
      <c r="A179">
        <v>178</v>
      </c>
      <c r="B179" s="16"/>
      <c r="C179" t="s">
        <v>227</v>
      </c>
      <c r="D179" s="1"/>
      <c r="E179" s="1" t="str">
        <f>_xlfn.REGEXREPLACE(C179, "(.*)\/$", "https://extremismterms.adl.org\1")</f>
        <v>https://extremismterms.adl.org/glossary/6-million-wasnt-enough-6mwe</v>
      </c>
      <c r="F179" s="1" t="str" cm="1">
        <f t="array" ref="F179">_xlfn.LET(_xlpm.rowNum,MATCH(E179,'glossaryterms-export'!C:C,0),
IF(AND(NOT(ISBLANK(INDEX('glossaryterms-export'!H:H,_xlpm.rowNum))),ISBLANK(INDEX('glossaryterms-export'!I:I,_xlpm.rowNum))),"Ready to Fix",""))</f>
        <v>Ready to Fix</v>
      </c>
      <c r="G179">
        <v>531</v>
      </c>
      <c r="H179">
        <v>475</v>
      </c>
      <c r="I179">
        <v>1.1178947368420999</v>
      </c>
      <c r="J179">
        <v>17.873684210526299</v>
      </c>
      <c r="K179">
        <v>1686</v>
      </c>
    </row>
    <row r="180" spans="1:11" ht="61.5">
      <c r="A180">
        <v>179</v>
      </c>
      <c r="B180" s="16" t="s">
        <v>228</v>
      </c>
      <c r="C180" t="s">
        <v>229</v>
      </c>
      <c r="D180" s="1" t="s">
        <v>193</v>
      </c>
      <c r="E180" s="1" t="str">
        <f>_xlfn.REGEXREPLACE(C180, "(.*)\/$", "https://extremismterms.adl.org\1")</f>
        <v>https://extremismterms.adl.org/glossary/martin-sellner</v>
      </c>
      <c r="F180" s="1" t="str" cm="1">
        <f t="array" ref="F180">_xlfn.LET(_xlpm.rowNum,MATCH(E180,'glossaryterms-export'!C:C,0),
IF(AND(NOT(ISBLANK(INDEX('glossaryterms-export'!H:H,_xlpm.rowNum))),ISBLANK(INDEX('glossaryterms-export'!I:I,_xlpm.rowNum))),"Ready to Fix",""))</f>
        <v>Ready to Fix</v>
      </c>
      <c r="G180">
        <v>531</v>
      </c>
      <c r="H180">
        <v>469</v>
      </c>
      <c r="I180">
        <v>1.1321961620469001</v>
      </c>
      <c r="J180">
        <v>9.3603411513859207</v>
      </c>
      <c r="K180">
        <v>1164</v>
      </c>
    </row>
    <row r="181" spans="1:11" ht="61.5">
      <c r="A181">
        <v>180</v>
      </c>
      <c r="B181" s="11" t="s">
        <v>22</v>
      </c>
      <c r="C181" t="s">
        <v>230</v>
      </c>
      <c r="D181" s="1"/>
      <c r="E181" s="1" t="str">
        <f>_xlfn.REGEXREPLACE(C181, "(.*)\/$", "https://extremismterms.adl.org\1")</f>
        <v>https://extremismterms.adl.org/glossary/incels</v>
      </c>
      <c r="F181" s="1" t="str" cm="1">
        <f t="array" ref="F181">_xlfn.LET(_xlpm.rowNum,MATCH(E181,'glossaryterms-export'!C:C,0),
IF(AND(NOT(ISBLANK(INDEX('glossaryterms-export'!H:H,_xlpm.rowNum))),ISBLANK(INDEX('glossaryterms-export'!I:I,_xlpm.rowNum))),"Ready to Fix",""))</f>
        <v/>
      </c>
      <c r="G181">
        <v>520</v>
      </c>
      <c r="H181">
        <v>465</v>
      </c>
      <c r="I181">
        <v>1.1182795698924699</v>
      </c>
      <c r="J181">
        <v>31.154838709677399</v>
      </c>
      <c r="K181">
        <v>1406</v>
      </c>
    </row>
    <row r="182" spans="1:11" ht="77.25">
      <c r="A182">
        <v>181</v>
      </c>
      <c r="B182" s="16"/>
      <c r="C182" t="s">
        <v>231</v>
      </c>
      <c r="D182" s="1"/>
      <c r="E182" s="1" t="str">
        <f>_xlfn.REGEXREPLACE(C182, "(.*)\/$", "https://extremismterms.adl.org\1")</f>
        <v>https://extremismterms.adl.org/glossary/vincent-james-vincent-james-foxx</v>
      </c>
      <c r="F182" s="1" t="str" cm="1">
        <f t="array" ref="F182">_xlfn.LET(_xlpm.rowNum,MATCH(E182,'glossaryterms-export'!C:C,0),
IF(AND(NOT(ISBLANK(INDEX('glossaryterms-export'!H:H,_xlpm.rowNum))),ISBLANK(INDEX('glossaryterms-export'!I:I,_xlpm.rowNum))),"Ready to Fix",""))</f>
        <v/>
      </c>
      <c r="G182">
        <v>520</v>
      </c>
      <c r="H182">
        <v>463</v>
      </c>
      <c r="I182">
        <v>1.1231101511879</v>
      </c>
      <c r="J182">
        <v>13.343412526997801</v>
      </c>
      <c r="K182">
        <v>1911</v>
      </c>
    </row>
    <row r="183" spans="1:11" ht="61.5">
      <c r="A183">
        <v>182</v>
      </c>
      <c r="B183" s="16"/>
      <c r="C183" t="s">
        <v>232</v>
      </c>
      <c r="D183" s="1"/>
      <c r="E183" s="1" t="str">
        <f>_xlfn.REGEXREPLACE(C183, "(.*)\/$", "https://extremismterms.adl.org\1")</f>
        <v>https://extremismterms.adl.org/glossary/j-woke-jwoke-j-woke</v>
      </c>
      <c r="F183" s="1" t="str" cm="1">
        <f t="array" ref="F183">_xlfn.LET(_xlpm.rowNum,MATCH(E183,'glossaryterms-export'!C:C,0),
IF(AND(NOT(ISBLANK(INDEX('glossaryterms-export'!H:H,_xlpm.rowNum))),ISBLANK(INDEX('glossaryterms-export'!I:I,_xlpm.rowNum))),"Ready to Fix",""))</f>
        <v/>
      </c>
      <c r="G183">
        <v>519</v>
      </c>
      <c r="H183">
        <v>476</v>
      </c>
      <c r="I183">
        <v>1.0903361344537801</v>
      </c>
      <c r="J183">
        <v>12.873949579831899</v>
      </c>
      <c r="K183">
        <v>1948</v>
      </c>
    </row>
    <row r="184" spans="1:11" ht="61.5">
      <c r="A184">
        <v>183</v>
      </c>
      <c r="B184" s="16"/>
      <c r="C184" t="s">
        <v>233</v>
      </c>
      <c r="D184" s="1"/>
      <c r="E184" s="1" t="str">
        <f>_xlfn.REGEXREPLACE(C184, "(.*)\/$", "https://extremismterms.adl.org\1")</f>
        <v>https://extremismterms.adl.org/glossary/antisemitism</v>
      </c>
      <c r="F184" s="1" t="str" cm="1">
        <f t="array" ref="F184">_xlfn.LET(_xlpm.rowNum,MATCH(E184,'glossaryterms-export'!C:C,0),
IF(AND(NOT(ISBLANK(INDEX('glossaryterms-export'!H:H,_xlpm.rowNum))),ISBLANK(INDEX('glossaryterms-export'!I:I,_xlpm.rowNum))),"Ready to Fix",""))</f>
        <v/>
      </c>
      <c r="G184">
        <v>512</v>
      </c>
      <c r="H184">
        <v>422</v>
      </c>
      <c r="I184">
        <v>1.21327014218009</v>
      </c>
      <c r="J184">
        <v>21.1018957345971</v>
      </c>
      <c r="K184">
        <v>1415</v>
      </c>
    </row>
    <row r="185" spans="1:11" ht="61.5">
      <c r="A185">
        <v>184</v>
      </c>
      <c r="B185" s="16"/>
      <c r="C185" t="s">
        <v>234</v>
      </c>
      <c r="D185" s="1"/>
      <c r="E185" s="1" t="str">
        <f>_xlfn.REGEXREPLACE(C185, "(.*)\/$", "https://extremismterms.adl.org\1")</f>
        <v>https://extremismterms.adl.org/glossary/robert-faurisson</v>
      </c>
      <c r="F185" s="1" t="str" cm="1">
        <f t="array" ref="F185">_xlfn.LET(_xlpm.rowNum,MATCH(E185,'glossaryterms-export'!C:C,0),
IF(AND(NOT(ISBLANK(INDEX('glossaryterms-export'!H:H,_xlpm.rowNum))),ISBLANK(INDEX('glossaryterms-export'!I:I,_xlpm.rowNum))),"Ready to Fix",""))</f>
        <v/>
      </c>
      <c r="G185">
        <v>512</v>
      </c>
      <c r="H185">
        <v>407</v>
      </c>
      <c r="I185">
        <v>1.25798525798525</v>
      </c>
      <c r="J185">
        <v>54.960687960687899</v>
      </c>
      <c r="K185">
        <v>2296</v>
      </c>
    </row>
    <row r="186" spans="1:11" ht="61.5">
      <c r="A186">
        <v>185</v>
      </c>
      <c r="B186" s="14" t="s">
        <v>235</v>
      </c>
      <c r="C186" t="s">
        <v>236</v>
      </c>
      <c r="D186" s="1" t="s">
        <v>20</v>
      </c>
      <c r="E186" s="1" t="str">
        <f>_xlfn.REGEXREPLACE(C186, "(.*)\/$", "https://extremismterms.adl.org\1")</f>
        <v>https://extremismterms.adl.org/glossary/west-best</v>
      </c>
      <c r="F186" s="1" t="str" cm="1">
        <f t="array" ref="F186">_xlfn.LET(_xlpm.rowNum,MATCH(E186,'glossaryterms-export'!C:C,0),
IF(AND(NOT(ISBLANK(INDEX('glossaryterms-export'!H:H,_xlpm.rowNum))),ISBLANK(INDEX('glossaryterms-export'!I:I,_xlpm.rowNum))),"Ready to Fix",""))</f>
        <v/>
      </c>
      <c r="G186">
        <v>510</v>
      </c>
      <c r="H186">
        <v>463</v>
      </c>
      <c r="I186">
        <v>1.1015118790496701</v>
      </c>
      <c r="J186">
        <v>11.727861771058301</v>
      </c>
      <c r="K186">
        <v>1165</v>
      </c>
    </row>
    <row r="187" spans="1:11" ht="61.5">
      <c r="A187">
        <v>186</v>
      </c>
      <c r="B187" s="11" t="s">
        <v>22</v>
      </c>
      <c r="C187" t="s">
        <v>237</v>
      </c>
      <c r="D187" s="1" t="s">
        <v>20</v>
      </c>
      <c r="E187" s="1" t="str">
        <f>_xlfn.REGEXREPLACE(C187, "(.*)\/$", "https://extremismterms.adl.org\1")</f>
        <v>https://extremismterms.adl.org/glossary/elliot-rodger</v>
      </c>
      <c r="F187" s="1" t="str" cm="1">
        <f t="array" ref="F187">_xlfn.LET(_xlpm.rowNum,MATCH(E187,'glossaryterms-export'!C:C,0),
IF(AND(NOT(ISBLANK(INDEX('glossaryterms-export'!H:H,_xlpm.rowNum))),ISBLANK(INDEX('glossaryterms-export'!I:I,_xlpm.rowNum))),"Ready to Fix",""))</f>
        <v/>
      </c>
      <c r="G187">
        <v>508</v>
      </c>
      <c r="H187">
        <v>477</v>
      </c>
      <c r="I187">
        <v>1.0649895178197</v>
      </c>
      <c r="J187">
        <v>17.8888888888888</v>
      </c>
      <c r="K187">
        <v>1145</v>
      </c>
    </row>
    <row r="188" spans="1:11" ht="92.25">
      <c r="A188">
        <v>187</v>
      </c>
      <c r="B188" s="16"/>
      <c r="C188" t="s">
        <v>238</v>
      </c>
      <c r="D188" s="1"/>
      <c r="E188" s="1" t="str">
        <f>_xlfn.REGEXREPLACE(C188, "(.*)\/$", "https://extremismterms.adl.org\1")</f>
        <v>https://extremismterms.adl.org/glossary/act-now-stop-war-and-end-racism-answer-coalition</v>
      </c>
      <c r="F188" s="1" t="str" cm="1">
        <f t="array" ref="F188">_xlfn.LET(_xlpm.rowNum,MATCH(E188,'glossaryterms-export'!C:C,0),
IF(AND(NOT(ISBLANK(INDEX('glossaryterms-export'!H:H,_xlpm.rowNum))),ISBLANK(INDEX('glossaryterms-export'!I:I,_xlpm.rowNum))),"Ready to Fix",""))</f>
        <v/>
      </c>
      <c r="G188">
        <v>506</v>
      </c>
      <c r="H188">
        <v>443</v>
      </c>
      <c r="I188">
        <v>1.14221218961625</v>
      </c>
      <c r="J188">
        <v>31.4040632054176</v>
      </c>
      <c r="K188">
        <v>2164</v>
      </c>
    </row>
    <row r="189" spans="1:11" ht="61.5">
      <c r="A189">
        <v>188</v>
      </c>
      <c r="B189" s="16"/>
      <c r="C189" t="s">
        <v>239</v>
      </c>
      <c r="D189" s="1"/>
      <c r="E189" s="1" t="str">
        <f>_xlfn.REGEXREPLACE(C189, "(.*)\/$", "https://extremismterms.adl.org\1")</f>
        <v>https://extremismterms.adl.org/glossary/jon-minadeo-ii</v>
      </c>
      <c r="F189" s="1" t="str" cm="1">
        <f t="array" ref="F189">_xlfn.LET(_xlpm.rowNum,MATCH(E189,'glossaryterms-export'!C:C,0),
IF(AND(NOT(ISBLANK(INDEX('glossaryterms-export'!H:H,_xlpm.rowNum))),ISBLANK(INDEX('glossaryterms-export'!I:I,_xlpm.rowNum))),"Ready to Fix",""))</f>
        <v/>
      </c>
      <c r="G189">
        <v>506</v>
      </c>
      <c r="H189">
        <v>457</v>
      </c>
      <c r="I189">
        <v>1.10722100656455</v>
      </c>
      <c r="J189">
        <v>30.958424507658599</v>
      </c>
      <c r="K189">
        <v>2213</v>
      </c>
    </row>
    <row r="190" spans="1:11" ht="92.25">
      <c r="A190">
        <v>189</v>
      </c>
      <c r="B190" s="16"/>
      <c r="C190" t="s">
        <v>240</v>
      </c>
      <c r="D190" s="1"/>
      <c r="E190" s="1" t="str">
        <f>_xlfn.REGEXREPLACE(C190, "(.*)\/$", "https://extremismterms.adl.org\1")</f>
        <v>https://extremismterms.adl.org/glossary/us-palestinian-community-network-uspcn</v>
      </c>
      <c r="F190" s="1" t="str" cm="1">
        <f t="array" ref="F190">_xlfn.LET(_xlpm.rowNum,MATCH(E190,'glossaryterms-export'!C:C,0),
IF(AND(NOT(ISBLANK(INDEX('glossaryterms-export'!H:H,_xlpm.rowNum))),ISBLANK(INDEX('glossaryterms-export'!I:I,_xlpm.rowNum))),"Ready to Fix",""))</f>
        <v>Ready to Fix</v>
      </c>
      <c r="G190">
        <v>504</v>
      </c>
      <c r="H190">
        <v>436</v>
      </c>
      <c r="I190">
        <v>1.15596330275229</v>
      </c>
      <c r="J190">
        <v>26.139908256880702</v>
      </c>
      <c r="K190">
        <v>1998</v>
      </c>
    </row>
    <row r="191" spans="1:11" ht="61.5">
      <c r="A191">
        <v>190</v>
      </c>
      <c r="B191" s="16"/>
      <c r="C191" t="s">
        <v>241</v>
      </c>
      <c r="D191" s="1"/>
      <c r="E191" s="1" t="str">
        <f>_xlfn.REGEXREPLACE(C191, "(.*)\/$", "https://extremismterms.adl.org\1")</f>
        <v>https://extremismterms.adl.org/glossary/tightrope-records</v>
      </c>
      <c r="F191" s="1" t="str" cm="1">
        <f t="array" ref="F191">_xlfn.LET(_xlpm.rowNum,MATCH(E191,'glossaryterms-export'!C:C,0),
IF(AND(NOT(ISBLANK(INDEX('glossaryterms-export'!H:H,_xlpm.rowNum))),ISBLANK(INDEX('glossaryterms-export'!I:I,_xlpm.rowNum))),"Ready to Fix",""))</f>
        <v/>
      </c>
      <c r="G191">
        <v>503</v>
      </c>
      <c r="H191">
        <v>417</v>
      </c>
      <c r="I191">
        <v>1.2062350119904</v>
      </c>
      <c r="J191">
        <v>21.9424460431654</v>
      </c>
      <c r="K191">
        <v>1928</v>
      </c>
    </row>
    <row r="192" spans="1:11" ht="61.5">
      <c r="A192">
        <v>191</v>
      </c>
      <c r="B192" s="14" t="s">
        <v>15</v>
      </c>
      <c r="C192" t="s">
        <v>242</v>
      </c>
      <c r="D192" s="1" t="s">
        <v>20</v>
      </c>
      <c r="E192" s="1" t="str">
        <f>_xlfn.REGEXREPLACE(C192, "(.*)\/$", "https://extremismterms.adl.org\1")</f>
        <v>https://extremismterms.adl.org/glossary/deep-state</v>
      </c>
      <c r="F192" s="1" t="str" cm="1">
        <f t="array" ref="F192">_xlfn.LET(_xlpm.rowNum,MATCH(E192,'glossaryterms-export'!C:C,0),
IF(AND(NOT(ISBLANK(INDEX('glossaryterms-export'!H:H,_xlpm.rowNum))),ISBLANK(INDEX('glossaryterms-export'!I:I,_xlpm.rowNum))),"Ready to Fix",""))</f>
        <v/>
      </c>
      <c r="G192">
        <v>500</v>
      </c>
      <c r="H192">
        <v>450</v>
      </c>
      <c r="I192">
        <v>1.1111111111111101</v>
      </c>
      <c r="J192">
        <v>23.684444444444399</v>
      </c>
      <c r="K192">
        <v>1348</v>
      </c>
    </row>
    <row r="193" spans="1:11" ht="61.5">
      <c r="A193">
        <v>192</v>
      </c>
      <c r="B193" s="16"/>
      <c r="C193" t="s">
        <v>243</v>
      </c>
      <c r="D193" s="1"/>
      <c r="E193" s="1" t="str">
        <f>_xlfn.REGEXREPLACE(C193, "(.*)\/$", "https://extremismterms.adl.org\1")</f>
        <v>https://extremismterms.adl.org/glossary/ku-klux-klan-kkk</v>
      </c>
      <c r="F193" s="1" t="str" cm="1">
        <f t="array" ref="F193">_xlfn.LET(_xlpm.rowNum,MATCH(E193,'glossaryterms-export'!C:C,0),
IF(AND(NOT(ISBLANK(INDEX('glossaryterms-export'!H:H,_xlpm.rowNum))),ISBLANK(INDEX('glossaryterms-export'!I:I,_xlpm.rowNum))),"Ready to Fix",""))</f>
        <v>Ready to Fix</v>
      </c>
      <c r="G193">
        <v>499</v>
      </c>
      <c r="H193">
        <v>418</v>
      </c>
      <c r="I193">
        <v>1.1937799039999999</v>
      </c>
      <c r="J193">
        <v>30.803827751196099</v>
      </c>
      <c r="K193">
        <v>1759</v>
      </c>
    </row>
    <row r="194" spans="1:11" ht="61.5">
      <c r="A194">
        <v>193</v>
      </c>
      <c r="B194" s="16"/>
      <c r="C194" t="s">
        <v>244</v>
      </c>
      <c r="D194" s="1"/>
      <c r="E194" s="1" t="str">
        <f>_xlfn.REGEXREPLACE(C194, "(.*)\/$", "https://extremismterms.adl.org\1")</f>
        <v>https://extremismterms.adl.org/glossary/colton-williams</v>
      </c>
      <c r="F194" s="1" t="str" cm="1">
        <f t="array" ref="F194">_xlfn.LET(_xlpm.rowNum,MATCH(E194,'glossaryterms-export'!C:C,0),
IF(AND(NOT(ISBLANK(INDEX('glossaryterms-export'!H:H,_xlpm.rowNum))),ISBLANK(INDEX('glossaryterms-export'!I:I,_xlpm.rowNum))),"Ready to Fix",""))</f>
        <v/>
      </c>
      <c r="G194">
        <v>498</v>
      </c>
      <c r="H194">
        <v>395</v>
      </c>
      <c r="I194">
        <v>1.2607594936708799</v>
      </c>
      <c r="J194">
        <v>17.010126582278399</v>
      </c>
      <c r="K194">
        <v>1632</v>
      </c>
    </row>
    <row r="195" spans="1:11" ht="92.25">
      <c r="A195">
        <v>194</v>
      </c>
      <c r="B195" s="16"/>
      <c r="C195" t="s">
        <v>245</v>
      </c>
      <c r="D195" s="1"/>
      <c r="E195" s="1" t="str">
        <f>_xlfn.REGEXREPLACE(C195, "(.*)\/$", "https://extremismterms.adl.org\1")</f>
        <v>https://extremismterms.adl.org/glossary/red-ink-thumbprintsfingerprints</v>
      </c>
      <c r="F195" s="1" t="str" cm="1">
        <f t="array" ref="F195">_xlfn.LET(_xlpm.rowNum,MATCH(E195,'glossaryterms-export'!C:C,0),
IF(AND(NOT(ISBLANK(INDEX('glossaryterms-export'!H:H,_xlpm.rowNum))),ISBLANK(INDEX('glossaryterms-export'!I:I,_xlpm.rowNum))),"Ready to Fix",""))</f>
        <v/>
      </c>
      <c r="G195">
        <v>498</v>
      </c>
      <c r="H195">
        <v>451</v>
      </c>
      <c r="I195">
        <v>1.10421286031042</v>
      </c>
      <c r="J195">
        <v>27.319290465631902</v>
      </c>
      <c r="K195">
        <v>1498</v>
      </c>
    </row>
    <row r="196" spans="1:11" ht="61.5">
      <c r="A196">
        <v>195</v>
      </c>
      <c r="B196" s="16"/>
      <c r="C196" t="s">
        <v>246</v>
      </c>
      <c r="D196" s="1"/>
      <c r="E196" s="1" t="str">
        <f>_xlfn.REGEXREPLACE(C196, "(.*)\/$", "https://extremismterms.adl.org\1")</f>
        <v>https://extremismterms.adl.org/glossary/germar-rudolf</v>
      </c>
      <c r="F196" s="1" t="str" cm="1">
        <f t="array" ref="F196">_xlfn.LET(_xlpm.rowNum,MATCH(E196,'glossaryterms-export'!C:C,0),
IF(AND(NOT(ISBLANK(INDEX('glossaryterms-export'!H:H,_xlpm.rowNum))),ISBLANK(INDEX('glossaryterms-export'!I:I,_xlpm.rowNum))),"Ready to Fix",""))</f>
        <v/>
      </c>
      <c r="G196">
        <v>496</v>
      </c>
      <c r="H196">
        <v>439</v>
      </c>
      <c r="I196">
        <v>1.12984054669703</v>
      </c>
      <c r="J196">
        <v>37.895216400911103</v>
      </c>
      <c r="K196">
        <v>2687</v>
      </c>
    </row>
    <row r="197" spans="1:11" ht="61.5">
      <c r="A197">
        <v>196</v>
      </c>
      <c r="B197" s="16"/>
      <c r="C197" t="s">
        <v>247</v>
      </c>
      <c r="D197" s="1"/>
      <c r="E197" s="1" t="str">
        <f>_xlfn.REGEXREPLACE(C197, "(.*)\/$", "https://extremismterms.adl.org\1")</f>
        <v>https://extremismterms.adl.org/glossary/victor-thorn</v>
      </c>
      <c r="F197" s="1" t="str" cm="1">
        <f t="array" ref="F197">_xlfn.LET(_xlpm.rowNum,MATCH(E197,'glossaryterms-export'!C:C,0),
IF(AND(NOT(ISBLANK(INDEX('glossaryterms-export'!H:H,_xlpm.rowNum))),ISBLANK(INDEX('glossaryterms-export'!I:I,_xlpm.rowNum))),"Ready to Fix",""))</f>
        <v/>
      </c>
      <c r="G197">
        <v>489</v>
      </c>
      <c r="H197">
        <v>401</v>
      </c>
      <c r="I197">
        <v>1.21945137157107</v>
      </c>
      <c r="J197">
        <v>48.645885286782999</v>
      </c>
      <c r="K197">
        <v>2611</v>
      </c>
    </row>
    <row r="198" spans="1:11" ht="46.5">
      <c r="A198">
        <v>197</v>
      </c>
      <c r="B198" s="16"/>
      <c r="C198" t="s">
        <v>248</v>
      </c>
      <c r="D198" s="1"/>
      <c r="E198" s="1" t="str">
        <f>_xlfn.REGEXREPLACE(C198, "(.*)\/$", "https://extremismterms.adl.org\1")</f>
        <v>https://extremismterms.adl.org/glossary/pol</v>
      </c>
      <c r="F198" s="1" t="str" cm="1">
        <f t="array" ref="F198">_xlfn.LET(_xlpm.rowNum,MATCH(E198,'glossaryterms-export'!C:C,0),
IF(AND(NOT(ISBLANK(INDEX('glossaryterms-export'!H:H,_xlpm.rowNum))),ISBLANK(INDEX('glossaryterms-export'!I:I,_xlpm.rowNum))),"Ready to Fix",""))</f>
        <v>Ready to Fix</v>
      </c>
      <c r="G198">
        <v>478</v>
      </c>
      <c r="H198">
        <v>425</v>
      </c>
      <c r="I198">
        <v>1.1247058823529399</v>
      </c>
      <c r="J198">
        <v>13.242352941176399</v>
      </c>
      <c r="K198">
        <v>1170</v>
      </c>
    </row>
    <row r="199" spans="1:11" ht="61.5">
      <c r="A199">
        <v>198</v>
      </c>
      <c r="B199" s="16"/>
      <c r="C199" t="s">
        <v>249</v>
      </c>
      <c r="D199" s="1"/>
      <c r="E199" s="1" t="str">
        <f>_xlfn.REGEXREPLACE(C199, "(.*)\/$", "https://extremismterms.adl.org\1")</f>
        <v>https://extremismterms.adl.org/glossary/skousenism</v>
      </c>
      <c r="F199" s="1" t="str" cm="1">
        <f t="array" ref="F199">_xlfn.LET(_xlpm.rowNum,MATCH(E199,'glossaryterms-export'!C:C,0),
IF(AND(NOT(ISBLANK(INDEX('glossaryterms-export'!H:H,_xlpm.rowNum))),ISBLANK(INDEX('glossaryterms-export'!I:I,_xlpm.rowNum))),"Ready to Fix",""))</f>
        <v/>
      </c>
      <c r="G199">
        <v>477</v>
      </c>
      <c r="H199">
        <v>438</v>
      </c>
      <c r="I199">
        <v>1.08904109589041</v>
      </c>
      <c r="J199">
        <v>25.490867579908599</v>
      </c>
      <c r="K199">
        <v>1201</v>
      </c>
    </row>
    <row r="200" spans="1:11" ht="61.5">
      <c r="A200">
        <v>199</v>
      </c>
      <c r="B200" s="16" t="s">
        <v>228</v>
      </c>
      <c r="C200" t="s">
        <v>250</v>
      </c>
      <c r="D200" s="1" t="s">
        <v>193</v>
      </c>
      <c r="E200" s="1" t="str">
        <f>_xlfn.REGEXREPLACE(C200, "(.*)\/$", "https://extremismterms.adl.org\1")</f>
        <v>https://extremismterms.adl.org/glossary/white-genocide</v>
      </c>
      <c r="F200" s="1" t="str" cm="1">
        <f t="array" ref="F200">_xlfn.LET(_xlpm.rowNum,MATCH(E200,'glossaryterms-export'!C:C,0),
IF(AND(NOT(ISBLANK(INDEX('glossaryterms-export'!H:H,_xlpm.rowNum))),ISBLANK(INDEX('glossaryterms-export'!I:I,_xlpm.rowNum))),"Ready to Fix",""))</f>
        <v/>
      </c>
      <c r="G200">
        <v>468</v>
      </c>
      <c r="H200">
        <v>433</v>
      </c>
      <c r="I200">
        <v>1.0808314087759801</v>
      </c>
      <c r="J200">
        <v>8.7644341801385597</v>
      </c>
      <c r="K200">
        <v>1508</v>
      </c>
    </row>
    <row r="201" spans="1:11" ht="61.5">
      <c r="A201">
        <v>200</v>
      </c>
      <c r="B201" s="16"/>
      <c r="C201" t="s">
        <v>251</v>
      </c>
      <c r="D201" s="1"/>
      <c r="E201" s="1" t="str">
        <f>_xlfn.REGEXREPLACE(C201, "(.*)\/$", "https://extremismterms.adl.org\1")</f>
        <v>https://extremismterms.adl.org/glossary/andrew-tate</v>
      </c>
      <c r="F201" s="1" t="str" cm="1">
        <f t="array" ref="F201">_xlfn.LET(_xlpm.rowNum,MATCH(E201,'glossaryterms-export'!C:C,0),
IF(AND(NOT(ISBLANK(INDEX('glossaryterms-export'!H:H,_xlpm.rowNum))),ISBLANK(INDEX('glossaryterms-export'!I:I,_xlpm.rowNum))),"Ready to Fix",""))</f>
        <v>Ready to Fix</v>
      </c>
      <c r="G201">
        <v>466</v>
      </c>
      <c r="H201">
        <v>412</v>
      </c>
      <c r="I201">
        <v>1.13106796116504</v>
      </c>
      <c r="J201">
        <v>19.4538834951456</v>
      </c>
      <c r="K201">
        <v>1142</v>
      </c>
    </row>
    <row r="202" spans="1:11" ht="61.5">
      <c r="A202">
        <v>201</v>
      </c>
      <c r="B202" s="16"/>
      <c r="C202" t="s">
        <v>252</v>
      </c>
      <c r="D202" s="1"/>
      <c r="E202" s="1" t="str">
        <f>_xlfn.REGEXREPLACE(C202, "(.*)\/$", "https://extremismterms.adl.org\1")</f>
        <v>https://extremismterms.adl.org/glossary/jim-rizoli</v>
      </c>
      <c r="F202" s="1" t="str" cm="1">
        <f t="array" ref="F202">_xlfn.LET(_xlpm.rowNum,MATCH(E202,'glossaryterms-export'!C:C,0),
IF(AND(NOT(ISBLANK(INDEX('glossaryterms-export'!H:H,_xlpm.rowNum))),ISBLANK(INDEX('glossaryterms-export'!I:I,_xlpm.rowNum))),"Ready to Fix",""))</f>
        <v>Ready to Fix</v>
      </c>
      <c r="G202">
        <v>466</v>
      </c>
      <c r="H202">
        <v>407</v>
      </c>
      <c r="I202">
        <v>1.1449631449631399</v>
      </c>
      <c r="J202">
        <v>46.420147420147401</v>
      </c>
      <c r="K202">
        <v>2449</v>
      </c>
    </row>
    <row r="203" spans="1:11" ht="77.25">
      <c r="A203">
        <v>202</v>
      </c>
      <c r="B203" s="16"/>
      <c r="C203" t="s">
        <v>253</v>
      </c>
      <c r="D203" s="1"/>
      <c r="E203" s="1" t="str">
        <f>_xlfn.REGEXREPLACE(C203, "(.*)\/$", "https://extremismterms.adl.org\1")</f>
        <v>https://extremismterms.adl.org/glossary/reawaken-america-tour</v>
      </c>
      <c r="F203" s="1" t="str" cm="1">
        <f t="array" ref="F203">_xlfn.LET(_xlpm.rowNum,MATCH(E203,'glossaryterms-export'!C:C,0),
IF(AND(NOT(ISBLANK(INDEX('glossaryterms-export'!H:H,_xlpm.rowNum))),ISBLANK(INDEX('glossaryterms-export'!I:I,_xlpm.rowNum))),"Ready to Fix",""))</f>
        <v/>
      </c>
      <c r="G203">
        <v>462</v>
      </c>
      <c r="H203">
        <v>431</v>
      </c>
      <c r="I203">
        <v>1.07192575406032</v>
      </c>
      <c r="J203">
        <v>17.1624129930394</v>
      </c>
      <c r="K203">
        <v>1931</v>
      </c>
    </row>
    <row r="204" spans="1:11" ht="61.5">
      <c r="A204">
        <v>203</v>
      </c>
      <c r="B204" s="16"/>
      <c r="C204" t="s">
        <v>254</v>
      </c>
      <c r="D204" s="1"/>
      <c r="E204" s="1" t="str">
        <f>_xlfn.REGEXREPLACE(C204, "(.*)\/$", "https://extremismterms.adl.org\1")</f>
        <v>https://extremismterms.adl.org/glossary/109110</v>
      </c>
      <c r="F204" s="1" t="str" cm="1">
        <f t="array" ref="F204">_xlfn.LET(_xlpm.rowNum,MATCH(E204,'glossaryterms-export'!C:C,0),
IF(AND(NOT(ISBLANK(INDEX('glossaryterms-export'!H:H,_xlpm.rowNum))),ISBLANK(INDEX('glossaryterms-export'!I:I,_xlpm.rowNum))),"Ready to Fix",""))</f>
        <v>Ready to Fix</v>
      </c>
      <c r="G204">
        <v>456</v>
      </c>
      <c r="H204">
        <v>436</v>
      </c>
      <c r="I204">
        <v>1.0458715596330199</v>
      </c>
      <c r="J204">
        <v>12.2706422018348</v>
      </c>
      <c r="K204">
        <v>1059</v>
      </c>
    </row>
    <row r="205" spans="1:11" ht="77.25">
      <c r="A205">
        <v>204</v>
      </c>
      <c r="B205" s="16"/>
      <c r="C205" t="s">
        <v>255</v>
      </c>
      <c r="D205" s="1"/>
      <c r="E205" s="1" t="str">
        <f>_xlfn.REGEXREPLACE(C205, "(.*)\/$", "https://extremismterms.adl.org\1")</f>
        <v>https://extremismterms.adl.org/glossary/michael-santomauro</v>
      </c>
      <c r="F205" s="1" t="str" cm="1">
        <f t="array" ref="F205">_xlfn.LET(_xlpm.rowNum,MATCH(E205,'glossaryterms-export'!C:C,0),
IF(AND(NOT(ISBLANK(INDEX('glossaryterms-export'!H:H,_xlpm.rowNum))),ISBLANK(INDEX('glossaryterms-export'!I:I,_xlpm.rowNum))),"Ready to Fix",""))</f>
        <v/>
      </c>
      <c r="G205">
        <v>452</v>
      </c>
      <c r="H205">
        <v>387</v>
      </c>
      <c r="I205">
        <v>1.16795865633074</v>
      </c>
      <c r="J205">
        <v>41.682170542635603</v>
      </c>
      <c r="K205">
        <v>2325</v>
      </c>
    </row>
    <row r="206" spans="1:11" ht="61.5">
      <c r="A206">
        <v>205</v>
      </c>
      <c r="B206" s="16"/>
      <c r="C206" t="s">
        <v>256</v>
      </c>
      <c r="D206" s="1"/>
      <c r="E206" s="1" t="str">
        <f>_xlfn.REGEXREPLACE(C206, "(.*)\/$", "https://extremismterms.adl.org\1")</f>
        <v>https://extremismterms.adl.org/glossary/masar-badil</v>
      </c>
      <c r="F206" s="1" t="str" cm="1">
        <f t="array" ref="F206">_xlfn.LET(_xlpm.rowNum,MATCH(E206,'glossaryterms-export'!C:C,0),
IF(AND(NOT(ISBLANK(INDEX('glossaryterms-export'!H:H,_xlpm.rowNum))),ISBLANK(INDEX('glossaryterms-export'!I:I,_xlpm.rowNum))),"Ready to Fix",""))</f>
        <v>Ready to Fix</v>
      </c>
      <c r="G206">
        <v>447</v>
      </c>
      <c r="H206">
        <v>405</v>
      </c>
      <c r="I206">
        <v>1.1037037037037001</v>
      </c>
      <c r="J206">
        <v>31.395061728395</v>
      </c>
      <c r="K206">
        <v>2021</v>
      </c>
    </row>
    <row r="207" spans="1:11" ht="92.25">
      <c r="A207">
        <v>206</v>
      </c>
      <c r="B207" s="14" t="s">
        <v>15</v>
      </c>
      <c r="C207" t="s">
        <v>257</v>
      </c>
      <c r="D207" s="1" t="s">
        <v>20</v>
      </c>
      <c r="E207" s="1" t="str">
        <f>_xlfn.REGEXREPLACE(C207, "(.*)\/$", "https://extremismterms.adl.org\1")</f>
        <v>https://extremismterms.adl.org/glossary/do-your-own-research-or-do-research</v>
      </c>
      <c r="F207" s="1" t="str" cm="1">
        <f t="array" ref="F207">_xlfn.LET(_xlpm.rowNum,MATCH(E207,'glossaryterms-export'!C:C,0),
IF(AND(NOT(ISBLANK(INDEX('glossaryterms-export'!H:H,_xlpm.rowNum))),ISBLANK(INDEX('glossaryterms-export'!I:I,_xlpm.rowNum))),"Ready to Fix",""))</f>
        <v/>
      </c>
      <c r="G207">
        <v>444</v>
      </c>
      <c r="H207">
        <v>395</v>
      </c>
      <c r="I207">
        <v>1.12405063291139</v>
      </c>
      <c r="J207">
        <v>19.321518987341701</v>
      </c>
      <c r="K207">
        <v>1126</v>
      </c>
    </row>
    <row r="208" spans="1:11" ht="92.25">
      <c r="A208">
        <v>207</v>
      </c>
      <c r="B208" s="4" t="s">
        <v>258</v>
      </c>
      <c r="C208" t="s">
        <v>259</v>
      </c>
      <c r="D208" s="1" t="s">
        <v>20</v>
      </c>
      <c r="E208" s="1" t="str">
        <f>_xlfn.REGEXREPLACE(C208, "(.*)\/$", "https://extremismterms.adl.org\1")</f>
        <v>https://extremismterms.adl.org/glossary/national-students-justice-palestine-nsjp</v>
      </c>
      <c r="F208" s="1" t="str" cm="1">
        <f t="array" ref="F208">_xlfn.LET(_xlpm.rowNum,MATCH(E208,'glossaryterms-export'!C:C,0),
IF(AND(NOT(ISBLANK(INDEX('glossaryterms-export'!H:H,_xlpm.rowNum))),ISBLANK(INDEX('glossaryterms-export'!I:I,_xlpm.rowNum))),"Ready to Fix",""))</f>
        <v>Ready to Fix</v>
      </c>
      <c r="G208">
        <v>442</v>
      </c>
      <c r="H208">
        <v>390</v>
      </c>
      <c r="I208">
        <v>1.13333333333333</v>
      </c>
      <c r="J208">
        <v>35.294871794871703</v>
      </c>
      <c r="K208">
        <v>1920</v>
      </c>
    </row>
    <row r="209" spans="1:11" ht="92.25">
      <c r="A209">
        <v>208</v>
      </c>
      <c r="B209" s="16"/>
      <c r="C209" t="s">
        <v>260</v>
      </c>
      <c r="D209" s="1"/>
      <c r="E209" s="1" t="str">
        <f>_xlfn.REGEXREPLACE(C209, "(.*)\/$", "https://extremismterms.adl.org\1")</f>
        <v>https://extremismterms.adl.org/glossary/young-pharaoh-aka-marshall-daniels</v>
      </c>
      <c r="F209" s="1" t="str" cm="1">
        <f t="array" ref="F209">_xlfn.LET(_xlpm.rowNum,MATCH(E209,'glossaryterms-export'!C:C,0),
IF(AND(NOT(ISBLANK(INDEX('glossaryterms-export'!H:H,_xlpm.rowNum))),ISBLANK(INDEX('glossaryterms-export'!I:I,_xlpm.rowNum))),"Ready to Fix",""))</f>
        <v/>
      </c>
      <c r="G209">
        <v>441</v>
      </c>
      <c r="H209">
        <v>402</v>
      </c>
      <c r="I209">
        <v>1.0970149253731301</v>
      </c>
      <c r="J209">
        <v>22.5771144278606</v>
      </c>
      <c r="K209">
        <v>1688</v>
      </c>
    </row>
    <row r="210" spans="1:11" ht="61.5">
      <c r="A210">
        <v>209</v>
      </c>
      <c r="B210" s="16"/>
      <c r="C210" t="s">
        <v>261</v>
      </c>
      <c r="D210" s="1"/>
      <c r="E210" s="1" t="str">
        <f>_xlfn.REGEXREPLACE(C210, "(.*)\/$", "https://extremismterms.adl.org\1")</f>
        <v>https://extremismterms.adl.org/glossary/88-precepts</v>
      </c>
      <c r="F210" s="1" t="str" cm="1">
        <f t="array" ref="F210">_xlfn.LET(_xlpm.rowNum,MATCH(E210,'glossaryterms-export'!C:C,0),
IF(AND(NOT(ISBLANK(INDEX('glossaryterms-export'!H:H,_xlpm.rowNum))),ISBLANK(INDEX('glossaryterms-export'!I:I,_xlpm.rowNum))),"Ready to Fix",""))</f>
        <v>Ready to Fix</v>
      </c>
      <c r="G210">
        <v>437</v>
      </c>
      <c r="H210">
        <v>395</v>
      </c>
      <c r="I210">
        <v>1.1063291139240501</v>
      </c>
      <c r="J210">
        <v>14.713924050632899</v>
      </c>
      <c r="K210">
        <v>1409</v>
      </c>
    </row>
    <row r="211" spans="1:11" ht="61.5">
      <c r="A211">
        <v>210</v>
      </c>
      <c r="B211" s="16"/>
      <c r="C211" t="s">
        <v>262</v>
      </c>
      <c r="D211" s="1"/>
      <c r="E211" s="1" t="str">
        <f>_xlfn.REGEXREPLACE(C211, "(.*)\/$", "https://extremismterms.adl.org\1")</f>
        <v>https://extremismterms.adl.org/glossary/extremism</v>
      </c>
      <c r="F211" s="1" t="str" cm="1">
        <f t="array" ref="F211">_xlfn.LET(_xlpm.rowNum,MATCH(E211,'glossaryterms-export'!C:C,0),
IF(AND(NOT(ISBLANK(INDEX('glossaryterms-export'!H:H,_xlpm.rowNum))),ISBLANK(INDEX('glossaryterms-export'!I:I,_xlpm.rowNum))),"Ready to Fix",""))</f>
        <v/>
      </c>
      <c r="G211">
        <v>435</v>
      </c>
      <c r="H211">
        <v>359</v>
      </c>
      <c r="I211">
        <v>1.2116991643454</v>
      </c>
      <c r="J211">
        <v>33.242339832869</v>
      </c>
      <c r="K211">
        <v>1684</v>
      </c>
    </row>
    <row r="212" spans="1:11" ht="61.5">
      <c r="A212">
        <v>211</v>
      </c>
      <c r="B212" s="16"/>
      <c r="C212" t="s">
        <v>263</v>
      </c>
      <c r="D212" s="1"/>
      <c r="E212" s="1" t="str">
        <f>_xlfn.REGEXREPLACE(C212, "(.*)\/$", "https://extremismterms.adl.org\1")</f>
        <v>https://extremismterms.adl.org/glossary/samidoun</v>
      </c>
      <c r="F212" s="1" t="str" cm="1">
        <f t="array" ref="F212">_xlfn.LET(_xlpm.rowNum,MATCH(E212,'glossaryterms-export'!C:C,0),
IF(AND(NOT(ISBLANK(INDEX('glossaryterms-export'!H:H,_xlpm.rowNum))),ISBLANK(INDEX('glossaryterms-export'!I:I,_xlpm.rowNum))),"Ready to Fix",""))</f>
        <v>Ready to Fix</v>
      </c>
      <c r="G212">
        <v>430</v>
      </c>
      <c r="H212">
        <v>380</v>
      </c>
      <c r="I212">
        <v>1.1315789473684199</v>
      </c>
      <c r="J212">
        <v>33.931578947368401</v>
      </c>
      <c r="K212">
        <v>1759</v>
      </c>
    </row>
    <row r="213" spans="1:11" ht="61.5">
      <c r="A213">
        <v>212</v>
      </c>
      <c r="B213" s="16"/>
      <c r="C213" t="s">
        <v>264</v>
      </c>
      <c r="D213" s="1"/>
      <c r="E213" s="1" t="str">
        <f>_xlfn.REGEXREPLACE(C213, "(.*)\/$", "https://extremismterms.adl.org\1")</f>
        <v>https://extremismterms.adl.org/glossary/fight-flynn</v>
      </c>
      <c r="F213" s="1" t="str" cm="1">
        <f t="array" ref="F213">_xlfn.LET(_xlpm.rowNum,MATCH(E213,'glossaryterms-export'!C:C,0),
IF(AND(NOT(ISBLANK(INDEX('glossaryterms-export'!H:H,_xlpm.rowNum))),ISBLANK(INDEX('glossaryterms-export'!I:I,_xlpm.rowNum))),"Ready to Fix",""))</f>
        <v/>
      </c>
      <c r="G213">
        <v>423</v>
      </c>
      <c r="H213">
        <v>404</v>
      </c>
      <c r="I213">
        <v>1.04702970297029</v>
      </c>
      <c r="J213">
        <v>15.955445544554401</v>
      </c>
      <c r="K213">
        <v>1342</v>
      </c>
    </row>
    <row r="214" spans="1:11" ht="61.5">
      <c r="A214">
        <v>213</v>
      </c>
      <c r="B214" s="14" t="s">
        <v>92</v>
      </c>
      <c r="C214" t="s">
        <v>265</v>
      </c>
      <c r="D214" s="1" t="s">
        <v>20</v>
      </c>
      <c r="E214" s="1" t="str">
        <f>_xlfn.REGEXREPLACE(C214, "(.*)\/$", "https://extremismterms.adl.org\1")</f>
        <v>https://extremismterms.adl.org/glossary/james-mason</v>
      </c>
      <c r="F214" s="1" t="str" cm="1">
        <f t="array" ref="F214">_xlfn.LET(_xlpm.rowNum,MATCH(E214,'glossaryterms-export'!C:C,0),
IF(AND(NOT(ISBLANK(INDEX('glossaryterms-export'!H:H,_xlpm.rowNum))),ISBLANK(INDEX('glossaryterms-export'!I:I,_xlpm.rowNum))),"Ready to Fix",""))</f>
        <v/>
      </c>
      <c r="G214">
        <v>423</v>
      </c>
      <c r="H214">
        <v>415</v>
      </c>
      <c r="I214">
        <v>1.01927710843373</v>
      </c>
      <c r="J214">
        <v>5.62650602409638</v>
      </c>
      <c r="K214">
        <v>1248</v>
      </c>
    </row>
    <row r="215" spans="1:11" ht="61.5">
      <c r="A215">
        <v>214</v>
      </c>
      <c r="B215" s="14" t="s">
        <v>15</v>
      </c>
      <c r="C215" t="s">
        <v>266</v>
      </c>
      <c r="D215" s="1" t="s">
        <v>20</v>
      </c>
      <c r="E215" s="1" t="str">
        <f>_xlfn.REGEXREPLACE(C215, "(.*)\/$", "https://extremismterms.adl.org\1")</f>
        <v>https://extremismterms.adl.org/glossary/storm</v>
      </c>
      <c r="F215" s="1" t="str" cm="1">
        <f t="array" ref="F215">_xlfn.LET(_xlpm.rowNum,MATCH(E215,'glossaryterms-export'!C:C,0),
IF(AND(NOT(ISBLANK(INDEX('glossaryterms-export'!H:H,_xlpm.rowNum))),ISBLANK(INDEX('glossaryterms-export'!I:I,_xlpm.rowNum))),"Ready to Fix",""))</f>
        <v/>
      </c>
      <c r="G215">
        <v>418</v>
      </c>
      <c r="H215">
        <v>339</v>
      </c>
      <c r="I215">
        <v>1.2330383480825899</v>
      </c>
      <c r="J215">
        <v>31.6902654867256</v>
      </c>
      <c r="K215">
        <v>1018</v>
      </c>
    </row>
    <row r="216" spans="1:11" ht="61.5">
      <c r="A216">
        <v>215</v>
      </c>
      <c r="B216" s="16"/>
      <c r="C216" t="s">
        <v>267</v>
      </c>
      <c r="D216" s="1"/>
      <c r="E216" s="1" t="str">
        <f>_xlfn.REGEXREPLACE(C216, "(.*)\/$", "https://extremismterms.adl.org\1")</f>
        <v>https://extremismterms.adl.org/glossary/moon-man</v>
      </c>
      <c r="F216" s="1" t="str" cm="1">
        <f t="array" ref="F216">_xlfn.LET(_xlpm.rowNum,MATCH(E216,'glossaryterms-export'!C:C,0),
IF(AND(NOT(ISBLANK(INDEX('glossaryterms-export'!H:H,_xlpm.rowNum))),ISBLANK(INDEX('glossaryterms-export'!I:I,_xlpm.rowNum))),"Ready to Fix",""))</f>
        <v>Ready to Fix</v>
      </c>
      <c r="G216">
        <v>414</v>
      </c>
      <c r="H216">
        <v>367</v>
      </c>
      <c r="I216">
        <v>1.1280653950953601</v>
      </c>
      <c r="J216">
        <v>16.326975476839198</v>
      </c>
      <c r="K216">
        <v>1143</v>
      </c>
    </row>
    <row r="217" spans="1:11" ht="77.25">
      <c r="A217">
        <v>216</v>
      </c>
      <c r="B217" s="16"/>
      <c r="C217" t="s">
        <v>268</v>
      </c>
      <c r="D217" s="1"/>
      <c r="E217" s="1" t="str">
        <f>_xlfn.REGEXREPLACE(C217, "(.*)\/$", "https://extremismterms.adl.org\1")</f>
        <v>https://extremismterms.adl.org/glossary/california-blackshirts</v>
      </c>
      <c r="F217" s="1" t="str" cm="1">
        <f t="array" ref="F217">_xlfn.LET(_xlpm.rowNum,MATCH(E217,'glossaryterms-export'!C:C,0),
IF(AND(NOT(ISBLANK(INDEX('glossaryterms-export'!H:H,_xlpm.rowNum))),ISBLANK(INDEX('glossaryterms-export'!I:I,_xlpm.rowNum))),"Ready to Fix",""))</f>
        <v/>
      </c>
      <c r="G217">
        <v>411</v>
      </c>
      <c r="H217">
        <v>337</v>
      </c>
      <c r="I217">
        <v>1.2195845697329299</v>
      </c>
      <c r="J217">
        <v>29.599406528189899</v>
      </c>
      <c r="K217">
        <v>1559</v>
      </c>
    </row>
    <row r="218" spans="1:11" ht="61.5">
      <c r="A218">
        <v>217</v>
      </c>
      <c r="B218" s="16"/>
      <c r="C218" t="s">
        <v>269</v>
      </c>
      <c r="D218" s="1"/>
      <c r="E218" s="1" t="str">
        <f>_xlfn.REGEXREPLACE(C218, "(.*)\/$", "https://extremismterms.adl.org\1")</f>
        <v>https://extremismterms.adl.org/glossary/charles-c-johnson</v>
      </c>
      <c r="F218" s="1" t="str" cm="1">
        <f t="array" ref="F218">_xlfn.LET(_xlpm.rowNum,MATCH(E218,'glossaryterms-export'!C:C,0),
IF(AND(NOT(ISBLANK(INDEX('glossaryterms-export'!H:H,_xlpm.rowNum))),ISBLANK(INDEX('glossaryterms-export'!I:I,_xlpm.rowNum))),"Ready to Fix",""))</f>
        <v>Ready to Fix</v>
      </c>
      <c r="G218">
        <v>411</v>
      </c>
      <c r="H218">
        <v>368</v>
      </c>
      <c r="I218">
        <v>1.1168478260869501</v>
      </c>
      <c r="J218">
        <v>25.953804347826001</v>
      </c>
      <c r="K218">
        <v>1532</v>
      </c>
    </row>
    <row r="219" spans="1:11" ht="61.5">
      <c r="A219">
        <v>218</v>
      </c>
      <c r="B219" s="16"/>
      <c r="C219" t="s">
        <v>270</v>
      </c>
      <c r="D219" s="1"/>
      <c r="E219" s="1" t="str">
        <f>_xlfn.REGEXREPLACE(C219, "(.*)\/$", "https://extremismterms.adl.org\1")</f>
        <v>https://extremismterms.adl.org/glossary/john-sabal</v>
      </c>
      <c r="F219" s="1" t="str" cm="1">
        <f t="array" ref="F219">_xlfn.LET(_xlpm.rowNum,MATCH(E219,'glossaryterms-export'!C:C,0),
IF(AND(NOT(ISBLANK(INDEX('glossaryterms-export'!H:H,_xlpm.rowNum))),ISBLANK(INDEX('glossaryterms-export'!I:I,_xlpm.rowNum))),"Ready to Fix",""))</f>
        <v/>
      </c>
      <c r="G219">
        <v>411</v>
      </c>
      <c r="H219">
        <v>312</v>
      </c>
      <c r="I219">
        <v>1.3173076923076901</v>
      </c>
      <c r="J219">
        <v>21.923076923076898</v>
      </c>
      <c r="K219">
        <v>1523</v>
      </c>
    </row>
    <row r="220" spans="1:11" ht="61.5">
      <c r="A220">
        <v>219</v>
      </c>
      <c r="B220" s="16"/>
      <c r="C220" t="s">
        <v>271</v>
      </c>
      <c r="D220" s="1"/>
      <c r="E220" s="1" t="str">
        <f>_xlfn.REGEXREPLACE(C220, "(.*)\/$", "https://extremismterms.adl.org\1")</f>
        <v>https://extremismterms.adl.org/glossary/will2rise</v>
      </c>
      <c r="F220" s="1" t="str" cm="1">
        <f t="array" ref="F220">_xlfn.LET(_xlpm.rowNum,MATCH(E220,'glossaryterms-export'!C:C,0),
IF(AND(NOT(ISBLANK(INDEX('glossaryterms-export'!H:H,_xlpm.rowNum))),ISBLANK(INDEX('glossaryterms-export'!I:I,_xlpm.rowNum))),"Ready to Fix",""))</f>
        <v/>
      </c>
      <c r="G220">
        <v>407</v>
      </c>
      <c r="H220">
        <v>368</v>
      </c>
      <c r="I220">
        <v>1.1059782608695601</v>
      </c>
      <c r="J220">
        <v>20.133152173913</v>
      </c>
      <c r="K220">
        <v>1616</v>
      </c>
    </row>
    <row r="221" spans="1:11" ht="61.5">
      <c r="A221">
        <v>220</v>
      </c>
      <c r="B221" s="16"/>
      <c r="C221" t="s">
        <v>272</v>
      </c>
      <c r="D221" s="1"/>
      <c r="E221" s="1" t="str">
        <f>_xlfn.REGEXREPLACE(C221, "(.*)\/$", "https://extremismterms.adl.org\1")</f>
        <v>https://extremismterms.adl.org/glossary/david-duke</v>
      </c>
      <c r="F221" s="1" t="str" cm="1">
        <f t="array" ref="F221">_xlfn.LET(_xlpm.rowNum,MATCH(E221,'glossaryterms-export'!C:C,0),
IF(AND(NOT(ISBLANK(INDEX('glossaryterms-export'!H:H,_xlpm.rowNum))),ISBLANK(INDEX('glossaryterms-export'!I:I,_xlpm.rowNum))),"Ready to Fix",""))</f>
        <v>Ready to Fix</v>
      </c>
      <c r="G221">
        <v>406</v>
      </c>
      <c r="H221">
        <v>379</v>
      </c>
      <c r="I221">
        <v>1.07124010554089</v>
      </c>
      <c r="J221">
        <v>49.934036939313899</v>
      </c>
      <c r="K221">
        <v>1631</v>
      </c>
    </row>
    <row r="222" spans="1:11" ht="61.5">
      <c r="A222">
        <v>221</v>
      </c>
      <c r="B222" s="16"/>
      <c r="C222" t="s">
        <v>273</v>
      </c>
      <c r="D222" s="1"/>
      <c r="E222" s="1" t="str">
        <f>_xlfn.REGEXREPLACE(C222, "(.*)\/$", "https://extremismterms.adl.org\1")</f>
        <v>https://extremismterms.adl.org/glossary/active-clubs</v>
      </c>
      <c r="F222" s="1" t="str" cm="1">
        <f t="array" ref="F222">_xlfn.LET(_xlpm.rowNum,MATCH(E222,'glossaryterms-export'!C:C,0),
IF(AND(NOT(ISBLANK(INDEX('glossaryterms-export'!H:H,_xlpm.rowNum))),ISBLANK(INDEX('glossaryterms-export'!I:I,_xlpm.rowNum))),"Ready to Fix",""))</f>
        <v>Ready to Fix</v>
      </c>
      <c r="G222">
        <v>403</v>
      </c>
      <c r="H222">
        <v>349</v>
      </c>
      <c r="I222">
        <v>1.1547277936962701</v>
      </c>
      <c r="J222">
        <v>23.595988538681901</v>
      </c>
      <c r="K222">
        <v>1082</v>
      </c>
    </row>
    <row r="223" spans="1:11" ht="77.25">
      <c r="A223">
        <v>222</v>
      </c>
      <c r="B223" s="16"/>
      <c r="C223" t="s">
        <v>274</v>
      </c>
      <c r="D223" s="1"/>
      <c r="E223" s="1" t="str">
        <f>_xlfn.REGEXREPLACE(C223, "(.*)\/$", "https://extremismterms.adl.org\1")</f>
        <v>https://extremismterms.adl.org/glossary/institute-historical-review-ihr</v>
      </c>
      <c r="F223" s="1" t="str" cm="1">
        <f t="array" ref="F223">_xlfn.LET(_xlpm.rowNum,MATCH(E223,'glossaryterms-export'!C:C,0),
IF(AND(NOT(ISBLANK(INDEX('glossaryterms-export'!H:H,_xlpm.rowNum))),ISBLANK(INDEX('glossaryterms-export'!I:I,_xlpm.rowNum))),"Ready to Fix",""))</f>
        <v>Ready to Fix</v>
      </c>
      <c r="G223">
        <v>399</v>
      </c>
      <c r="H223">
        <v>309</v>
      </c>
      <c r="I223">
        <v>1.29126213592233</v>
      </c>
      <c r="J223">
        <v>29.242718446601899</v>
      </c>
      <c r="K223">
        <v>1632</v>
      </c>
    </row>
    <row r="224" spans="1:11" ht="61.5">
      <c r="A224">
        <v>223</v>
      </c>
      <c r="B224" s="16"/>
      <c r="C224" t="s">
        <v>275</v>
      </c>
      <c r="D224" s="1"/>
      <c r="E224" s="1" t="str">
        <f>_xlfn.REGEXREPLACE(C224, "(.*)\/$", "https://extremismterms.adl.org\1")</f>
        <v>https://extremismterms.adl.org/glossary/4chan</v>
      </c>
      <c r="F224" s="1" t="str" cm="1">
        <f t="array" ref="F224">_xlfn.LET(_xlpm.rowNum,MATCH(E224,'glossaryterms-export'!C:C,0),
IF(AND(NOT(ISBLANK(INDEX('glossaryterms-export'!H:H,_xlpm.rowNum))),ISBLANK(INDEX('glossaryterms-export'!I:I,_xlpm.rowNum))),"Ready to Fix",""))</f>
        <v/>
      </c>
      <c r="G224">
        <v>395</v>
      </c>
      <c r="H224">
        <v>355</v>
      </c>
      <c r="I224">
        <v>1.11267605633802</v>
      </c>
      <c r="J224">
        <v>11.938028169014</v>
      </c>
      <c r="K224">
        <v>981</v>
      </c>
    </row>
    <row r="225" spans="1:11" ht="61.5">
      <c r="A225">
        <v>224</v>
      </c>
      <c r="B225" s="16"/>
      <c r="C225" t="s">
        <v>276</v>
      </c>
      <c r="D225" s="1"/>
      <c r="E225" s="1" t="str">
        <f>_xlfn.REGEXREPLACE(C225, "(.*)\/$", "https://extremismterms.adl.org\1")</f>
        <v>https://extremismterms.adl.org/glossary/fashwave</v>
      </c>
      <c r="F225" s="1" t="str" cm="1">
        <f t="array" ref="F225">_xlfn.LET(_xlpm.rowNum,MATCH(E225,'glossaryterms-export'!C:C,0),
IF(AND(NOT(ISBLANK(INDEX('glossaryterms-export'!H:H,_xlpm.rowNum))),ISBLANK(INDEX('glossaryterms-export'!I:I,_xlpm.rowNum))),"Ready to Fix",""))</f>
        <v>Ready to Fix</v>
      </c>
      <c r="G225">
        <v>391</v>
      </c>
      <c r="H225">
        <v>329</v>
      </c>
      <c r="I225">
        <v>1.18844984802431</v>
      </c>
      <c r="J225">
        <v>14.018237082066801</v>
      </c>
      <c r="K225">
        <v>1327</v>
      </c>
    </row>
    <row r="226" spans="1:11" ht="61.5">
      <c r="A226">
        <v>225</v>
      </c>
      <c r="B226" s="14" t="s">
        <v>15</v>
      </c>
      <c r="C226" t="s">
        <v>277</v>
      </c>
      <c r="D226" s="1" t="s">
        <v>20</v>
      </c>
      <c r="E226" s="1" t="str">
        <f>_xlfn.REGEXREPLACE(C226, "(.*)\/$", "https://extremismterms.adl.org\1")</f>
        <v>https://extremismterms.adl.org/glossary/anons</v>
      </c>
      <c r="F226" s="1" t="str" cm="1">
        <f t="array" ref="F226">_xlfn.LET(_xlpm.rowNum,MATCH(E226,'glossaryterms-export'!C:C,0),
IF(AND(NOT(ISBLANK(INDEX('glossaryterms-export'!H:H,_xlpm.rowNum))),ISBLANK(INDEX('glossaryterms-export'!I:I,_xlpm.rowNum))),"Ready to Fix",""))</f>
        <v/>
      </c>
      <c r="G226">
        <v>388</v>
      </c>
      <c r="H226">
        <v>343</v>
      </c>
      <c r="I226">
        <v>1.1311953352769599</v>
      </c>
      <c r="J226">
        <v>20.865889212827899</v>
      </c>
      <c r="K226">
        <v>1463</v>
      </c>
    </row>
    <row r="227" spans="1:11" ht="61.5">
      <c r="A227">
        <v>226</v>
      </c>
      <c r="B227" s="16"/>
      <c r="C227" t="s">
        <v>278</v>
      </c>
      <c r="D227" s="1"/>
      <c r="E227" s="1" t="str">
        <f>_xlfn.REGEXREPLACE(C227, "(.*)\/$", "https://extremismterms.adl.org\1")</f>
        <v>https://extremismterms.adl.org/glossary/michael-hoffman-ii</v>
      </c>
      <c r="F227" s="1" t="str" cm="1">
        <f t="array" ref="F227">_xlfn.LET(_xlpm.rowNum,MATCH(E227,'glossaryterms-export'!C:C,0),
IF(AND(NOT(ISBLANK(INDEX('glossaryterms-export'!H:H,_xlpm.rowNum))),ISBLANK(INDEX('glossaryterms-export'!I:I,_xlpm.rowNum))),"Ready to Fix",""))</f>
        <v/>
      </c>
      <c r="G227">
        <v>384</v>
      </c>
      <c r="H227">
        <v>333</v>
      </c>
      <c r="I227">
        <v>1.15315315315315</v>
      </c>
      <c r="J227">
        <v>45.6336336336336</v>
      </c>
      <c r="K227">
        <v>1774</v>
      </c>
    </row>
    <row r="228" spans="1:11" ht="61.5">
      <c r="A228">
        <v>227</v>
      </c>
      <c r="B228" s="16"/>
      <c r="C228" t="s">
        <v>279</v>
      </c>
      <c r="D228" s="1"/>
      <c r="E228" s="1" t="str">
        <f>_xlfn.REGEXREPLACE(C228, "(.*)\/$", "https://extremismterms.adl.org\1")</f>
        <v>https://extremismterms.adl.org/glossary/payton-gendron</v>
      </c>
      <c r="F228" s="1" t="str" cm="1">
        <f t="array" ref="F228">_xlfn.LET(_xlpm.rowNum,MATCH(E228,'glossaryterms-export'!C:C,0),
IF(AND(NOT(ISBLANK(INDEX('glossaryterms-export'!H:H,_xlpm.rowNum))),ISBLANK(INDEX('glossaryterms-export'!I:I,_xlpm.rowNum))),"Ready to Fix",""))</f>
        <v>Ready to Fix</v>
      </c>
      <c r="G228">
        <v>383</v>
      </c>
      <c r="H228">
        <v>340</v>
      </c>
      <c r="I228">
        <v>1.1264705882352899</v>
      </c>
      <c r="J228">
        <v>17.535294117646998</v>
      </c>
      <c r="K228">
        <v>788</v>
      </c>
    </row>
    <row r="229" spans="1:11" ht="77.25">
      <c r="A229">
        <v>228</v>
      </c>
      <c r="B229" s="16"/>
      <c r="C229" t="s">
        <v>280</v>
      </c>
      <c r="D229" s="1"/>
      <c r="E229" s="1" t="str">
        <f>_xlfn.REGEXREPLACE(C229, "(.*)\/$", "https://extremismterms.adl.org\1")</f>
        <v>https://extremismterms.adl.org/glossary/okay-hand-gesture-symbol</v>
      </c>
      <c r="F229" s="1" t="str" cm="1">
        <f t="array" ref="F229">_xlfn.LET(_xlpm.rowNum,MATCH(E229,'glossaryterms-export'!C:C,0),
IF(AND(NOT(ISBLANK(INDEX('glossaryterms-export'!H:H,_xlpm.rowNum))),ISBLANK(INDEX('glossaryterms-export'!I:I,_xlpm.rowNum))),"Ready to Fix",""))</f>
        <v>Ready to Fix</v>
      </c>
      <c r="G229">
        <v>382</v>
      </c>
      <c r="H229">
        <v>337</v>
      </c>
      <c r="I229">
        <v>1.13353115727002</v>
      </c>
      <c r="J229">
        <v>22.9525222551928</v>
      </c>
      <c r="K229">
        <v>923</v>
      </c>
    </row>
    <row r="230" spans="1:11" ht="92.25">
      <c r="A230">
        <v>229</v>
      </c>
      <c r="B230" s="16"/>
      <c r="C230" t="s">
        <v>281</v>
      </c>
      <c r="D230" s="1"/>
      <c r="E230" s="1" t="str">
        <f>_xlfn.REGEXREPLACE(C230, "(.*)\/$", "https://extremismterms.adl.org\1")</f>
        <v>https://extremismterms.adl.org/glossary/america-first-political-action-conference-afpac</v>
      </c>
      <c r="F230" s="1" t="str" cm="1">
        <f t="array" ref="F230">_xlfn.LET(_xlpm.rowNum,MATCH(E230,'glossaryterms-export'!C:C,0),
IF(AND(NOT(ISBLANK(INDEX('glossaryterms-export'!H:H,_xlpm.rowNum))),ISBLANK(INDEX('glossaryterms-export'!I:I,_xlpm.rowNum))),"Ready to Fix",""))</f>
        <v>Ready to Fix</v>
      </c>
      <c r="G230">
        <v>380</v>
      </c>
      <c r="H230">
        <v>354</v>
      </c>
      <c r="I230">
        <v>1.0734463276836099</v>
      </c>
      <c r="J230">
        <v>12.9604519774011</v>
      </c>
      <c r="K230">
        <v>866</v>
      </c>
    </row>
    <row r="231" spans="1:11" ht="61.5">
      <c r="A231">
        <v>230</v>
      </c>
      <c r="B231" s="16"/>
      <c r="C231" t="s">
        <v>282</v>
      </c>
      <c r="D231" s="1"/>
      <c r="E231" s="1" t="str">
        <f>_xlfn.REGEXREPLACE(C231, "(.*)\/$", "https://extremismterms.adl.org\1")</f>
        <v>https://extremismterms.adl.org/glossary/fake-jews</v>
      </c>
      <c r="F231" s="1" t="str" cm="1">
        <f t="array" ref="F231">_xlfn.LET(_xlpm.rowNum,MATCH(E231,'glossaryterms-export'!C:C,0),
IF(AND(NOT(ISBLANK(INDEX('glossaryterms-export'!H:H,_xlpm.rowNum))),ISBLANK(INDEX('glossaryterms-export'!I:I,_xlpm.rowNum))),"Ready to Fix",""))</f>
        <v/>
      </c>
      <c r="G231">
        <v>378</v>
      </c>
      <c r="H231">
        <v>349</v>
      </c>
      <c r="I231">
        <v>1.08309455587392</v>
      </c>
      <c r="J231">
        <v>36.071633237822297</v>
      </c>
      <c r="K231">
        <v>1227</v>
      </c>
    </row>
    <row r="232" spans="1:11" ht="61.5">
      <c r="A232">
        <v>231</v>
      </c>
      <c r="B232" s="16"/>
      <c r="C232" t="s">
        <v>283</v>
      </c>
      <c r="D232" s="1"/>
      <c r="E232" s="1" t="str">
        <f>_xlfn.REGEXREPLACE(C232, "(.*)\/$", "https://extremismterms.adl.org\1")</f>
        <v>https://extremismterms.adl.org/glossary/adam-green</v>
      </c>
      <c r="F232" s="1" t="str" cm="1">
        <f t="array" ref="F232">_xlfn.LET(_xlpm.rowNum,MATCH(E232,'glossaryterms-export'!C:C,0),
IF(AND(NOT(ISBLANK(INDEX('glossaryterms-export'!H:H,_xlpm.rowNum))),ISBLANK(INDEX('glossaryterms-export'!I:I,_xlpm.rowNum))),"Ready to Fix",""))</f>
        <v>Ready to Fix</v>
      </c>
      <c r="G232">
        <v>376</v>
      </c>
      <c r="H232">
        <v>343</v>
      </c>
      <c r="I232">
        <v>1.09620991253644</v>
      </c>
      <c r="J232">
        <v>19.125364431486801</v>
      </c>
      <c r="K232">
        <v>1354</v>
      </c>
    </row>
    <row r="233" spans="1:11" ht="77.25">
      <c r="A233">
        <v>232</v>
      </c>
      <c r="B233" s="16"/>
      <c r="C233" t="s">
        <v>284</v>
      </c>
      <c r="D233" s="1"/>
      <c r="E233" s="1" t="str">
        <f>_xlfn.REGEXREPLACE(C233, "(.*)\/$", "https://extremismterms.adl.org\1")</f>
        <v>https://extremismterms.adl.org/glossary/edomedomitesesau</v>
      </c>
      <c r="F233" s="1" t="str" cm="1">
        <f t="array" ref="F233">_xlfn.LET(_xlpm.rowNum,MATCH(E233,'glossaryterms-export'!C:C,0),
IF(AND(NOT(ISBLANK(INDEX('glossaryterms-export'!H:H,_xlpm.rowNum))),ISBLANK(INDEX('glossaryterms-export'!I:I,_xlpm.rowNum))),"Ready to Fix",""))</f>
        <v>Ready to Fix</v>
      </c>
      <c r="G233">
        <v>374</v>
      </c>
      <c r="H233">
        <v>337</v>
      </c>
      <c r="I233">
        <v>1.1097922848664601</v>
      </c>
      <c r="J233">
        <v>40.6083086053412</v>
      </c>
      <c r="K233">
        <v>1245</v>
      </c>
    </row>
    <row r="234" spans="1:11" ht="92.25">
      <c r="A234">
        <v>233</v>
      </c>
      <c r="B234" s="16"/>
      <c r="C234" t="s">
        <v>285</v>
      </c>
      <c r="D234" s="1"/>
      <c r="E234" s="1" t="str">
        <f>_xlfn.REGEXREPLACE(C234, "(.*)\/$", "https://extremismterms.adl.org\1")</f>
        <v>https://extremismterms.adl.org/glossary/george-soros-conspiracy-theories</v>
      </c>
      <c r="F234" s="1" t="str" cm="1">
        <f t="array" ref="F234">_xlfn.LET(_xlpm.rowNum,MATCH(E234,'glossaryterms-export'!C:C,0),
IF(AND(NOT(ISBLANK(INDEX('glossaryterms-export'!H:H,_xlpm.rowNum))),ISBLANK(INDEX('glossaryterms-export'!I:I,_xlpm.rowNum))),"Ready to Fix",""))</f>
        <v>Ready to Fix</v>
      </c>
      <c r="G234">
        <v>374</v>
      </c>
      <c r="H234">
        <v>351</v>
      </c>
      <c r="I234">
        <v>1.0655270655270599</v>
      </c>
      <c r="J234">
        <v>22.991452991452899</v>
      </c>
      <c r="K234">
        <v>1062</v>
      </c>
    </row>
    <row r="235" spans="1:11" ht="61.5">
      <c r="A235">
        <v>234</v>
      </c>
      <c r="B235" s="16"/>
      <c r="C235" t="s">
        <v>286</v>
      </c>
      <c r="D235" s="1"/>
      <c r="E235" s="1" t="str">
        <f>_xlfn.REGEXREPLACE(C235, "(.*)\/$", "https://extremismterms.adl.org\1")</f>
        <v>https://extremismterms.adl.org/glossary/jack-posobiec</v>
      </c>
      <c r="F235" s="1" t="str" cm="1">
        <f t="array" ref="F235">_xlfn.LET(_xlpm.rowNum,MATCH(E235,'glossaryterms-export'!C:C,0),
IF(AND(NOT(ISBLANK(INDEX('glossaryterms-export'!H:H,_xlpm.rowNum))),ISBLANK(INDEX('glossaryterms-export'!I:I,_xlpm.rowNum))),"Ready to Fix",""))</f>
        <v/>
      </c>
      <c r="G235">
        <v>372</v>
      </c>
      <c r="H235">
        <v>330</v>
      </c>
      <c r="I235">
        <v>1.1272727272727201</v>
      </c>
      <c r="J235">
        <v>16.484848484848399</v>
      </c>
      <c r="K235">
        <v>1335</v>
      </c>
    </row>
    <row r="236" spans="1:11" ht="77.25">
      <c r="A236">
        <v>235</v>
      </c>
      <c r="B236" s="16"/>
      <c r="C236" t="s">
        <v>287</v>
      </c>
      <c r="D236" s="1"/>
      <c r="E236" s="1" t="str">
        <f>_xlfn.REGEXREPLACE(C236, "(.*)\/$", "https://extremismterms.adl.org\1")</f>
        <v>https://extremismterms.adl.org/glossary/dixieland-nationalists-club</v>
      </c>
      <c r="F236" s="1" t="str" cm="1">
        <f t="array" ref="F236">_xlfn.LET(_xlpm.rowNum,MATCH(E236,'glossaryterms-export'!C:C,0),
IF(AND(NOT(ISBLANK(INDEX('glossaryterms-export'!H:H,_xlpm.rowNum))),ISBLANK(INDEX('glossaryterms-export'!I:I,_xlpm.rowNum))),"Ready to Fix",""))</f>
        <v>Ready to Fix</v>
      </c>
      <c r="G236">
        <v>368</v>
      </c>
      <c r="H236">
        <v>317</v>
      </c>
      <c r="I236">
        <v>1.1608832807570899</v>
      </c>
      <c r="J236">
        <v>18.9463722397476</v>
      </c>
      <c r="K236">
        <v>1117</v>
      </c>
    </row>
    <row r="237" spans="1:11" ht="77.25">
      <c r="A237">
        <v>236</v>
      </c>
      <c r="B237" s="16"/>
      <c r="C237" t="s">
        <v>288</v>
      </c>
      <c r="D237" s="1"/>
      <c r="E237" s="1" t="str">
        <f>_xlfn.REGEXREPLACE(C237, "(.*)\/$", "https://extremismterms.adl.org\1")</f>
        <v>https://extremismterms.adl.org/glossary/peoples-initiative-new-england</v>
      </c>
      <c r="F237" s="1" t="str" cm="1">
        <f t="array" ref="F237">_xlfn.LET(_xlpm.rowNum,MATCH(E237,'glossaryterms-export'!C:C,0),
IF(AND(NOT(ISBLANK(INDEX('glossaryterms-export'!H:H,_xlpm.rowNum))),ISBLANK(INDEX('glossaryterms-export'!I:I,_xlpm.rowNum))),"Ready to Fix",""))</f>
        <v>Ready to Fix</v>
      </c>
      <c r="G237">
        <v>366</v>
      </c>
      <c r="H237">
        <v>309</v>
      </c>
      <c r="I237">
        <v>1.1844660194174701</v>
      </c>
      <c r="J237">
        <v>21.200647249190901</v>
      </c>
      <c r="K237">
        <v>1156</v>
      </c>
    </row>
    <row r="238" spans="1:11" ht="61.5">
      <c r="A238">
        <v>237</v>
      </c>
      <c r="B238" s="16"/>
      <c r="C238" t="s">
        <v>289</v>
      </c>
      <c r="D238" s="1"/>
      <c r="E238" s="1" t="str">
        <f>_xlfn.REGEXREPLACE(C238, "(.*)\/$", "https://extremismterms.adl.org\1")</f>
        <v>https://extremismterms.adl.org/glossary/denis-kapustin</v>
      </c>
      <c r="F238" s="1" t="str" cm="1">
        <f t="array" ref="F238">_xlfn.LET(_xlpm.rowNum,MATCH(E238,'glossaryterms-export'!C:C,0),
IF(AND(NOT(ISBLANK(INDEX('glossaryterms-export'!H:H,_xlpm.rowNum))),ISBLANK(INDEX('glossaryterms-export'!I:I,_xlpm.rowNum))),"Ready to Fix",""))</f>
        <v>Ready to Fix</v>
      </c>
      <c r="G238">
        <v>361</v>
      </c>
      <c r="H238">
        <v>318</v>
      </c>
      <c r="I238">
        <v>1.1352201257861601</v>
      </c>
      <c r="J238">
        <v>19.009433962264101</v>
      </c>
      <c r="K238">
        <v>1259</v>
      </c>
    </row>
    <row r="239" spans="1:11" ht="77.25">
      <c r="A239">
        <v>238</v>
      </c>
      <c r="B239" s="16"/>
      <c r="C239" t="s">
        <v>290</v>
      </c>
      <c r="D239" s="1"/>
      <c r="E239" s="1" t="str">
        <f>_xlfn.REGEXREPLACE(C239, "(.*)\/$", "https://extremismterms.adl.org\1")</f>
        <v>https://extremismterms.adl.org/glossary/aryan-freedom-network-afn</v>
      </c>
      <c r="F239" s="1" t="str" cm="1">
        <f t="array" ref="F239">_xlfn.LET(_xlpm.rowNum,MATCH(E239,'glossaryterms-export'!C:C,0),
IF(AND(NOT(ISBLANK(INDEX('glossaryterms-export'!H:H,_xlpm.rowNum))),ISBLANK(INDEX('glossaryterms-export'!I:I,_xlpm.rowNum))),"Ready to Fix",""))</f>
        <v>Ready to Fix</v>
      </c>
      <c r="G239">
        <v>359</v>
      </c>
      <c r="H239">
        <v>304</v>
      </c>
      <c r="I239">
        <v>1.1809210526315701</v>
      </c>
      <c r="J239">
        <v>22.690789473684202</v>
      </c>
      <c r="K239">
        <v>1301</v>
      </c>
    </row>
    <row r="240" spans="1:11" ht="77.25">
      <c r="A240">
        <v>239</v>
      </c>
      <c r="B240" s="16"/>
      <c r="C240" t="s">
        <v>291</v>
      </c>
      <c r="D240" s="1"/>
      <c r="E240" s="1" t="str">
        <f>_xlfn.REGEXREPLACE(C240, "(.*)\/$", "https://extremismterms.adl.org\1")</f>
        <v>https://extremismterms.adl.org/glossary/palestinian-youth-movement-pym</v>
      </c>
      <c r="F240" s="1" t="str" cm="1">
        <f t="array" ref="F240">_xlfn.LET(_xlpm.rowNum,MATCH(E240,'glossaryterms-export'!C:C,0),
IF(AND(NOT(ISBLANK(INDEX('glossaryterms-export'!H:H,_xlpm.rowNum))),ISBLANK(INDEX('glossaryterms-export'!I:I,_xlpm.rowNum))),"Ready to Fix",""))</f>
        <v>Ready to Fix</v>
      </c>
      <c r="G240">
        <v>358</v>
      </c>
      <c r="H240">
        <v>306</v>
      </c>
      <c r="I240">
        <v>1.1699346405228701</v>
      </c>
      <c r="J240">
        <v>19.486928104575099</v>
      </c>
      <c r="K240">
        <v>1209</v>
      </c>
    </row>
    <row r="241" spans="1:11" ht="61.5">
      <c r="A241">
        <v>240</v>
      </c>
      <c r="B241" s="16"/>
      <c r="C241" t="s">
        <v>292</v>
      </c>
      <c r="D241" s="1"/>
      <c r="E241" s="1" t="str">
        <f>_xlfn.REGEXREPLACE(C241, "(.*)\/$", "https://extremismterms.adl.org\1")</f>
        <v>https://extremismterms.adl.org/glossary/firm-22</v>
      </c>
      <c r="F241" s="1" t="str" cm="1">
        <f t="array" ref="F241">_xlfn.LET(_xlpm.rowNum,MATCH(E241,'glossaryterms-export'!C:C,0),
IF(AND(NOT(ISBLANK(INDEX('glossaryterms-export'!H:H,_xlpm.rowNum))),ISBLANK(INDEX('glossaryterms-export'!I:I,_xlpm.rowNum))),"Ready to Fix",""))</f>
        <v>Ready to Fix</v>
      </c>
      <c r="G241">
        <v>357</v>
      </c>
      <c r="H241">
        <v>331</v>
      </c>
      <c r="I241">
        <v>1.07854984894259</v>
      </c>
      <c r="J241">
        <v>8.3262839879153994</v>
      </c>
      <c r="K241">
        <v>1039</v>
      </c>
    </row>
    <row r="242" spans="1:11" ht="61.5">
      <c r="A242">
        <v>241</v>
      </c>
      <c r="B242" s="16"/>
      <c r="C242" t="s">
        <v>293</v>
      </c>
      <c r="D242" s="1"/>
      <c r="E242" s="1" t="str">
        <f>_xlfn.REGEXREPLACE(C242, "(.*)\/$", "https://extremismterms.adl.org\1")</f>
        <v>https://extremismterms.adl.org/glossary/molon-labe</v>
      </c>
      <c r="F242" s="1" t="str" cm="1">
        <f t="array" ref="F242">_xlfn.LET(_xlpm.rowNum,MATCH(E242,'glossaryterms-export'!C:C,0),
IF(AND(NOT(ISBLANK(INDEX('glossaryterms-export'!H:H,_xlpm.rowNum))),ISBLANK(INDEX('glossaryterms-export'!I:I,_xlpm.rowNum))),"Ready to Fix",""))</f>
        <v/>
      </c>
      <c r="G242">
        <v>357</v>
      </c>
      <c r="H242">
        <v>289</v>
      </c>
      <c r="I242">
        <v>1.23529411764705</v>
      </c>
      <c r="J242">
        <v>20.515570934256001</v>
      </c>
      <c r="K242">
        <v>1256</v>
      </c>
    </row>
    <row r="243" spans="1:11" ht="77.25">
      <c r="A243">
        <v>242</v>
      </c>
      <c r="B243" s="16"/>
      <c r="C243" t="s">
        <v>294</v>
      </c>
      <c r="D243" s="1"/>
      <c r="E243" s="1" t="str">
        <f>_xlfn.REGEXREPLACE(C243, "(.*)\/$", "https://extremismterms.adl.org\1")</f>
        <v>https://extremismterms.adl.org/glossary/national-socialist-front-nsf</v>
      </c>
      <c r="F243" s="1" t="str" cm="1">
        <f t="array" ref="F243">_xlfn.LET(_xlpm.rowNum,MATCH(E243,'glossaryterms-export'!C:C,0),
IF(AND(NOT(ISBLANK(INDEX('glossaryterms-export'!H:H,_xlpm.rowNum))),ISBLANK(INDEX('glossaryterms-export'!I:I,_xlpm.rowNum))),"Ready to Fix",""))</f>
        <v>Ready to Fix</v>
      </c>
      <c r="G243">
        <v>357</v>
      </c>
      <c r="H243">
        <v>321</v>
      </c>
      <c r="I243">
        <v>1.1121495327102799</v>
      </c>
      <c r="J243">
        <v>13.5607476635514</v>
      </c>
      <c r="K243">
        <v>1110</v>
      </c>
    </row>
    <row r="244" spans="1:11" ht="61.5">
      <c r="A244">
        <v>243</v>
      </c>
      <c r="B244" s="16"/>
      <c r="C244" t="s">
        <v>295</v>
      </c>
      <c r="D244" s="1"/>
      <c r="E244" s="1" t="str">
        <f>_xlfn.REGEXREPLACE(C244, "(.*)\/$", "https://extremismterms.adl.org\1")</f>
        <v>https://extremismterms.adl.org/glossary/zionist-entity</v>
      </c>
      <c r="F244" s="1" t="str" cm="1">
        <f t="array" ref="F244">_xlfn.LET(_xlpm.rowNum,MATCH(E244,'glossaryterms-export'!C:C,0),
IF(AND(NOT(ISBLANK(INDEX('glossaryterms-export'!H:H,_xlpm.rowNum))),ISBLANK(INDEX('glossaryterms-export'!I:I,_xlpm.rowNum))),"Ready to Fix",""))</f>
        <v/>
      </c>
      <c r="G244">
        <v>354</v>
      </c>
      <c r="H244">
        <v>319</v>
      </c>
      <c r="I244">
        <v>1.10971786833855</v>
      </c>
      <c r="J244">
        <v>28.934169278996801</v>
      </c>
      <c r="K244">
        <v>1640</v>
      </c>
    </row>
    <row r="245" spans="1:11" ht="61.5">
      <c r="A245">
        <v>244</v>
      </c>
      <c r="B245" s="11" t="s">
        <v>296</v>
      </c>
      <c r="C245" t="s">
        <v>297</v>
      </c>
      <c r="D245" s="1" t="s">
        <v>20</v>
      </c>
      <c r="E245" s="1" t="str">
        <f>_xlfn.REGEXREPLACE(C245, "(.*)\/$", "https://extremismterms.adl.org\1")</f>
        <v>https://extremismterms.adl.org/glossary/hamas</v>
      </c>
      <c r="F245" s="1" t="str" cm="1">
        <f t="array" ref="F245">_xlfn.LET(_xlpm.rowNum,MATCH(E245,'glossaryterms-export'!C:C,0),
IF(AND(NOT(ISBLANK(INDEX('glossaryterms-export'!H:H,_xlpm.rowNum))),ISBLANK(INDEX('glossaryterms-export'!I:I,_xlpm.rowNum))),"Ready to Fix",""))</f>
        <v>Ready to Fix</v>
      </c>
      <c r="G245">
        <v>353</v>
      </c>
      <c r="H245">
        <v>320</v>
      </c>
      <c r="I245">
        <v>1.1031249999999999</v>
      </c>
      <c r="J245">
        <v>22.409375000000001</v>
      </c>
      <c r="K245">
        <v>1367</v>
      </c>
    </row>
    <row r="246" spans="1:11" ht="61.5">
      <c r="A246">
        <v>245</v>
      </c>
      <c r="B246" s="16"/>
      <c r="C246" t="s">
        <v>298</v>
      </c>
      <c r="D246" s="1"/>
      <c r="E246" s="1" t="str">
        <f>_xlfn.REGEXREPLACE(C246, "(.*)\/$", "https://extremismterms.adl.org\1")</f>
        <v>https://extremismterms.adl.org/glossary/christopher-bollyn</v>
      </c>
      <c r="F246" s="1" t="str" cm="1">
        <f t="array" ref="F246">_xlfn.LET(_xlpm.rowNum,MATCH(E246,'glossaryterms-export'!C:C,0),
IF(AND(NOT(ISBLANK(INDEX('glossaryterms-export'!H:H,_xlpm.rowNum))),ISBLANK(INDEX('glossaryterms-export'!I:I,_xlpm.rowNum))),"Ready to Fix",""))</f>
        <v>Ready to Fix</v>
      </c>
      <c r="G246">
        <v>348</v>
      </c>
      <c r="H246">
        <v>278</v>
      </c>
      <c r="I246">
        <v>1.25179856115107</v>
      </c>
      <c r="J246">
        <v>15.3129496402877</v>
      </c>
      <c r="K246">
        <v>835</v>
      </c>
    </row>
    <row r="247" spans="1:11" ht="61.5">
      <c r="A247">
        <v>246</v>
      </c>
      <c r="B247" s="16"/>
      <c r="C247" t="s">
        <v>299</v>
      </c>
      <c r="D247" s="1"/>
      <c r="E247" s="1" t="str">
        <f>_xlfn.REGEXREPLACE(C247, "(.*)\/$", "https://extremismterms.adl.org\1")</f>
        <v>https://extremismterms.adl.org/glossary/marcus-follin</v>
      </c>
      <c r="F247" s="1" t="str" cm="1">
        <f t="array" ref="F247">_xlfn.LET(_xlpm.rowNum,MATCH(E247,'glossaryterms-export'!C:C,0),
IF(AND(NOT(ISBLANK(INDEX('glossaryterms-export'!H:H,_xlpm.rowNum))),ISBLANK(INDEX('glossaryterms-export'!I:I,_xlpm.rowNum))),"Ready to Fix",""))</f>
        <v>Ready to Fix</v>
      </c>
      <c r="G247">
        <v>344</v>
      </c>
      <c r="H247">
        <v>304</v>
      </c>
      <c r="I247">
        <v>1.1315789473684199</v>
      </c>
      <c r="J247">
        <v>12.365131578947301</v>
      </c>
      <c r="K247">
        <v>1366</v>
      </c>
    </row>
    <row r="248" spans="1:11" ht="77.25">
      <c r="A248">
        <v>247</v>
      </c>
      <c r="B248" s="16"/>
      <c r="C248" t="s">
        <v>300</v>
      </c>
      <c r="D248" s="1"/>
      <c r="E248" s="1" t="str">
        <f>_xlfn.REGEXREPLACE(C248, "(.*)\/$", "https://extremismterms.adl.org\1")</f>
        <v>https://extremismterms.adl.org/glossary/charleston-church-massacre</v>
      </c>
      <c r="F248" s="1" t="str" cm="1">
        <f t="array" ref="F248">_xlfn.LET(_xlpm.rowNum,MATCH(E248,'glossaryterms-export'!C:C,0),
IF(AND(NOT(ISBLANK(INDEX('glossaryterms-export'!H:H,_xlpm.rowNum))),ISBLANK(INDEX('glossaryterms-export'!I:I,_xlpm.rowNum))),"Ready to Fix",""))</f>
        <v>Ready to Fix</v>
      </c>
      <c r="G248">
        <v>343</v>
      </c>
      <c r="H248">
        <v>315</v>
      </c>
      <c r="I248">
        <v>1.0888888888888799</v>
      </c>
      <c r="J248">
        <v>14.244444444444399</v>
      </c>
      <c r="K248">
        <v>737</v>
      </c>
    </row>
    <row r="249" spans="1:11" ht="77.25">
      <c r="A249">
        <v>248</v>
      </c>
      <c r="B249" s="16"/>
      <c r="C249" t="s">
        <v>301</v>
      </c>
      <c r="D249" s="1"/>
      <c r="E249" s="1" t="str">
        <f>_xlfn.REGEXREPLACE(C249, "(.*)\/$", "https://extremismterms.adl.org\1")</f>
        <v>https://extremismterms.adl.org/glossary/revisionisthistoryorg</v>
      </c>
      <c r="F249" s="1" t="str" cm="1">
        <f t="array" ref="F249">_xlfn.LET(_xlpm.rowNum,MATCH(E249,'glossaryterms-export'!C:C,0),
IF(AND(NOT(ISBLANK(INDEX('glossaryterms-export'!H:H,_xlpm.rowNum))),ISBLANK(INDEX('glossaryterms-export'!I:I,_xlpm.rowNum))),"Ready to Fix",""))</f>
        <v/>
      </c>
      <c r="G249">
        <v>342</v>
      </c>
      <c r="H249">
        <v>287</v>
      </c>
      <c r="I249">
        <v>1.19163763066202</v>
      </c>
      <c r="J249">
        <v>17.595818815331</v>
      </c>
      <c r="K249">
        <v>1317</v>
      </c>
    </row>
    <row r="250" spans="1:11" ht="61.5">
      <c r="A250">
        <v>249</v>
      </c>
      <c r="B250" s="16"/>
      <c r="C250" t="s">
        <v>302</v>
      </c>
      <c r="D250" s="1"/>
      <c r="E250" s="1" t="str">
        <f>_xlfn.REGEXREPLACE(C250, "(.*)\/$", "https://extremismterms.adl.org\1")</f>
        <v>https://extremismterms.adl.org/glossary/william-finck</v>
      </c>
      <c r="F250" s="1" t="str" cm="1">
        <f t="array" ref="F250">_xlfn.LET(_xlpm.rowNum,MATCH(E250,'glossaryterms-export'!C:C,0),
IF(AND(NOT(ISBLANK(INDEX('glossaryterms-export'!H:H,_xlpm.rowNum))),ISBLANK(INDEX('glossaryterms-export'!I:I,_xlpm.rowNum))),"Ready to Fix",""))</f>
        <v/>
      </c>
      <c r="G250">
        <v>342</v>
      </c>
      <c r="H250">
        <v>300</v>
      </c>
      <c r="I250">
        <v>1.1399999999999999</v>
      </c>
      <c r="J250">
        <v>22.233333333333299</v>
      </c>
      <c r="K250">
        <v>1360</v>
      </c>
    </row>
    <row r="251" spans="1:11" ht="61.5">
      <c r="A251">
        <v>250</v>
      </c>
      <c r="B251" s="16"/>
      <c r="C251" t="s">
        <v>303</v>
      </c>
      <c r="D251" s="1"/>
      <c r="E251" s="1" t="str">
        <f>_xlfn.REGEXREPLACE(C251, "(.*)\/$", "https://extremismterms.adl.org\1")</f>
        <v>https://extremismterms.adl.org/glossary/edgar-welch</v>
      </c>
      <c r="F251" s="1" t="str" cm="1">
        <f t="array" ref="F251">_xlfn.LET(_xlpm.rowNum,MATCH(E251,'glossaryterms-export'!C:C,0),
IF(AND(NOT(ISBLANK(INDEX('glossaryterms-export'!H:H,_xlpm.rowNum))),ISBLANK(INDEX('glossaryterms-export'!I:I,_xlpm.rowNum))),"Ready to Fix",""))</f>
        <v/>
      </c>
      <c r="G251">
        <v>341</v>
      </c>
      <c r="H251">
        <v>315</v>
      </c>
      <c r="I251">
        <v>1.08253968253968</v>
      </c>
      <c r="J251">
        <v>13.0253968253968</v>
      </c>
      <c r="K251">
        <v>1342</v>
      </c>
    </row>
    <row r="252" spans="1:11" ht="61.5">
      <c r="A252">
        <v>251</v>
      </c>
      <c r="B252" s="14" t="s">
        <v>15</v>
      </c>
      <c r="C252" t="s">
        <v>304</v>
      </c>
      <c r="D252" s="1" t="s">
        <v>20</v>
      </c>
      <c r="E252" s="1" t="str">
        <f>_xlfn.REGEXREPLACE(C252, "(.*)\/$", "https://extremismterms.adl.org\1")</f>
        <v>https://extremismterms.adl.org/glossary/q-proofs</v>
      </c>
      <c r="F252" s="1" t="str" cm="1">
        <f t="array" ref="F252">_xlfn.LET(_xlpm.rowNum,MATCH(E252,'glossaryterms-export'!C:C,0),
IF(AND(NOT(ISBLANK(INDEX('glossaryterms-export'!H:H,_xlpm.rowNum))),ISBLANK(INDEX('glossaryterms-export'!I:I,_xlpm.rowNum))),"Ready to Fix",""))</f>
        <v/>
      </c>
      <c r="G252">
        <v>338</v>
      </c>
      <c r="H252">
        <v>297</v>
      </c>
      <c r="I252">
        <v>1.13804713804713</v>
      </c>
      <c r="J252">
        <v>19.872053872053801</v>
      </c>
      <c r="K252">
        <v>1409</v>
      </c>
    </row>
    <row r="253" spans="1:11" ht="61.5">
      <c r="A253">
        <v>252</v>
      </c>
      <c r="B253" s="16"/>
      <c r="C253" t="s">
        <v>305</v>
      </c>
      <c r="D253" s="1"/>
      <c r="E253" s="1" t="str">
        <f>_xlfn.REGEXREPLACE(C253, "(.*)\/$", "https://extremismterms.adl.org\1")</f>
        <v>https://extremismterms.adl.org/glossary/digital-soldier-oath</v>
      </c>
      <c r="F253" s="1" t="str" cm="1">
        <f t="array" ref="F253">_xlfn.LET(_xlpm.rowNum,MATCH(E253,'glossaryterms-export'!C:C,0),
IF(AND(NOT(ISBLANK(INDEX('glossaryterms-export'!H:H,_xlpm.rowNum))),ISBLANK(INDEX('glossaryterms-export'!I:I,_xlpm.rowNum))),"Ready to Fix",""))</f>
        <v/>
      </c>
      <c r="G253">
        <v>337</v>
      </c>
      <c r="H253">
        <v>292</v>
      </c>
      <c r="I253">
        <v>1.15410958904109</v>
      </c>
      <c r="J253">
        <v>22.678082191780799</v>
      </c>
      <c r="K253">
        <v>1312</v>
      </c>
    </row>
    <row r="254" spans="1:11" ht="61.5">
      <c r="A254">
        <v>253</v>
      </c>
      <c r="B254" s="16"/>
      <c r="C254" t="s">
        <v>306</v>
      </c>
      <c r="D254" s="1"/>
      <c r="E254" s="1" t="str">
        <f>_xlfn.REGEXREPLACE(C254, "(.*)\/$", "https://extremismterms.adl.org\1")</f>
        <v>https://extremismterms.adl.org/glossary/1488</v>
      </c>
      <c r="F254" s="1" t="str" cm="1">
        <f t="array" ref="F254">_xlfn.LET(_xlpm.rowNum,MATCH(E254,'glossaryterms-export'!C:C,0),
IF(AND(NOT(ISBLANK(INDEX('glossaryterms-export'!H:H,_xlpm.rowNum))),ISBLANK(INDEX('glossaryterms-export'!I:I,_xlpm.rowNum))),"Ready to Fix",""))</f>
        <v>Ready to Fix</v>
      </c>
      <c r="G254">
        <v>336</v>
      </c>
      <c r="H254">
        <v>309</v>
      </c>
      <c r="I254">
        <v>1.0873786407766901</v>
      </c>
      <c r="J254">
        <v>13.9967637540453</v>
      </c>
      <c r="K254">
        <v>902</v>
      </c>
    </row>
    <row r="255" spans="1:11" ht="61.5">
      <c r="A255">
        <v>254</v>
      </c>
      <c r="B255" s="16"/>
      <c r="C255" t="s">
        <v>307</v>
      </c>
      <c r="D255" s="1"/>
      <c r="E255" s="1" t="str">
        <f>_xlfn.REGEXREPLACE(C255, "(.*)\/$", "https://extremismterms.adl.org\1")</f>
        <v>https://extremismterms.adl.org/glossary/dave-gahary</v>
      </c>
      <c r="F255" s="1" t="str" cm="1">
        <f t="array" ref="F255">_xlfn.LET(_xlpm.rowNum,MATCH(E255,'glossaryterms-export'!C:C,0),
IF(AND(NOT(ISBLANK(INDEX('glossaryterms-export'!H:H,_xlpm.rowNum))),ISBLANK(INDEX('glossaryterms-export'!I:I,_xlpm.rowNum))),"Ready to Fix",""))</f>
        <v>Ready to Fix</v>
      </c>
      <c r="G255">
        <v>334</v>
      </c>
      <c r="H255">
        <v>267</v>
      </c>
      <c r="I255">
        <v>1.25093632958801</v>
      </c>
      <c r="J255">
        <v>52.6142322097378</v>
      </c>
      <c r="K255">
        <v>1780</v>
      </c>
    </row>
    <row r="256" spans="1:11" ht="61.5">
      <c r="A256">
        <v>255</v>
      </c>
      <c r="B256" s="16"/>
      <c r="C256" t="s">
        <v>308</v>
      </c>
      <c r="D256" s="1"/>
      <c r="E256" s="1" t="str">
        <f>_xlfn.REGEXREPLACE(C256, "(.*)\/$", "https://extremismterms.adl.org\1")</f>
        <v>https://extremismterms.adl.org/glossary/5-words</v>
      </c>
      <c r="F256" s="1" t="str" cm="1">
        <f t="array" ref="F256">_xlfn.LET(_xlpm.rowNum,MATCH(E256,'glossaryterms-export'!C:C,0),
IF(AND(NOT(ISBLANK(INDEX('glossaryterms-export'!H:H,_xlpm.rowNum))),ISBLANK(INDEX('glossaryterms-export'!I:I,_xlpm.rowNum))),"Ready to Fix",""))</f>
        <v>Ready to Fix</v>
      </c>
      <c r="G256">
        <v>330</v>
      </c>
      <c r="H256">
        <v>316</v>
      </c>
      <c r="I256">
        <v>1.04430379746835</v>
      </c>
      <c r="J256">
        <v>10.430379746835399</v>
      </c>
      <c r="K256">
        <v>749</v>
      </c>
    </row>
    <row r="257" spans="1:11" ht="77.25">
      <c r="A257">
        <v>256</v>
      </c>
      <c r="B257" s="16"/>
      <c r="C257" t="s">
        <v>309</v>
      </c>
      <c r="D257" s="1"/>
      <c r="E257" s="1" t="str">
        <f>_xlfn.REGEXREPLACE(C257, "(.*)\/$", "https://extremismterms.adl.org\1")</f>
        <v>https://extremismterms.adl.org/glossary/american-nazi-party</v>
      </c>
      <c r="F257" s="1" t="str" cm="1">
        <f t="array" ref="F257">_xlfn.LET(_xlpm.rowNum,MATCH(E257,'glossaryterms-export'!C:C,0),
IF(AND(NOT(ISBLANK(INDEX('glossaryterms-export'!H:H,_xlpm.rowNum))),ISBLANK(INDEX('glossaryterms-export'!I:I,_xlpm.rowNum))),"Ready to Fix",""))</f>
        <v/>
      </c>
      <c r="G257">
        <v>330</v>
      </c>
      <c r="H257">
        <v>287</v>
      </c>
      <c r="I257">
        <v>1.14982578397212</v>
      </c>
      <c r="J257">
        <v>15.902439024390199</v>
      </c>
      <c r="K257">
        <v>829</v>
      </c>
    </row>
    <row r="258" spans="1:11" ht="77.25">
      <c r="A258">
        <v>257</v>
      </c>
      <c r="B258" s="11" t="s">
        <v>124</v>
      </c>
      <c r="C258" t="s">
        <v>310</v>
      </c>
      <c r="D258" s="1" t="s">
        <v>20</v>
      </c>
      <c r="E258" s="1" t="str">
        <f>_xlfn.REGEXREPLACE(C258, "(.*)\/$", "https://extremismterms.adl.org\1")</f>
        <v>https://extremismterms.adl.org/glossary/moorish-sovereign-citizens</v>
      </c>
      <c r="F258" s="1" t="str" cm="1">
        <f t="array" ref="F258">_xlfn.LET(_xlpm.rowNum,MATCH(E258,'glossaryterms-export'!C:C,0),
IF(AND(NOT(ISBLANK(INDEX('glossaryterms-export'!H:H,_xlpm.rowNum))),ISBLANK(INDEX('glossaryterms-export'!I:I,_xlpm.rowNum))),"Ready to Fix",""))</f>
        <v/>
      </c>
      <c r="G258">
        <v>329</v>
      </c>
      <c r="H258">
        <v>285</v>
      </c>
      <c r="I258">
        <v>1.1543859649122801</v>
      </c>
      <c r="J258">
        <v>36.607017543859598</v>
      </c>
      <c r="K258">
        <v>1354</v>
      </c>
    </row>
    <row r="259" spans="1:11" ht="77.25">
      <c r="A259">
        <v>258</v>
      </c>
      <c r="B259" s="16"/>
      <c r="C259" t="s">
        <v>311</v>
      </c>
      <c r="D259" s="1"/>
      <c r="E259" s="1" t="str">
        <f>_xlfn.REGEXREPLACE(C259, "(.*)\/$", "https://extremismterms.adl.org\1")</f>
        <v>https://extremismterms.adl.org/glossary/asatru-folk-assembly-afa</v>
      </c>
      <c r="F259" s="1" t="str" cm="1">
        <f t="array" ref="F259">_xlfn.LET(_xlpm.rowNum,MATCH(E259,'glossaryterms-export'!C:C,0),
IF(AND(NOT(ISBLANK(INDEX('glossaryterms-export'!H:H,_xlpm.rowNum))),ISBLANK(INDEX('glossaryterms-export'!I:I,_xlpm.rowNum))),"Ready to Fix",""))</f>
        <v>Ready to Fix</v>
      </c>
      <c r="G259">
        <v>326</v>
      </c>
      <c r="H259">
        <v>288</v>
      </c>
      <c r="I259">
        <v>1.13194444444444</v>
      </c>
      <c r="J259">
        <v>24.1041666666666</v>
      </c>
      <c r="K259">
        <v>1112</v>
      </c>
    </row>
    <row r="260" spans="1:11" ht="61.5">
      <c r="A260">
        <v>259</v>
      </c>
      <c r="B260" s="16" t="s">
        <v>312</v>
      </c>
      <c r="C260" t="s">
        <v>313</v>
      </c>
      <c r="D260" s="1" t="s">
        <v>193</v>
      </c>
      <c r="E260" s="1" t="str">
        <f>_xlfn.REGEXREPLACE(C260, "(.*)\/$", "https://extremismterms.adl.org\1")</f>
        <v>https://extremismterms.adl.org/glossary/christogenea</v>
      </c>
      <c r="F260" s="1" t="str" cm="1">
        <f t="array" ref="F260">_xlfn.LET(_xlpm.rowNum,MATCH(E260,'glossaryterms-export'!C:C,0),
IF(AND(NOT(ISBLANK(INDEX('glossaryterms-export'!H:H,_xlpm.rowNum))),ISBLANK(INDEX('glossaryterms-export'!I:I,_xlpm.rowNum))),"Ready to Fix",""))</f>
        <v>Ready to Fix</v>
      </c>
      <c r="G260">
        <v>323</v>
      </c>
      <c r="H260">
        <v>264</v>
      </c>
      <c r="I260">
        <v>1.22348484848484</v>
      </c>
      <c r="J260">
        <v>16.5833333333333</v>
      </c>
      <c r="K260">
        <v>958</v>
      </c>
    </row>
    <row r="261" spans="1:11" ht="61.5">
      <c r="A261">
        <v>260</v>
      </c>
      <c r="B261" s="16"/>
      <c r="C261" t="s">
        <v>314</v>
      </c>
      <c r="D261" s="1"/>
      <c r="E261" s="1" t="str">
        <f>_xlfn.REGEXREPLACE(C261, "(.*)\/$", "https://extremismterms.adl.org\1")</f>
        <v>https://extremismterms.adl.org/glossary/white-rex-clothing</v>
      </c>
      <c r="F261" s="1" t="str" cm="1">
        <f t="array" ref="F261">_xlfn.LET(_xlpm.rowNum,MATCH(E261,'glossaryterms-export'!C:C,0),
IF(AND(NOT(ISBLANK(INDEX('glossaryterms-export'!H:H,_xlpm.rowNum))),ISBLANK(INDEX('glossaryterms-export'!I:I,_xlpm.rowNum))),"Ready to Fix",""))</f>
        <v/>
      </c>
      <c r="G261">
        <v>319</v>
      </c>
      <c r="H261">
        <v>286</v>
      </c>
      <c r="I261">
        <v>1.1153846153846101</v>
      </c>
      <c r="J261">
        <v>13.688811188811099</v>
      </c>
      <c r="K261">
        <v>1235</v>
      </c>
    </row>
    <row r="262" spans="1:11" ht="61.5">
      <c r="A262">
        <v>261</v>
      </c>
      <c r="B262" s="16"/>
      <c r="C262" t="s">
        <v>315</v>
      </c>
      <c r="D262" s="1"/>
      <c r="E262" s="1" t="str">
        <f>_xlfn.REGEXREPLACE(C262, "(.*)\/$", "https://extremismterms.adl.org\1")</f>
        <v>https://extremismterms.adl.org/glossary/joplin-honkys</v>
      </c>
      <c r="F262" s="1" t="str" cm="1">
        <f t="array" ref="F262">_xlfn.LET(_xlpm.rowNum,MATCH(E262,'glossaryterms-export'!C:C,0),
IF(AND(NOT(ISBLANK(INDEX('glossaryterms-export'!H:H,_xlpm.rowNum))),ISBLANK(INDEX('glossaryterms-export'!I:I,_xlpm.rowNum))),"Ready to Fix",""))</f>
        <v/>
      </c>
      <c r="G262">
        <v>317</v>
      </c>
      <c r="H262">
        <v>298</v>
      </c>
      <c r="I262">
        <v>1.0637583892617399</v>
      </c>
      <c r="J262">
        <v>18.033557046979801</v>
      </c>
      <c r="K262">
        <v>1110</v>
      </c>
    </row>
    <row r="263" spans="1:11" ht="61.5">
      <c r="A263">
        <v>262</v>
      </c>
      <c r="B263" s="16"/>
      <c r="C263" t="s">
        <v>316</v>
      </c>
      <c r="D263" s="1"/>
      <c r="E263" s="1" t="str">
        <f>_xlfn.REGEXREPLACE(C263, "(.*)\/$", "https://extremismterms.adl.org\1")</f>
        <v>https://extremismterms.adl.org/glossary/hitler-salute</v>
      </c>
      <c r="F263" s="1" t="str" cm="1">
        <f t="array" ref="F263">_xlfn.LET(_xlpm.rowNum,MATCH(E263,'glossaryterms-export'!C:C,0),
IF(AND(NOT(ISBLANK(INDEX('glossaryterms-export'!H:H,_xlpm.rowNum))),ISBLANK(INDEX('glossaryterms-export'!I:I,_xlpm.rowNum))),"Ready to Fix",""))</f>
        <v>Ready to Fix</v>
      </c>
      <c r="G263">
        <v>314</v>
      </c>
      <c r="H263">
        <v>279</v>
      </c>
      <c r="I263">
        <v>1.12544802867383</v>
      </c>
      <c r="J263">
        <v>17.609318996415698</v>
      </c>
      <c r="K263">
        <v>1019</v>
      </c>
    </row>
    <row r="264" spans="1:11" ht="77.25">
      <c r="A264">
        <v>263</v>
      </c>
      <c r="B264" s="16"/>
      <c r="C264" t="s">
        <v>317</v>
      </c>
      <c r="D264" s="1"/>
      <c r="E264" s="1" t="str">
        <f>_xlfn.REGEXREPLACE(C264, "(.*)\/$", "https://extremismterms.adl.org\1")</f>
        <v>https://extremismterms.adl.org/glossary/archbishop-carlo-maria-vigano</v>
      </c>
      <c r="F264" s="1" t="str" cm="1">
        <f t="array" ref="F264">_xlfn.LET(_xlpm.rowNum,MATCH(E264,'glossaryterms-export'!C:C,0),
IF(AND(NOT(ISBLANK(INDEX('glossaryterms-export'!H:H,_xlpm.rowNum))),ISBLANK(INDEX('glossaryterms-export'!I:I,_xlpm.rowNum))),"Ready to Fix",""))</f>
        <v>Ready to Fix</v>
      </c>
      <c r="G264">
        <v>313</v>
      </c>
      <c r="H264">
        <v>262</v>
      </c>
      <c r="I264">
        <v>1.19465648854961</v>
      </c>
      <c r="J264">
        <v>64.179389310000005</v>
      </c>
      <c r="K264">
        <v>1590</v>
      </c>
    </row>
    <row r="265" spans="1:11" ht="61.5">
      <c r="A265">
        <v>264</v>
      </c>
      <c r="B265" s="16"/>
      <c r="C265" t="s">
        <v>318</v>
      </c>
      <c r="D265" s="1"/>
      <c r="E265" s="1" t="str">
        <f>_xlfn.REGEXREPLACE(C265, "(.*)\/$", "https://extremismterms.adl.org\1")</f>
        <v>https://extremismterms.adl.org/glossary/pick-artists-pua</v>
      </c>
      <c r="F265" s="1" t="str" cm="1">
        <f t="array" ref="F265">_xlfn.LET(_xlpm.rowNum,MATCH(E265,'glossaryterms-export'!C:C,0),
IF(AND(NOT(ISBLANK(INDEX('glossaryterms-export'!H:H,_xlpm.rowNum))),ISBLANK(INDEX('glossaryterms-export'!I:I,_xlpm.rowNum))),"Ready to Fix",""))</f>
        <v>Ready to Fix</v>
      </c>
      <c r="G265">
        <v>313</v>
      </c>
      <c r="H265">
        <v>283</v>
      </c>
      <c r="I265">
        <v>1.1060070671377999</v>
      </c>
      <c r="J265">
        <v>14.434628975264999</v>
      </c>
      <c r="K265">
        <v>773</v>
      </c>
    </row>
    <row r="266" spans="1:11" ht="61.5">
      <c r="A266">
        <v>265</v>
      </c>
      <c r="B266" s="16"/>
      <c r="C266" t="s">
        <v>319</v>
      </c>
      <c r="D266" s="1"/>
      <c r="E266" s="1" t="str">
        <f>_xlfn.REGEXREPLACE(C266, "(.*)\/$", "https://extremismterms.adl.org\1")</f>
        <v>https://extremismterms.adl.org/glossary/14-first-foundation</v>
      </c>
      <c r="F266" s="1" t="str" cm="1">
        <f t="array" ref="F266">_xlfn.LET(_xlpm.rowNum,MATCH(E266,'glossaryterms-export'!C:C,0),
IF(AND(NOT(ISBLANK(INDEX('glossaryterms-export'!H:H,_xlpm.rowNum))),ISBLANK(INDEX('glossaryterms-export'!I:I,_xlpm.rowNum))),"Ready to Fix",""))</f>
        <v/>
      </c>
      <c r="G266">
        <v>309</v>
      </c>
      <c r="H266">
        <v>277</v>
      </c>
      <c r="I266">
        <v>1.1155234657039701</v>
      </c>
      <c r="J266">
        <v>20.841155234656998</v>
      </c>
      <c r="K266">
        <v>859</v>
      </c>
    </row>
    <row r="267" spans="1:11" ht="77.25">
      <c r="A267">
        <v>266</v>
      </c>
      <c r="B267" s="16"/>
      <c r="C267" t="s">
        <v>320</v>
      </c>
      <c r="D267" s="1"/>
      <c r="E267" s="1" t="str">
        <f>_xlfn.REGEXREPLACE(C267, "(.*)\/$", "https://extremismterms.adl.org\1")</f>
        <v>https://extremismterms.adl.org/glossary/norse-paganism-modern</v>
      </c>
      <c r="F267" s="1" t="str" cm="1">
        <f t="array" ref="F267">_xlfn.LET(_xlpm.rowNum,MATCH(E267,'glossaryterms-export'!C:C,0),
IF(AND(NOT(ISBLANK(INDEX('glossaryterms-export'!H:H,_xlpm.rowNum))),ISBLANK(INDEX('glossaryterms-export'!I:I,_xlpm.rowNum))),"Ready to Fix",""))</f>
        <v/>
      </c>
      <c r="G267">
        <v>308</v>
      </c>
      <c r="H267">
        <v>268</v>
      </c>
      <c r="I267">
        <v>1.14925373134328</v>
      </c>
      <c r="J267">
        <v>43.727611940298502</v>
      </c>
      <c r="K267">
        <v>950</v>
      </c>
    </row>
    <row r="268" spans="1:11" ht="61.5">
      <c r="A268">
        <v>267</v>
      </c>
      <c r="B268" s="16"/>
      <c r="C268" t="s">
        <v>321</v>
      </c>
      <c r="D268" s="1"/>
      <c r="E268" s="1" t="str">
        <f>_xlfn.REGEXREPLACE(C268, "(.*)\/$", "https://extremismterms.adl.org\1")</f>
        <v>https://extremismterms.adl.org/glossary/ernst-zundel</v>
      </c>
      <c r="F268" s="1" t="str" cm="1">
        <f t="array" ref="F268">_xlfn.LET(_xlpm.rowNum,MATCH(E268,'glossaryterms-export'!C:C,0),
IF(AND(NOT(ISBLANK(INDEX('glossaryterms-export'!H:H,_xlpm.rowNum))),ISBLANK(INDEX('glossaryterms-export'!I:I,_xlpm.rowNum))),"Ready to Fix",""))</f>
        <v/>
      </c>
      <c r="G268">
        <v>303</v>
      </c>
      <c r="H268">
        <v>219</v>
      </c>
      <c r="I268">
        <v>1.38356164383561</v>
      </c>
      <c r="J268">
        <v>68.529680369999994</v>
      </c>
      <c r="K268">
        <v>1265</v>
      </c>
    </row>
    <row r="269" spans="1:11" ht="61.5">
      <c r="A269">
        <v>268</v>
      </c>
      <c r="B269" s="16"/>
      <c r="C269" t="s">
        <v>322</v>
      </c>
      <c r="D269" s="1"/>
      <c r="E269" s="1" t="str">
        <f>_xlfn.REGEXREPLACE(C269, "(.*)\/$", "https://extremismterms.adl.org\1")</f>
        <v>https://extremismterms.adl.org/glossary/tradcatknight</v>
      </c>
      <c r="F269" s="1" t="str" cm="1">
        <f t="array" ref="F269">_xlfn.LET(_xlpm.rowNum,MATCH(E269,'glossaryterms-export'!C:C,0),
IF(AND(NOT(ISBLANK(INDEX('glossaryterms-export'!H:H,_xlpm.rowNum))),ISBLANK(INDEX('glossaryterms-export'!I:I,_xlpm.rowNum))),"Ready to Fix",""))</f>
        <v/>
      </c>
      <c r="G269">
        <v>301</v>
      </c>
      <c r="H269">
        <v>252</v>
      </c>
      <c r="I269">
        <v>1.19444444444444</v>
      </c>
      <c r="J269">
        <v>37.726190476190403</v>
      </c>
      <c r="K269">
        <v>1491</v>
      </c>
    </row>
    <row r="270" spans="1:11" ht="61.5">
      <c r="A270">
        <v>269</v>
      </c>
      <c r="B270" s="16"/>
      <c r="C270" t="s">
        <v>323</v>
      </c>
      <c r="D270" s="1"/>
      <c r="E270" s="1" t="str">
        <f>_xlfn.REGEXREPLACE(C270, "(.*)\/$", "https://extremismterms.adl.org\1")</f>
        <v>https://extremismterms.adl.org/glossary/gorillion-gorrillion</v>
      </c>
      <c r="F270" s="1" t="str" cm="1">
        <f t="array" ref="F270">_xlfn.LET(_xlpm.rowNum,MATCH(E270,'glossaryterms-export'!C:C,0),
IF(AND(NOT(ISBLANK(INDEX('glossaryterms-export'!H:H,_xlpm.rowNum))),ISBLANK(INDEX('glossaryterms-export'!I:I,_xlpm.rowNum))),"Ready to Fix",""))</f>
        <v>Ready to Fix</v>
      </c>
      <c r="G270">
        <v>300</v>
      </c>
      <c r="H270">
        <v>246</v>
      </c>
      <c r="I270">
        <v>1.2195121951219501</v>
      </c>
      <c r="J270">
        <v>12.544715447154401</v>
      </c>
      <c r="K270">
        <v>906</v>
      </c>
    </row>
    <row r="271" spans="1:11" ht="61.5">
      <c r="A271">
        <v>270</v>
      </c>
      <c r="B271" s="16"/>
      <c r="C271" t="s">
        <v>324</v>
      </c>
      <c r="D271" s="1"/>
      <c r="E271" s="1" t="str">
        <f>_xlfn.REGEXREPLACE(C271, "(.*)\/$", "https://extremismterms.adl.org\1")</f>
        <v>https://extremismterms.adl.org/glossary/future-proves-past</v>
      </c>
      <c r="F271" s="1" t="str" cm="1">
        <f t="array" ref="F271">_xlfn.LET(_xlpm.rowNum,MATCH(E271,'glossaryterms-export'!C:C,0),
IF(AND(NOT(ISBLANK(INDEX('glossaryterms-export'!H:H,_xlpm.rowNum))),ISBLANK(INDEX('glossaryterms-export'!I:I,_xlpm.rowNum))),"Ready to Fix",""))</f>
        <v>Ready to Fix</v>
      </c>
      <c r="G271">
        <v>298</v>
      </c>
      <c r="H271">
        <v>248</v>
      </c>
      <c r="I271">
        <v>1.2016129032258001</v>
      </c>
      <c r="J271">
        <v>17.092741935483801</v>
      </c>
      <c r="K271">
        <v>1171</v>
      </c>
    </row>
    <row r="272" spans="1:11" ht="61.5">
      <c r="A272">
        <v>271</v>
      </c>
      <c r="B272" s="11" t="s">
        <v>22</v>
      </c>
      <c r="C272" t="s">
        <v>325</v>
      </c>
      <c r="D272" s="1" t="s">
        <v>20</v>
      </c>
      <c r="E272" s="1" t="str">
        <f>_xlfn.REGEXREPLACE(C272, "(.*)\/$", "https://extremismterms.adl.org\1")</f>
        <v>https://extremismterms.adl.org/glossary/chad</v>
      </c>
      <c r="F272" s="1" t="str" cm="1">
        <f t="array" ref="F272">_xlfn.LET(_xlpm.rowNum,MATCH(E272,'glossaryterms-export'!C:C,0),
IF(AND(NOT(ISBLANK(INDEX('glossaryterms-export'!H:H,_xlpm.rowNum))),ISBLANK(INDEX('glossaryterms-export'!I:I,_xlpm.rowNum))),"Ready to Fix",""))</f>
        <v/>
      </c>
      <c r="G272">
        <v>297</v>
      </c>
      <c r="H272">
        <v>270</v>
      </c>
      <c r="I272">
        <v>1.1000000000000001</v>
      </c>
      <c r="J272">
        <v>23.855555555555501</v>
      </c>
      <c r="K272">
        <v>717</v>
      </c>
    </row>
    <row r="273" spans="1:11" ht="61.5">
      <c r="A273">
        <v>272</v>
      </c>
      <c r="B273" s="16"/>
      <c r="C273" t="s">
        <v>326</v>
      </c>
      <c r="D273" s="1"/>
      <c r="E273" s="1" t="str">
        <f>_xlfn.REGEXREPLACE(C273, "(.*)\/$", "https://extremismterms.adl.org\1")</f>
        <v>https://extremismterms.adl.org/glossary/celtic-cross</v>
      </c>
      <c r="F273" s="1" t="str" cm="1">
        <f t="array" ref="F273">_xlfn.LET(_xlpm.rowNum,MATCH(E273,'glossaryterms-export'!C:C,0),
IF(AND(NOT(ISBLANK(INDEX('glossaryterms-export'!H:H,_xlpm.rowNum))),ISBLANK(INDEX('glossaryterms-export'!I:I,_xlpm.rowNum))),"Ready to Fix",""))</f>
        <v>Ready to Fix</v>
      </c>
      <c r="G273">
        <v>294</v>
      </c>
      <c r="H273">
        <v>265</v>
      </c>
      <c r="I273">
        <v>1.10943396226415</v>
      </c>
      <c r="J273">
        <v>15.4226415094339</v>
      </c>
      <c r="K273">
        <v>671</v>
      </c>
    </row>
    <row r="274" spans="1:11" ht="108">
      <c r="A274">
        <v>273</v>
      </c>
      <c r="B274" s="16"/>
      <c r="C274" t="s">
        <v>327</v>
      </c>
      <c r="D274" s="1"/>
      <c r="E274" s="1" t="str">
        <f>_xlfn.REGEXREPLACE(C274, "(.*)\/$", "https://extremismterms.adl.org\1")</f>
        <v>https://extremismterms.adl.org/glossary/popular-front-liberation-palestine-general-command-pflp-gc</v>
      </c>
      <c r="F274" s="1" t="str" cm="1">
        <f t="array" ref="F274">_xlfn.LET(_xlpm.rowNum,MATCH(E274,'glossaryterms-export'!C:C,0),
IF(AND(NOT(ISBLANK(INDEX('glossaryterms-export'!H:H,_xlpm.rowNum))),ISBLANK(INDEX('glossaryterms-export'!I:I,_xlpm.rowNum))),"Ready to Fix",""))</f>
        <v/>
      </c>
      <c r="G274">
        <v>291</v>
      </c>
      <c r="H274">
        <v>278</v>
      </c>
      <c r="I274">
        <v>1.0467625899280499</v>
      </c>
      <c r="J274">
        <v>6.8525179859999996</v>
      </c>
      <c r="K274">
        <v>1022</v>
      </c>
    </row>
    <row r="275" spans="1:11" ht="92.25">
      <c r="A275">
        <v>274</v>
      </c>
      <c r="B275" s="16"/>
      <c r="C275" t="s">
        <v>328</v>
      </c>
      <c r="D275" s="1"/>
      <c r="E275" s="1" t="str">
        <f>_xlfn.REGEXREPLACE(C275, "(.*)\/$", "https://extremismterms.adl.org\1")</f>
        <v>https://extremismterms.adl.org/glossary/plot-against-church-maurice-pinay</v>
      </c>
      <c r="F275" s="1" t="str" cm="1">
        <f t="array" ref="F275">_xlfn.LET(_xlpm.rowNum,MATCH(E275,'glossaryterms-export'!C:C,0),
IF(AND(NOT(ISBLANK(INDEX('glossaryterms-export'!H:H,_xlpm.rowNum))),ISBLANK(INDEX('glossaryterms-export'!I:I,_xlpm.rowNum))),"Ready to Fix",""))</f>
        <v/>
      </c>
      <c r="G275">
        <v>290</v>
      </c>
      <c r="H275">
        <v>253</v>
      </c>
      <c r="I275">
        <v>1.14624505928853</v>
      </c>
      <c r="J275">
        <v>35.379446639999998</v>
      </c>
      <c r="K275">
        <v>1430</v>
      </c>
    </row>
    <row r="276" spans="1:11" ht="61.5">
      <c r="A276">
        <v>275</v>
      </c>
      <c r="B276" s="11" t="s">
        <v>223</v>
      </c>
      <c r="C276" t="s">
        <v>329</v>
      </c>
      <c r="D276" s="1" t="s">
        <v>20</v>
      </c>
      <c r="E276" s="1" t="str">
        <f>_xlfn.REGEXREPLACE(C276, "(.*)\/$", "https://extremismterms.adl.org\1")</f>
        <v>https://extremismterms.adl.org/glossary/dog-pill</v>
      </c>
      <c r="F276" s="1" t="str" cm="1">
        <f t="array" ref="F276">_xlfn.LET(_xlpm.rowNum,MATCH(E276,'glossaryterms-export'!C:C,0),
IF(AND(NOT(ISBLANK(INDEX('glossaryterms-export'!H:H,_xlpm.rowNum))),ISBLANK(INDEX('glossaryterms-export'!I:I,_xlpm.rowNum))),"Ready to Fix",""))</f>
        <v/>
      </c>
      <c r="G276">
        <v>288</v>
      </c>
      <c r="H276">
        <v>257</v>
      </c>
      <c r="I276">
        <v>1.1206225680933799</v>
      </c>
      <c r="J276">
        <v>9.9805447470817104</v>
      </c>
      <c r="K276">
        <v>801</v>
      </c>
    </row>
    <row r="277" spans="1:11" ht="46.5">
      <c r="A277">
        <v>276</v>
      </c>
      <c r="B277" s="16"/>
      <c r="C277" t="s">
        <v>330</v>
      </c>
      <c r="D277" s="1"/>
      <c r="E277" s="1" t="str">
        <f>_xlfn.REGEXREPLACE(C277, "(.*)\/$", "https://extremismterms.adl.org\1")</f>
        <v>https://extremismterms.adl.org/glossary/kek</v>
      </c>
      <c r="F277" s="1" t="str" cm="1">
        <f t="array" ref="F277">_xlfn.LET(_xlpm.rowNum,MATCH(E277,'glossaryterms-export'!C:C,0),
IF(AND(NOT(ISBLANK(INDEX('glossaryterms-export'!H:H,_xlpm.rowNum))),ISBLANK(INDEX('glossaryterms-export'!I:I,_xlpm.rowNum))),"Ready to Fix",""))</f>
        <v/>
      </c>
      <c r="G277">
        <v>288</v>
      </c>
      <c r="H277">
        <v>251</v>
      </c>
      <c r="I277">
        <v>1.14741035856573</v>
      </c>
      <c r="J277">
        <v>15.593625498007899</v>
      </c>
      <c r="K277">
        <v>890</v>
      </c>
    </row>
    <row r="278" spans="1:11" ht="61.5">
      <c r="A278">
        <v>277</v>
      </c>
      <c r="B278" s="11" t="s">
        <v>223</v>
      </c>
      <c r="C278" t="s">
        <v>331</v>
      </c>
      <c r="D278" s="1" t="s">
        <v>20</v>
      </c>
      <c r="E278" s="1" t="str">
        <f>_xlfn.REGEXREPLACE(C278, "(.*)\/$", "https://extremismterms.adl.org\1")</f>
        <v>https://extremismterms.adl.org/glossary/reverse-dog-pill</v>
      </c>
      <c r="F278" s="1" t="str" cm="1">
        <f t="array" ref="F278">_xlfn.LET(_xlpm.rowNum,MATCH(E278,'glossaryterms-export'!C:C,0),
IF(AND(NOT(ISBLANK(INDEX('glossaryterms-export'!H:H,_xlpm.rowNum))),ISBLANK(INDEX('glossaryterms-export'!I:I,_xlpm.rowNum))),"Ready to Fix",""))</f>
        <v/>
      </c>
      <c r="G278">
        <v>287</v>
      </c>
      <c r="H278">
        <v>260</v>
      </c>
      <c r="I278">
        <v>1.1038461538461499</v>
      </c>
      <c r="J278">
        <v>12.3576923076923</v>
      </c>
      <c r="K278">
        <v>1026</v>
      </c>
    </row>
    <row r="279" spans="1:11" ht="61.5">
      <c r="A279">
        <v>278</v>
      </c>
      <c r="B279" s="14" t="s">
        <v>15</v>
      </c>
      <c r="C279" t="s">
        <v>332</v>
      </c>
      <c r="D279" s="1" t="s">
        <v>20</v>
      </c>
      <c r="E279" s="1" t="str">
        <f>_xlfn.REGEXREPLACE(C279, "(.*)\/$", "https://extremismterms.adl.org\1")</f>
        <v>https://extremismterms.adl.org/glossary/save-children</v>
      </c>
      <c r="F279" s="1" t="str" cm="1">
        <f t="array" ref="F279">_xlfn.LET(_xlpm.rowNum,MATCH(E279,'glossaryterms-export'!C:C,0),
IF(AND(NOT(ISBLANK(INDEX('glossaryterms-export'!H:H,_xlpm.rowNum))),ISBLANK(INDEX('glossaryterms-export'!I:I,_xlpm.rowNum))),"Ready to Fix",""))</f>
        <v/>
      </c>
      <c r="G279">
        <v>285</v>
      </c>
      <c r="H279">
        <v>267</v>
      </c>
      <c r="I279">
        <v>1.0674157303370699</v>
      </c>
      <c r="J279">
        <v>23.258426966292099</v>
      </c>
      <c r="K279">
        <v>1076</v>
      </c>
    </row>
    <row r="280" spans="1:11" ht="108">
      <c r="A280">
        <v>279</v>
      </c>
      <c r="B280" s="14" t="s">
        <v>92</v>
      </c>
      <c r="C280" t="s">
        <v>333</v>
      </c>
      <c r="D280" s="1" t="s">
        <v>20</v>
      </c>
      <c r="E280" s="1" t="str">
        <f>_xlfn.REGEXREPLACE(C280, "(.*)\/$", "https://extremismterms.adl.org\1")</f>
        <v>https://extremismterms.adl.org/glossary/bowl-gang-bowlwaffenbowlwaffen-divisionthe-bowl-patrol</v>
      </c>
      <c r="F280" s="1" t="str" cm="1">
        <f t="array" ref="F280">_xlfn.LET(_xlpm.rowNum,MATCH(E280,'glossaryterms-export'!C:C,0),
IF(AND(NOT(ISBLANK(INDEX('glossaryterms-export'!H:H,_xlpm.rowNum))),ISBLANK(INDEX('glossaryterms-export'!I:I,_xlpm.rowNum))),"Ready to Fix",""))</f>
        <v/>
      </c>
      <c r="G280">
        <v>281</v>
      </c>
      <c r="H280">
        <v>254</v>
      </c>
      <c r="I280">
        <v>1.1062992125984199</v>
      </c>
      <c r="J280">
        <v>16.539370078740099</v>
      </c>
      <c r="K280">
        <v>995</v>
      </c>
    </row>
    <row r="281" spans="1:11" ht="61.5">
      <c r="A281">
        <v>280</v>
      </c>
      <c r="B281" s="16"/>
      <c r="C281" t="s">
        <v>334</v>
      </c>
      <c r="D281" s="1"/>
      <c r="E281" s="1" t="str">
        <f>_xlfn.REGEXREPLACE(C281, "(.*)\/$", "https://extremismterms.adl.org\1")</f>
        <v>https://extremismterms.adl.org/glossary/vkontakte-vk</v>
      </c>
      <c r="F281" s="1" t="str" cm="1">
        <f t="array" ref="F281">_xlfn.LET(_xlpm.rowNum,MATCH(E281,'glossaryterms-export'!C:C,0),
IF(AND(NOT(ISBLANK(INDEX('glossaryterms-export'!H:H,_xlpm.rowNum))),ISBLANK(INDEX('glossaryterms-export'!I:I,_xlpm.rowNum))),"Ready to Fix",""))</f>
        <v/>
      </c>
      <c r="G281">
        <v>279</v>
      </c>
      <c r="H281">
        <v>274</v>
      </c>
      <c r="I281">
        <v>1.0182481751824799</v>
      </c>
      <c r="J281">
        <v>2.8613138686131299</v>
      </c>
      <c r="K281">
        <v>853</v>
      </c>
    </row>
    <row r="282" spans="1:11" ht="61.5">
      <c r="A282">
        <v>281</v>
      </c>
      <c r="B282" s="16"/>
      <c r="C282" t="s">
        <v>335</v>
      </c>
      <c r="D282" s="1"/>
      <c r="E282" s="1" t="str">
        <f>_xlfn.REGEXREPLACE(C282, "(.*)\/$", "https://extremismterms.adl.org\1")</f>
        <v>https://extremismterms.adl.org/glossary/its-okay-be-white</v>
      </c>
      <c r="F282" s="1" t="str" cm="1">
        <f t="array" ref="F282">_xlfn.LET(_xlpm.rowNum,MATCH(E282,'glossaryterms-export'!C:C,0),
IF(AND(NOT(ISBLANK(INDEX('glossaryterms-export'!H:H,_xlpm.rowNum))),ISBLANK(INDEX('glossaryterms-export'!I:I,_xlpm.rowNum))),"Ready to Fix",""))</f>
        <v>Ready to Fix</v>
      </c>
      <c r="G282">
        <v>274</v>
      </c>
      <c r="H282">
        <v>241</v>
      </c>
      <c r="I282">
        <v>1.1369294605809099</v>
      </c>
      <c r="J282">
        <v>22.248962655601598</v>
      </c>
      <c r="K282">
        <v>688</v>
      </c>
    </row>
    <row r="283" spans="1:11" ht="61.5">
      <c r="A283">
        <v>282</v>
      </c>
      <c r="B283" s="16"/>
      <c r="C283" t="s">
        <v>336</v>
      </c>
      <c r="D283" s="1"/>
      <c r="E283" s="1" t="str">
        <f>_xlfn.REGEXREPLACE(C283, "(.*)\/$", "https://extremismterms.adl.org\1")</f>
        <v>https://extremismterms.adl.org/glossary/white-supremacist</v>
      </c>
      <c r="F283" s="1" t="str" cm="1">
        <f t="array" ref="F283">_xlfn.LET(_xlpm.rowNum,MATCH(E283,'glossaryterms-export'!C:C,0),
IF(AND(NOT(ISBLANK(INDEX('glossaryterms-export'!H:H,_xlpm.rowNum))),ISBLANK(INDEX('glossaryterms-export'!I:I,_xlpm.rowNum))),"Ready to Fix",""))</f>
        <v/>
      </c>
      <c r="G283">
        <v>274</v>
      </c>
      <c r="H283">
        <v>245</v>
      </c>
      <c r="I283">
        <v>1.11836734693877</v>
      </c>
      <c r="J283">
        <v>17.620408163265299</v>
      </c>
      <c r="K283">
        <v>771</v>
      </c>
    </row>
    <row r="284" spans="1:11" ht="61.5">
      <c r="A284">
        <v>283</v>
      </c>
      <c r="B284" s="16"/>
      <c r="C284" t="s">
        <v>337</v>
      </c>
      <c r="D284" s="1"/>
      <c r="E284" s="1" t="str">
        <f>_xlfn.REGEXREPLACE(C284, "(.*)\/$", "https://extremismterms.adl.org\1")</f>
        <v>https://extremismterms.adl.org/glossary/big-igloo</v>
      </c>
      <c r="F284" s="1" t="str" cm="1">
        <f t="array" ref="F284">_xlfn.LET(_xlpm.rowNum,MATCH(E284,'glossaryterms-export'!C:C,0),
IF(AND(NOT(ISBLANK(INDEX('glossaryterms-export'!H:H,_xlpm.rowNum))),ISBLANK(INDEX('glossaryterms-export'!I:I,_xlpm.rowNum))),"Ready to Fix",""))</f>
        <v/>
      </c>
      <c r="G284">
        <v>273</v>
      </c>
      <c r="H284">
        <v>256</v>
      </c>
      <c r="I284">
        <v>1.06640625</v>
      </c>
      <c r="J284">
        <v>14.34375</v>
      </c>
      <c r="K284">
        <v>874</v>
      </c>
    </row>
    <row r="285" spans="1:11" ht="61.5">
      <c r="A285">
        <v>284</v>
      </c>
      <c r="B285" s="14" t="s">
        <v>15</v>
      </c>
      <c r="C285" t="s">
        <v>338</v>
      </c>
      <c r="D285" s="1" t="s">
        <v>20</v>
      </c>
      <c r="E285" s="1" t="str">
        <f>_xlfn.REGEXREPLACE(C285, "(.*)\/$", "https://extremismterms.adl.org\1")</f>
        <v>https://extremismterms.adl.org/glossary/delta</v>
      </c>
      <c r="F285" s="1" t="str" cm="1">
        <f t="array" ref="F285">_xlfn.LET(_xlpm.rowNum,MATCH(E285,'glossaryterms-export'!C:C,0),
IF(AND(NOT(ISBLANK(INDEX('glossaryterms-export'!H:H,_xlpm.rowNum))),ISBLANK(INDEX('glossaryterms-export'!I:I,_xlpm.rowNum))),"Ready to Fix",""))</f>
        <v/>
      </c>
      <c r="G285">
        <v>271</v>
      </c>
      <c r="H285">
        <v>249</v>
      </c>
      <c r="I285">
        <v>1.08835341365461</v>
      </c>
      <c r="J285">
        <v>18.056224899598298</v>
      </c>
      <c r="K285">
        <v>799</v>
      </c>
    </row>
    <row r="286" spans="1:11" ht="61.5">
      <c r="A286">
        <v>285</v>
      </c>
      <c r="B286" s="14" t="s">
        <v>25</v>
      </c>
      <c r="C286" t="s">
        <v>339</v>
      </c>
      <c r="D286" s="1" t="s">
        <v>20</v>
      </c>
      <c r="E286" s="1" t="str">
        <f>_xlfn.REGEXREPLACE(C286, "(.*)\/$", "https://extremismterms.adl.org\1")</f>
        <v>https://extremismterms.adl.org/glossary/david-wynn-miller</v>
      </c>
      <c r="F286" s="1" t="str" cm="1">
        <f t="array" ref="F286">_xlfn.LET(_xlpm.rowNum,MATCH(E286,'glossaryterms-export'!C:C,0),
IF(AND(NOT(ISBLANK(INDEX('glossaryterms-export'!H:H,_xlpm.rowNum))),ISBLANK(INDEX('glossaryterms-export'!I:I,_xlpm.rowNum))),"Ready to Fix",""))</f>
        <v/>
      </c>
      <c r="G286">
        <v>270</v>
      </c>
      <c r="H286">
        <v>248</v>
      </c>
      <c r="I286">
        <v>1.0887096774193501</v>
      </c>
      <c r="J286">
        <v>21.633064516129</v>
      </c>
      <c r="K286">
        <v>1084</v>
      </c>
    </row>
    <row r="287" spans="1:11" ht="61.5">
      <c r="A287">
        <v>286</v>
      </c>
      <c r="B287" s="16"/>
      <c r="C287" t="s">
        <v>340</v>
      </c>
      <c r="D287" s="1"/>
      <c r="E287" s="1" t="str">
        <f>_xlfn.REGEXREPLACE(C287, "(.*)\/$", "https://extremismterms.adl.org\1")</f>
        <v>https://extremismterms.adl.org/glossary/great-awakening</v>
      </c>
      <c r="F287" s="1" t="str" cm="1">
        <f t="array" ref="F287">_xlfn.LET(_xlpm.rowNum,MATCH(E287,'glossaryterms-export'!C:C,0),
IF(AND(NOT(ISBLANK(INDEX('glossaryterms-export'!H:H,_xlpm.rowNum))),ISBLANK(INDEX('glossaryterms-export'!I:I,_xlpm.rowNum))),"Ready to Fix",""))</f>
        <v/>
      </c>
      <c r="G287">
        <v>270</v>
      </c>
      <c r="H287">
        <v>243</v>
      </c>
      <c r="I287">
        <v>1.1111111111111101</v>
      </c>
      <c r="J287">
        <v>14.637860082304501</v>
      </c>
      <c r="K287">
        <v>710</v>
      </c>
    </row>
    <row r="288" spans="1:11" ht="61.5">
      <c r="A288">
        <v>287</v>
      </c>
      <c r="B288" s="16"/>
      <c r="C288" t="s">
        <v>341</v>
      </c>
      <c r="D288" s="1"/>
      <c r="E288" s="1" t="str">
        <f>_xlfn.REGEXREPLACE(C288, "(.*)\/$", "https://extremismterms.adl.org\1")</f>
        <v>https://extremismterms.adl.org/glossary/honkler</v>
      </c>
      <c r="F288" s="1" t="str" cm="1">
        <f t="array" ref="F288">_xlfn.LET(_xlpm.rowNum,MATCH(E288,'glossaryterms-export'!C:C,0),
IF(AND(NOT(ISBLANK(INDEX('glossaryterms-export'!H:H,_xlpm.rowNum))),ISBLANK(INDEX('glossaryterms-export'!I:I,_xlpm.rowNum))),"Ready to Fix",""))</f>
        <v/>
      </c>
      <c r="G288">
        <v>269</v>
      </c>
      <c r="H288">
        <v>235</v>
      </c>
      <c r="I288">
        <v>1.14468085106382</v>
      </c>
      <c r="J288">
        <v>9.2255319148936099</v>
      </c>
      <c r="K288">
        <v>769</v>
      </c>
    </row>
    <row r="289" spans="1:11" ht="77.25">
      <c r="A289">
        <v>288</v>
      </c>
      <c r="B289" s="16"/>
      <c r="C289" t="s">
        <v>342</v>
      </c>
      <c r="D289" s="1"/>
      <c r="E289" s="1" t="str">
        <f>_xlfn.REGEXREPLACE(C289, "(.*)\/$", "https://extremismterms.adl.org\1")</f>
        <v>https://extremismterms.adl.org/glossary/mahmoud-ahmadinejad</v>
      </c>
      <c r="F289" s="1" t="str" cm="1">
        <f t="array" ref="F289">_xlfn.LET(_xlpm.rowNum,MATCH(E289,'glossaryterms-export'!C:C,0),
IF(AND(NOT(ISBLANK(INDEX('glossaryterms-export'!H:H,_xlpm.rowNum))),ISBLANK(INDEX('glossaryterms-export'!I:I,_xlpm.rowNum))),"Ready to Fix",""))</f>
        <v/>
      </c>
      <c r="G289">
        <v>267</v>
      </c>
      <c r="H289">
        <v>227</v>
      </c>
      <c r="I289">
        <v>1.1762114537444901</v>
      </c>
      <c r="J289">
        <v>31.973568281938299</v>
      </c>
      <c r="K289">
        <v>912</v>
      </c>
    </row>
    <row r="290" spans="1:11" ht="61.5">
      <c r="A290">
        <v>289</v>
      </c>
      <c r="B290" s="11" t="s">
        <v>15</v>
      </c>
      <c r="C290" t="s">
        <v>343</v>
      </c>
      <c r="D290" s="1"/>
      <c r="E290" s="1" t="str">
        <f>_xlfn.REGEXREPLACE(C290, "(.*)\/$", "https://extremismterms.adl.org\1")</f>
        <v>https://extremismterms.adl.org/glossary/qanon</v>
      </c>
      <c r="F290" s="1" t="str" cm="1">
        <f t="array" ref="F290">_xlfn.LET(_xlpm.rowNum,MATCH(E290,'glossaryterms-export'!C:C,0),
IF(AND(NOT(ISBLANK(INDEX('glossaryterms-export'!H:H,_xlpm.rowNum))),ISBLANK(INDEX('glossaryterms-export'!I:I,_xlpm.rowNum))),"Ready to Fix",""))</f>
        <v/>
      </c>
      <c r="G290">
        <v>266</v>
      </c>
      <c r="H290">
        <v>235</v>
      </c>
      <c r="I290">
        <v>1.13191489361702</v>
      </c>
      <c r="J290">
        <v>39.434042553191397</v>
      </c>
      <c r="K290">
        <v>753</v>
      </c>
    </row>
    <row r="291" spans="1:11" ht="61.5">
      <c r="A291">
        <v>290</v>
      </c>
      <c r="B291" s="11" t="s">
        <v>25</v>
      </c>
      <c r="C291" t="s">
        <v>344</v>
      </c>
      <c r="D291" s="1"/>
      <c r="E291" s="1" t="str">
        <f>_xlfn.REGEXREPLACE(C291, "(.*)\/$", "https://extremismterms.adl.org\1")</f>
        <v>https://extremismterms.adl.org/glossary/sovereign-citizen</v>
      </c>
      <c r="F291" s="1" t="str" cm="1">
        <f t="array" ref="F291">_xlfn.LET(_xlpm.rowNum,MATCH(E291,'glossaryterms-export'!C:C,0),
IF(AND(NOT(ISBLANK(INDEX('glossaryterms-export'!H:H,_xlpm.rowNum))),ISBLANK(INDEX('glossaryterms-export'!I:I,_xlpm.rowNum))),"Ready to Fix",""))</f>
        <v>Ready to Fix</v>
      </c>
      <c r="G291">
        <v>265</v>
      </c>
      <c r="H291">
        <v>223</v>
      </c>
      <c r="I291">
        <v>1.18834080717488</v>
      </c>
      <c r="J291">
        <v>32.403587443946101</v>
      </c>
      <c r="K291">
        <v>788</v>
      </c>
    </row>
    <row r="292" spans="1:11" ht="77.25">
      <c r="A292">
        <v>291</v>
      </c>
      <c r="B292" s="16"/>
      <c r="C292" t="s">
        <v>345</v>
      </c>
      <c r="D292" s="1"/>
      <c r="E292" s="1" t="str">
        <f>_xlfn.REGEXREPLACE(C292, "(.*)\/$", "https://extremismterms.adl.org\1")</f>
        <v>https://extremismterms.adl.org/glossary/theres-q-and-theres-anons</v>
      </c>
      <c r="F292" s="1" t="str" cm="1">
        <f t="array" ref="F292">_xlfn.LET(_xlpm.rowNum,MATCH(E292,'glossaryterms-export'!C:C,0),
IF(AND(NOT(ISBLANK(INDEX('glossaryterms-export'!H:H,_xlpm.rowNum))),ISBLANK(INDEX('glossaryterms-export'!I:I,_xlpm.rowNum))),"Ready to Fix",""))</f>
        <v/>
      </c>
      <c r="G292">
        <v>265</v>
      </c>
      <c r="H292">
        <v>250</v>
      </c>
      <c r="I292">
        <v>1.06</v>
      </c>
      <c r="J292">
        <v>31.763999999999999</v>
      </c>
      <c r="K292">
        <v>1007</v>
      </c>
    </row>
    <row r="293" spans="1:11" ht="77.25">
      <c r="A293">
        <v>292</v>
      </c>
      <c r="B293" s="16"/>
      <c r="C293" t="s">
        <v>346</v>
      </c>
      <c r="D293" s="1"/>
      <c r="E293" s="1" t="str">
        <f>_xlfn.REGEXREPLACE(C293, "(.*)\/$", "https://extremismterms.adl.org\1")</f>
        <v>https://extremismterms.adl.org/glossary/inconvenient-history-journal</v>
      </c>
      <c r="F293" s="1" t="str" cm="1">
        <f t="array" ref="F293">_xlfn.LET(_xlpm.rowNum,MATCH(E293,'glossaryterms-export'!C:C,0),
IF(AND(NOT(ISBLANK(INDEX('glossaryterms-export'!H:H,_xlpm.rowNum))),ISBLANK(INDEX('glossaryterms-export'!I:I,_xlpm.rowNum))),"Ready to Fix",""))</f>
        <v/>
      </c>
      <c r="G293">
        <v>263</v>
      </c>
      <c r="H293">
        <v>221</v>
      </c>
      <c r="I293">
        <v>1.1900452488687701</v>
      </c>
      <c r="J293">
        <v>31.294117647058801</v>
      </c>
      <c r="K293">
        <v>974</v>
      </c>
    </row>
    <row r="294" spans="1:11" ht="92.25">
      <c r="A294">
        <v>293</v>
      </c>
      <c r="B294" s="16"/>
      <c r="C294" t="s">
        <v>347</v>
      </c>
      <c r="D294" s="1"/>
      <c r="E294" s="1" t="str">
        <f>_xlfn.REGEXREPLACE(C294, "(.*)\/$", "https://extremismterms.adl.org\1")</f>
        <v>https://extremismterms.adl.org/glossary/committee-open-debate-holocaust-codoh</v>
      </c>
      <c r="F294" s="1" t="str" cm="1">
        <f t="array" ref="F294">_xlfn.LET(_xlpm.rowNum,MATCH(E294,'glossaryterms-export'!C:C,0),
IF(AND(NOT(ISBLANK(INDEX('glossaryterms-export'!H:H,_xlpm.rowNum))),ISBLANK(INDEX('glossaryterms-export'!I:I,_xlpm.rowNum))),"Ready to Fix",""))</f>
        <v>Ready to Fix</v>
      </c>
      <c r="G294">
        <v>261</v>
      </c>
      <c r="H294">
        <v>206</v>
      </c>
      <c r="I294">
        <v>1.26699029126213</v>
      </c>
      <c r="J294">
        <v>19.6067961165048</v>
      </c>
      <c r="K294">
        <v>777</v>
      </c>
    </row>
    <row r="295" spans="1:11" ht="61.5">
      <c r="A295">
        <v>294</v>
      </c>
      <c r="B295" s="16"/>
      <c r="C295" t="s">
        <v>348</v>
      </c>
      <c r="D295" s="1"/>
      <c r="E295" s="1" t="str">
        <f>_xlfn.REGEXREPLACE(C295, "(.*)\/$", "https://extremismterms.adl.org\1")</f>
        <v>https://extremismterms.adl.org/glossary/john-fitzgerald</v>
      </c>
      <c r="F295" s="1" t="str" cm="1">
        <f t="array" ref="F295">_xlfn.LET(_xlpm.rowNum,MATCH(E295,'glossaryterms-export'!C:C,0),
IF(AND(NOT(ISBLANK(INDEX('glossaryterms-export'!H:H,_xlpm.rowNum))),ISBLANK(INDEX('glossaryterms-export'!I:I,_xlpm.rowNum))),"Ready to Fix",""))</f>
        <v/>
      </c>
      <c r="G295">
        <v>258</v>
      </c>
      <c r="H295">
        <v>228</v>
      </c>
      <c r="I295">
        <v>1.1315789473684199</v>
      </c>
      <c r="J295">
        <v>30.210526315789402</v>
      </c>
      <c r="K295">
        <v>873</v>
      </c>
    </row>
    <row r="296" spans="1:11" ht="61.5">
      <c r="A296">
        <v>295</v>
      </c>
      <c r="B296" s="16"/>
      <c r="C296" t="s">
        <v>349</v>
      </c>
      <c r="D296" s="1"/>
      <c r="E296" s="1" t="str">
        <f>_xlfn.REGEXREPLACE(C296, "(.*)\/$", "https://extremismterms.adl.org\1")</f>
        <v>https://extremismterms.adl.org/glossary/willis-carto</v>
      </c>
      <c r="F296" s="1" t="str" cm="1">
        <f t="array" ref="F296">_xlfn.LET(_xlpm.rowNum,MATCH(E296,'glossaryterms-export'!C:C,0),
IF(AND(NOT(ISBLANK(INDEX('glossaryterms-export'!H:H,_xlpm.rowNum))),ISBLANK(INDEX('glossaryterms-export'!I:I,_xlpm.rowNum))),"Ready to Fix",""))</f>
        <v/>
      </c>
      <c r="G296">
        <v>258</v>
      </c>
      <c r="H296">
        <v>221</v>
      </c>
      <c r="I296">
        <v>1.1674208144796301</v>
      </c>
      <c r="J296">
        <v>40.049773755656098</v>
      </c>
      <c r="K296">
        <v>945</v>
      </c>
    </row>
    <row r="297" spans="1:11" ht="77.25">
      <c r="A297">
        <v>296</v>
      </c>
      <c r="B297" s="16"/>
      <c r="C297" t="s">
        <v>350</v>
      </c>
      <c r="D297" s="1"/>
      <c r="E297" s="1" t="str">
        <f>_xlfn.REGEXREPLACE(C297, "(.*)\/$", "https://extremismterms.adl.org\1")</f>
        <v>https://extremismterms.adl.org/glossary/211-bootboys</v>
      </c>
      <c r="F297" s="1" t="str" cm="1">
        <f t="array" ref="F297">_xlfn.LET(_xlpm.rowNum,MATCH(E297,'glossaryterms-export'!C:C,0),
IF(AND(NOT(ISBLANK(INDEX('glossaryterms-export'!H:H,_xlpm.rowNum))),ISBLANK(INDEX('glossaryterms-export'!I:I,_xlpm.rowNum))),"Ready to Fix",""))</f>
        <v/>
      </c>
      <c r="G297">
        <v>256</v>
      </c>
      <c r="H297">
        <v>227</v>
      </c>
      <c r="I297">
        <v>1.12775330396475</v>
      </c>
      <c r="J297">
        <v>19.960352422907398</v>
      </c>
      <c r="K297">
        <v>746</v>
      </c>
    </row>
    <row r="298" spans="1:11" ht="61.5">
      <c r="A298">
        <v>297</v>
      </c>
      <c r="B298" s="14" t="s">
        <v>5</v>
      </c>
      <c r="C298" t="s">
        <v>351</v>
      </c>
      <c r="D298" s="1" t="s">
        <v>20</v>
      </c>
      <c r="E298" s="1" t="str">
        <f>_xlfn.REGEXREPLACE(C298, "(.*)\/$", "https://extremismterms.adl.org\1")</f>
        <v>https://extremismterms.adl.org/glossary/lorebook</v>
      </c>
      <c r="F298" s="1" t="str" cm="1">
        <f t="array" ref="F298">_xlfn.LET(_xlpm.rowNum,MATCH(E298,'glossaryterms-export'!C:C,0),
IF(AND(NOT(ISBLANK(INDEX('glossaryterms-export'!H:H,_xlpm.rowNum))),ISBLANK(INDEX('glossaryterms-export'!I:I,_xlpm.rowNum))),"Ready to Fix",""))</f>
        <v/>
      </c>
      <c r="G298">
        <v>256</v>
      </c>
      <c r="H298">
        <v>217</v>
      </c>
      <c r="I298">
        <v>1.1797235023041399</v>
      </c>
      <c r="J298">
        <v>21.396313360000001</v>
      </c>
      <c r="K298">
        <v>579</v>
      </c>
    </row>
    <row r="299" spans="1:11" ht="77.25">
      <c r="A299">
        <v>298</v>
      </c>
      <c r="B299" s="16"/>
      <c r="C299" t="s">
        <v>352</v>
      </c>
      <c r="D299" s="1"/>
      <c r="E299" s="1" t="str">
        <f>_xlfn.REGEXREPLACE(C299, "(.*)\/$", "https://extremismterms.adl.org\1")</f>
        <v>https://extremismterms.adl.org/glossary/castle-hill-publishers-chp</v>
      </c>
      <c r="F299" s="1" t="str" cm="1">
        <f t="array" ref="F299">_xlfn.LET(_xlpm.rowNum,MATCH(E299,'glossaryterms-export'!C:C,0),
IF(AND(NOT(ISBLANK(INDEX('glossaryterms-export'!H:H,_xlpm.rowNum))),ISBLANK(INDEX('glossaryterms-export'!I:I,_xlpm.rowNum))),"Ready to Fix",""))</f>
        <v/>
      </c>
      <c r="G299">
        <v>255</v>
      </c>
      <c r="H299">
        <v>229</v>
      </c>
      <c r="I299">
        <v>1.11353711790393</v>
      </c>
      <c r="J299">
        <v>21.742358078602599</v>
      </c>
      <c r="K299">
        <v>1006</v>
      </c>
    </row>
    <row r="300" spans="1:11" ht="77.25">
      <c r="A300">
        <v>299</v>
      </c>
      <c r="B300" s="16"/>
      <c r="C300" t="s">
        <v>353</v>
      </c>
      <c r="D300" s="1"/>
      <c r="E300" s="1" t="str">
        <f>_xlfn.REGEXREPLACE(C300, "(.*)\/$", "https://extremismterms.adl.org\1")</f>
        <v>https://extremismterms.adl.org/glossary/national-bolshevism</v>
      </c>
      <c r="F300" s="1" t="str" cm="1">
        <f t="array" ref="F300">_xlfn.LET(_xlpm.rowNum,MATCH(E300,'glossaryterms-export'!C:C,0),
IF(AND(NOT(ISBLANK(INDEX('glossaryterms-export'!H:H,_xlpm.rowNum))),ISBLANK(INDEX('glossaryterms-export'!I:I,_xlpm.rowNum))),"Ready to Fix",""))</f>
        <v/>
      </c>
      <c r="G300">
        <v>254</v>
      </c>
      <c r="H300">
        <v>230</v>
      </c>
      <c r="I300">
        <v>1.1043478260869499</v>
      </c>
      <c r="J300">
        <v>20.086956521739101</v>
      </c>
      <c r="K300">
        <v>838</v>
      </c>
    </row>
    <row r="301" spans="1:11" ht="61.5">
      <c r="A301">
        <v>300</v>
      </c>
      <c r="B301" s="16"/>
      <c r="C301" t="s">
        <v>354</v>
      </c>
      <c r="D301" s="1"/>
      <c r="E301" s="1" t="str">
        <f>_xlfn.REGEXREPLACE(C301, "(.*)\/$", "https://extremismterms.adl.org\1")</f>
        <v>https://extremismterms.adl.org/glossary/alphabet-boys</v>
      </c>
      <c r="F301" s="1" t="str" cm="1">
        <f t="array" ref="F301">_xlfn.LET(_xlpm.rowNum,MATCH(E301,'glossaryterms-export'!C:C,0),
IF(AND(NOT(ISBLANK(INDEX('glossaryterms-export'!H:H,_xlpm.rowNum))),ISBLANK(INDEX('glossaryterms-export'!I:I,_xlpm.rowNum))),"Ready to Fix",""))</f>
        <v/>
      </c>
      <c r="G301">
        <v>253</v>
      </c>
      <c r="H301">
        <v>235</v>
      </c>
      <c r="I301">
        <v>1.0765957446808501</v>
      </c>
      <c r="J301">
        <v>14.6212765957446</v>
      </c>
      <c r="K301">
        <v>953</v>
      </c>
    </row>
    <row r="302" spans="1:11" ht="61.5">
      <c r="A302">
        <v>301</v>
      </c>
      <c r="B302" s="16"/>
      <c r="C302" t="s">
        <v>355</v>
      </c>
      <c r="D302" s="1"/>
      <c r="E302" s="1" t="str">
        <f>_xlfn.REGEXREPLACE(C302, "(.*)\/$", "https://extremismterms.adl.org\1")</f>
        <v>https://extremismterms.adl.org/glossary/john-wear</v>
      </c>
      <c r="F302" s="1" t="str" cm="1">
        <f t="array" ref="F302">_xlfn.LET(_xlpm.rowNum,MATCH(E302,'glossaryterms-export'!C:C,0),
IF(AND(NOT(ISBLANK(INDEX('glossaryterms-export'!H:H,_xlpm.rowNum))),ISBLANK(INDEX('glossaryterms-export'!I:I,_xlpm.rowNum))),"Ready to Fix",""))</f>
        <v/>
      </c>
      <c r="G302">
        <v>253</v>
      </c>
      <c r="H302">
        <v>207</v>
      </c>
      <c r="I302">
        <v>1.2222222222222201</v>
      </c>
      <c r="J302">
        <v>35.652173913043399</v>
      </c>
      <c r="K302">
        <v>1278</v>
      </c>
    </row>
    <row r="303" spans="1:11" ht="61.5">
      <c r="A303">
        <v>302</v>
      </c>
      <c r="B303" s="16"/>
      <c r="C303" t="s">
        <v>356</v>
      </c>
      <c r="D303" s="1"/>
      <c r="E303" s="1" t="str">
        <f>_xlfn.REGEXREPLACE(C303, "(.*)\/$", "https://extremismterms.adl.org\1")</f>
        <v>https://extremismterms.adl.org/glossary/leila-khaled</v>
      </c>
      <c r="F303" s="1" t="str" cm="1">
        <f t="array" ref="F303">_xlfn.LET(_xlpm.rowNum,MATCH(E303,'glossaryterms-export'!C:C,0),
IF(AND(NOT(ISBLANK(INDEX('glossaryterms-export'!H:H,_xlpm.rowNum))),ISBLANK(INDEX('glossaryterms-export'!I:I,_xlpm.rowNum))),"Ready to Fix",""))</f>
        <v>Ready to Fix</v>
      </c>
      <c r="G303">
        <v>253</v>
      </c>
      <c r="H303">
        <v>240</v>
      </c>
      <c r="I303">
        <v>1.05416666666666</v>
      </c>
      <c r="J303">
        <v>26.904166666666601</v>
      </c>
      <c r="K303">
        <v>927</v>
      </c>
    </row>
    <row r="304" spans="1:11" ht="61.5">
      <c r="A304">
        <v>303</v>
      </c>
      <c r="B304" s="11" t="s">
        <v>22</v>
      </c>
      <c r="C304" t="s">
        <v>357</v>
      </c>
      <c r="D304" s="1" t="s">
        <v>20</v>
      </c>
      <c r="E304" s="1" t="str">
        <f>_xlfn.REGEXREPLACE(C304, "(.*)\/$", "https://extremismterms.adl.org\1")</f>
        <v>https://extremismterms.adl.org/glossary/ropefuel</v>
      </c>
      <c r="F304" s="1" t="str" cm="1">
        <f t="array" ref="F304">_xlfn.LET(_xlpm.rowNum,MATCH(E304,'glossaryterms-export'!C:C,0),
IF(AND(NOT(ISBLANK(INDEX('glossaryterms-export'!H:H,_xlpm.rowNum))),ISBLANK(INDEX('glossaryterms-export'!I:I,_xlpm.rowNum))),"Ready to Fix",""))</f>
        <v/>
      </c>
      <c r="G304">
        <v>249</v>
      </c>
      <c r="H304">
        <v>211</v>
      </c>
      <c r="I304">
        <v>1.1800947867298499</v>
      </c>
      <c r="J304">
        <v>11.327014218009399</v>
      </c>
      <c r="K304">
        <v>900</v>
      </c>
    </row>
    <row r="305" spans="1:11" ht="61.5">
      <c r="A305">
        <v>304</v>
      </c>
      <c r="B305" s="11" t="s">
        <v>223</v>
      </c>
      <c r="C305" t="s">
        <v>358</v>
      </c>
      <c r="D305" s="1" t="s">
        <v>20</v>
      </c>
      <c r="E305" s="1" t="str">
        <f>_xlfn.REGEXREPLACE(C305, "(.*)\/$", "https://extremismterms.adl.org\1")</f>
        <v>https://extremismterms.adl.org/glossary/rape-pill</v>
      </c>
      <c r="F305" s="1" t="str" cm="1">
        <f t="array" ref="F305">_xlfn.LET(_xlpm.rowNum,MATCH(E305,'glossaryterms-export'!C:C,0),
IF(AND(NOT(ISBLANK(INDEX('glossaryterms-export'!H:H,_xlpm.rowNum))),ISBLANK(INDEX('glossaryterms-export'!I:I,_xlpm.rowNum))),"Ready to Fix",""))</f>
        <v/>
      </c>
      <c r="G305">
        <v>247</v>
      </c>
      <c r="H305">
        <v>223</v>
      </c>
      <c r="I305">
        <v>1.1076233183856501</v>
      </c>
      <c r="J305">
        <v>13.946188340807099</v>
      </c>
      <c r="K305">
        <v>869</v>
      </c>
    </row>
    <row r="306" spans="1:11" ht="61.5">
      <c r="A306">
        <v>305</v>
      </c>
      <c r="B306" s="16"/>
      <c r="C306" t="s">
        <v>359</v>
      </c>
      <c r="D306" s="1"/>
      <c r="E306" s="1" t="str">
        <f>_xlfn.REGEXREPLACE(C306, "(.*)\/$", "https://extremismterms.adl.org\1")</f>
        <v>https://extremismterms.adl.org/glossary/happy-merchant</v>
      </c>
      <c r="F306" s="1" t="str" cm="1">
        <f t="array" ref="F306">_xlfn.LET(_xlpm.rowNum,MATCH(E306,'glossaryterms-export'!C:C,0),
IF(AND(NOT(ISBLANK(INDEX('glossaryterms-export'!H:H,_xlpm.rowNum))),ISBLANK(INDEX('glossaryterms-export'!I:I,_xlpm.rowNum))),"Ready to Fix",""))</f>
        <v>Ready to Fix</v>
      </c>
      <c r="G306">
        <v>245</v>
      </c>
      <c r="H306">
        <v>218</v>
      </c>
      <c r="I306">
        <v>1.1238532110091699</v>
      </c>
      <c r="J306">
        <v>12.045871559632999</v>
      </c>
      <c r="K306">
        <v>566</v>
      </c>
    </row>
    <row r="307" spans="1:11" ht="46.5">
      <c r="A307">
        <v>306</v>
      </c>
      <c r="B307" s="16"/>
      <c r="C307" t="s">
        <v>360</v>
      </c>
      <c r="D307" s="1"/>
      <c r="E307" s="1" t="str">
        <f>_xlfn.REGEXREPLACE(C307, "(.*)\/$", "https://extremismterms.adl.org\1")</f>
        <v>https://extremismterms.adl.org/glossary/88</v>
      </c>
      <c r="F307" s="1" t="str" cm="1">
        <f t="array" ref="F307">_xlfn.LET(_xlpm.rowNum,MATCH(E307,'glossaryterms-export'!C:C,0),
IF(AND(NOT(ISBLANK(INDEX('glossaryterms-export'!H:H,_xlpm.rowNum))),ISBLANK(INDEX('glossaryterms-export'!I:I,_xlpm.rowNum))),"Ready to Fix",""))</f>
        <v>Ready to Fix</v>
      </c>
      <c r="G307">
        <v>241</v>
      </c>
      <c r="H307">
        <v>218</v>
      </c>
      <c r="I307">
        <v>1.1055045871559599</v>
      </c>
      <c r="J307">
        <v>11.894495412844</v>
      </c>
      <c r="K307">
        <v>710</v>
      </c>
    </row>
    <row r="308" spans="1:11" ht="61.5">
      <c r="A308">
        <v>307</v>
      </c>
      <c r="B308" s="16"/>
      <c r="C308" t="s">
        <v>361</v>
      </c>
      <c r="D308" s="1"/>
      <c r="E308" s="1" t="str">
        <f>_xlfn.REGEXREPLACE(C308, "(.*)\/$", "https://extremismterms.adl.org\1")</f>
        <v>https://extremismterms.adl.org/glossary/agenda-21</v>
      </c>
      <c r="F308" s="1" t="str" cm="1">
        <f t="array" ref="F308">_xlfn.LET(_xlpm.rowNum,MATCH(E308,'glossaryterms-export'!C:C,0),
IF(AND(NOT(ISBLANK(INDEX('glossaryterms-export'!H:H,_xlpm.rowNum))),ISBLANK(INDEX('glossaryterms-export'!I:I,_xlpm.rowNum))),"Ready to Fix",""))</f>
        <v>Ready to Fix</v>
      </c>
      <c r="G308">
        <v>241</v>
      </c>
      <c r="H308">
        <v>232</v>
      </c>
      <c r="I308">
        <v>1.03879310344827</v>
      </c>
      <c r="J308">
        <v>21.866379310344801</v>
      </c>
      <c r="K308">
        <v>545</v>
      </c>
    </row>
    <row r="309" spans="1:11" ht="61.5">
      <c r="A309">
        <v>308</v>
      </c>
      <c r="B309" s="16"/>
      <c r="C309" t="s">
        <v>362</v>
      </c>
      <c r="D309" s="1"/>
      <c r="E309" s="1" t="str">
        <f>_xlfn.REGEXREPLACE(C309, "(.*)\/$", "https://extremismterms.adl.org\1")</f>
        <v>https://extremismterms.adl.org/glossary/coors-family-skins</v>
      </c>
      <c r="F309" s="1" t="str" cm="1">
        <f t="array" ref="F309">_xlfn.LET(_xlpm.rowNum,MATCH(E309,'glossaryterms-export'!C:C,0),
IF(AND(NOT(ISBLANK(INDEX('glossaryterms-export'!H:H,_xlpm.rowNum))),ISBLANK(INDEX('glossaryterms-export'!I:I,_xlpm.rowNum))),"Ready to Fix",""))</f>
        <v>Ready to Fix</v>
      </c>
      <c r="G309">
        <v>240</v>
      </c>
      <c r="H309">
        <v>218</v>
      </c>
      <c r="I309">
        <v>1.1009174311926599</v>
      </c>
      <c r="J309">
        <v>17.192660550458701</v>
      </c>
      <c r="K309">
        <v>639</v>
      </c>
    </row>
    <row r="310" spans="1:11" ht="61.5">
      <c r="A310">
        <v>309</v>
      </c>
      <c r="B310" s="11" t="s">
        <v>22</v>
      </c>
      <c r="C310" t="s">
        <v>363</v>
      </c>
      <c r="D310" s="1" t="s">
        <v>20</v>
      </c>
      <c r="E310" s="1" t="str">
        <f>_xlfn.REGEXREPLACE(C310, "(.*)\/$", "https://extremismterms.adl.org\1")</f>
        <v>https://extremismterms.adl.org/glossary/femcels</v>
      </c>
      <c r="F310" s="1" t="str" cm="1">
        <f t="array" ref="F310">_xlfn.LET(_xlpm.rowNum,MATCH(E310,'glossaryterms-export'!C:C,0),
IF(AND(NOT(ISBLANK(INDEX('glossaryterms-export'!H:H,_xlpm.rowNum))),ISBLANK(INDEX('glossaryterms-export'!I:I,_xlpm.rowNum))),"Ready to Fix",""))</f>
        <v/>
      </c>
      <c r="G310">
        <v>240</v>
      </c>
      <c r="H310">
        <v>220</v>
      </c>
      <c r="I310">
        <v>1.0909090909090899</v>
      </c>
      <c r="J310">
        <v>15.0545454545454</v>
      </c>
      <c r="K310">
        <v>614</v>
      </c>
    </row>
    <row r="311" spans="1:11" ht="61.5">
      <c r="A311">
        <v>310</v>
      </c>
      <c r="B311" s="16"/>
      <c r="C311" t="s">
        <v>364</v>
      </c>
      <c r="D311" s="1"/>
      <c r="E311" s="1" t="str">
        <f>_xlfn.REGEXREPLACE(C311, "(.*)\/$", "https://extremismterms.adl.org\1")</f>
        <v>https://extremismterms.adl.org/glossary/mark-weber</v>
      </c>
      <c r="F311" s="1" t="str" cm="1">
        <f t="array" ref="F311">_xlfn.LET(_xlpm.rowNum,MATCH(E311,'glossaryterms-export'!C:C,0),
IF(AND(NOT(ISBLANK(INDEX('glossaryterms-export'!H:H,_xlpm.rowNum))),ISBLANK(INDEX('glossaryterms-export'!I:I,_xlpm.rowNum))),"Ready to Fix",""))</f>
        <v/>
      </c>
      <c r="G311">
        <v>237</v>
      </c>
      <c r="H311">
        <v>216</v>
      </c>
      <c r="I311">
        <v>1.0972222222222201</v>
      </c>
      <c r="J311">
        <v>51.115740740740698</v>
      </c>
      <c r="K311">
        <v>991</v>
      </c>
    </row>
    <row r="312" spans="1:11" ht="61.5">
      <c r="A312">
        <v>311</v>
      </c>
      <c r="B312" s="16"/>
      <c r="C312" t="s">
        <v>365</v>
      </c>
      <c r="D312" s="1"/>
      <c r="E312" s="1" t="str">
        <f>_xlfn.REGEXREPLACE(C312, "(.*)\/$", "https://extremismterms.adl.org\1")</f>
        <v>https://extremismterms.adl.org/glossary/nikolas-cruz</v>
      </c>
      <c r="F312" s="1" t="str" cm="1">
        <f t="array" ref="F312">_xlfn.LET(_xlpm.rowNum,MATCH(E312,'glossaryterms-export'!C:C,0),
IF(AND(NOT(ISBLANK(INDEX('glossaryterms-export'!H:H,_xlpm.rowNum))),ISBLANK(INDEX('glossaryterms-export'!I:I,_xlpm.rowNum))),"Ready to Fix",""))</f>
        <v/>
      </c>
      <c r="G312">
        <v>236</v>
      </c>
      <c r="H312">
        <v>217</v>
      </c>
      <c r="I312">
        <v>1.0875576036866299</v>
      </c>
      <c r="J312">
        <v>11.824884792626699</v>
      </c>
      <c r="K312">
        <v>473</v>
      </c>
    </row>
    <row r="313" spans="1:11" ht="77.25">
      <c r="A313">
        <v>312</v>
      </c>
      <c r="B313" s="11" t="s">
        <v>366</v>
      </c>
      <c r="C313" t="s">
        <v>367</v>
      </c>
      <c r="D313" s="1"/>
      <c r="E313" s="1" t="str">
        <f>_xlfn.REGEXREPLACE(C313, "(.*)\/$", "https://extremismterms.adl.org\1")</f>
        <v>https://extremismterms.adl.org/glossary/mens-rights-activist-mra</v>
      </c>
      <c r="F313" s="1" t="str" cm="1">
        <f t="array" ref="F313">_xlfn.LET(_xlpm.rowNum,MATCH(E313,'glossaryterms-export'!C:C,0),
IF(AND(NOT(ISBLANK(INDEX('glossaryterms-export'!H:H,_xlpm.rowNum))),ISBLANK(INDEX('glossaryterms-export'!I:I,_xlpm.rowNum))),"Ready to Fix",""))</f>
        <v>Ready to Fix</v>
      </c>
      <c r="G313">
        <v>231</v>
      </c>
      <c r="H313">
        <v>207</v>
      </c>
      <c r="I313">
        <v>1.1159420289855</v>
      </c>
      <c r="J313">
        <v>20.995169082125599</v>
      </c>
      <c r="K313">
        <v>604</v>
      </c>
    </row>
    <row r="314" spans="1:11" ht="61.5">
      <c r="A314">
        <v>313</v>
      </c>
      <c r="B314" s="14" t="s">
        <v>5</v>
      </c>
      <c r="C314" t="s">
        <v>368</v>
      </c>
      <c r="D314" s="1" t="s">
        <v>20</v>
      </c>
      <c r="E314" s="1" t="str">
        <f>_xlfn.REGEXREPLACE(C314, "(.*)\/$", "https://extremismterms.adl.org\1")</f>
        <v>https://extremismterms.adl.org/glossary/cut-signs-cut-signing</v>
      </c>
      <c r="F314" s="1" t="str" cm="1">
        <f t="array" ref="F314">_xlfn.LET(_xlpm.rowNum,MATCH(E314,'glossaryterms-export'!C:C,0),
IF(AND(NOT(ISBLANK(INDEX('glossaryterms-export'!H:H,_xlpm.rowNum))),ISBLANK(INDEX('glossaryterms-export'!I:I,_xlpm.rowNum))),"Ready to Fix",""))</f>
        <v/>
      </c>
      <c r="G314">
        <v>225</v>
      </c>
      <c r="H314">
        <v>202</v>
      </c>
      <c r="I314">
        <v>1.11386138613861</v>
      </c>
      <c r="J314">
        <v>11.371287128712799</v>
      </c>
      <c r="K314">
        <v>556</v>
      </c>
    </row>
    <row r="315" spans="1:11" ht="61.5">
      <c r="A315">
        <v>314</v>
      </c>
      <c r="B315" s="14" t="s">
        <v>22</v>
      </c>
      <c r="C315" t="s">
        <v>369</v>
      </c>
      <c r="D315" s="1" t="s">
        <v>20</v>
      </c>
      <c r="E315" s="1" t="str">
        <f>_xlfn.REGEXREPLACE(C315, "(.*)\/$", "https://extremismterms.adl.org\1")</f>
        <v>https://extremismterms.adl.org/glossary/looksmaxxing</v>
      </c>
      <c r="F315" s="1" t="str" cm="1">
        <f t="array" ref="F315">_xlfn.LET(_xlpm.rowNum,MATCH(E315,'glossaryterms-export'!C:C,0),
IF(AND(NOT(ISBLANK(INDEX('glossaryterms-export'!H:H,_xlpm.rowNum))),ISBLANK(INDEX('glossaryterms-export'!I:I,_xlpm.rowNum))),"Ready to Fix",""))</f>
        <v/>
      </c>
      <c r="G315">
        <v>225</v>
      </c>
      <c r="H315">
        <v>212</v>
      </c>
      <c r="I315">
        <v>1.0613207547169801</v>
      </c>
      <c r="J315">
        <v>11.844339622641501</v>
      </c>
      <c r="K315">
        <v>573</v>
      </c>
    </row>
    <row r="316" spans="1:11" ht="92.25">
      <c r="A316">
        <v>315</v>
      </c>
      <c r="B316" s="14" t="s">
        <v>25</v>
      </c>
      <c r="C316" t="s">
        <v>370</v>
      </c>
      <c r="D316" s="1" t="s">
        <v>20</v>
      </c>
      <c r="E316" s="1" t="str">
        <f>_xlfn.REGEXREPLACE(C316, "(.*)\/$", "https://extremismterms.adl.org\1")</f>
        <v>https://extremismterms.adl.org/glossary/little-shell-pembina-band-north-america</v>
      </c>
      <c r="F316" s="1" t="str" cm="1">
        <f t="array" ref="F316">_xlfn.LET(_xlpm.rowNum,MATCH(E316,'glossaryterms-export'!C:C,0),
IF(AND(NOT(ISBLANK(INDEX('glossaryterms-export'!H:H,_xlpm.rowNum))),ISBLANK(INDEX('glossaryterms-export'!I:I,_xlpm.rowNum))),"Ready to Fix",""))</f>
        <v/>
      </c>
      <c r="G316">
        <v>223</v>
      </c>
      <c r="H316">
        <v>171</v>
      </c>
      <c r="I316">
        <v>1.30409356725146</v>
      </c>
      <c r="J316">
        <v>31.380116959064299</v>
      </c>
      <c r="K316">
        <v>818</v>
      </c>
    </row>
    <row r="317" spans="1:11" ht="61.5">
      <c r="A317">
        <v>316</v>
      </c>
      <c r="B317" s="16"/>
      <c r="C317" t="s">
        <v>371</v>
      </c>
      <c r="D317" s="1"/>
      <c r="E317" s="1" t="str">
        <f>_xlfn.REGEXREPLACE(C317, "(.*)\/$", "https://extremismterms.adl.org\1")</f>
        <v>https://extremismterms.adl.org/glossary/dirty-white-boys</v>
      </c>
      <c r="F317" s="1" t="str" cm="1">
        <f t="array" ref="F317">_xlfn.LET(_xlpm.rowNum,MATCH(E317,'glossaryterms-export'!C:C,0),
IF(AND(NOT(ISBLANK(INDEX('glossaryterms-export'!H:H,_xlpm.rowNum))),ISBLANK(INDEX('glossaryterms-export'!I:I,_xlpm.rowNum))),"Ready to Fix",""))</f>
        <v>Ready to Fix</v>
      </c>
      <c r="G317">
        <v>219</v>
      </c>
      <c r="H317">
        <v>198</v>
      </c>
      <c r="I317">
        <v>1.1060606060606</v>
      </c>
      <c r="J317">
        <v>19.570707070707002</v>
      </c>
      <c r="K317">
        <v>653</v>
      </c>
    </row>
    <row r="318" spans="1:11" ht="61.5">
      <c r="A318">
        <v>317</v>
      </c>
      <c r="B318" s="16"/>
      <c r="C318" t="s">
        <v>372</v>
      </c>
      <c r="D318" s="1"/>
      <c r="E318" s="1" t="str">
        <f>_xlfn.REGEXREPLACE(C318, "(.*)\/$", "https://extremismterms.adl.org\1")</f>
        <v>https://extremismterms.adl.org/glossary/hffh-symbol</v>
      </c>
      <c r="F318" s="1" t="str" cm="1">
        <f t="array" ref="F318">_xlfn.LET(_xlpm.rowNum,MATCH(E318,'glossaryterms-export'!C:C,0),
IF(AND(NOT(ISBLANK(INDEX('glossaryterms-export'!H:H,_xlpm.rowNum))),ISBLANK(INDEX('glossaryterms-export'!I:I,_xlpm.rowNum))),"Ready to Fix",""))</f>
        <v>Ready to Fix</v>
      </c>
      <c r="G318">
        <v>217</v>
      </c>
      <c r="H318">
        <v>191</v>
      </c>
      <c r="I318">
        <v>1.13612565445026</v>
      </c>
      <c r="J318">
        <v>13.6910994764397</v>
      </c>
      <c r="K318">
        <v>762</v>
      </c>
    </row>
    <row r="319" spans="1:11" ht="61.5">
      <c r="A319">
        <v>318</v>
      </c>
      <c r="B319" s="16"/>
      <c r="C319" t="s">
        <v>373</v>
      </c>
      <c r="D319" s="1"/>
      <c r="E319" s="1" t="str">
        <f>_xlfn.REGEXREPLACE(C319, "(.*)\/$", "https://extremismterms.adl.org\1")</f>
        <v>https://extremismterms.adl.org/glossary/red-elephants</v>
      </c>
      <c r="F319" s="1" t="str" cm="1">
        <f t="array" ref="F319">_xlfn.LET(_xlpm.rowNum,MATCH(E319,'glossaryterms-export'!C:C,0),
IF(AND(NOT(ISBLANK(INDEX('glossaryterms-export'!H:H,_xlpm.rowNum))),ISBLANK(INDEX('glossaryterms-export'!I:I,_xlpm.rowNum))),"Ready to Fix",""))</f>
        <v>Ready to Fix</v>
      </c>
      <c r="G319">
        <v>215</v>
      </c>
      <c r="H319">
        <v>178</v>
      </c>
      <c r="I319">
        <v>1.20786516853932</v>
      </c>
      <c r="J319">
        <v>14.3595505617977</v>
      </c>
      <c r="K319">
        <v>758</v>
      </c>
    </row>
    <row r="320" spans="1:11" ht="92.25">
      <c r="A320">
        <v>319</v>
      </c>
      <c r="B320" s="14" t="s">
        <v>25</v>
      </c>
      <c r="C320" t="s">
        <v>374</v>
      </c>
      <c r="D320" s="1" t="s">
        <v>20</v>
      </c>
      <c r="E320" s="1" t="str">
        <f>_xlfn.REGEXREPLACE(C320, "(.*)\/$", "https://extremismterms.adl.org\1")</f>
        <v>https://extremismterms.adl.org/glossary/redemption-theorystrawman-theory</v>
      </c>
      <c r="F320" s="1" t="str" cm="1">
        <f t="array" ref="F320">_xlfn.LET(_xlpm.rowNum,MATCH(E320,'glossaryterms-export'!C:C,0),
IF(AND(NOT(ISBLANK(INDEX('glossaryterms-export'!H:H,_xlpm.rowNum))),ISBLANK(INDEX('glossaryterms-export'!I:I,_xlpm.rowNum))),"Ready to Fix",""))</f>
        <v/>
      </c>
      <c r="G320">
        <v>215</v>
      </c>
      <c r="H320">
        <v>196</v>
      </c>
      <c r="I320">
        <v>1.0969387755102</v>
      </c>
      <c r="J320">
        <v>31.0459183673469</v>
      </c>
      <c r="K320">
        <v>873</v>
      </c>
    </row>
    <row r="321" spans="1:11" ht="61.5">
      <c r="A321">
        <v>320</v>
      </c>
      <c r="B321" s="16"/>
      <c r="C321" t="s">
        <v>375</v>
      </c>
      <c r="D321" s="1"/>
      <c r="E321" s="1" t="str">
        <f>_xlfn.REGEXREPLACE(C321, "(.*)\/$", "https://extremismterms.adl.org\1")</f>
        <v>https://extremismterms.adl.org/glossary/trust-planthe-plan</v>
      </c>
      <c r="F321" s="1" t="str" cm="1">
        <f t="array" ref="F321">_xlfn.LET(_xlpm.rowNum,MATCH(E321,'glossaryterms-export'!C:C,0),
IF(AND(NOT(ISBLANK(INDEX('glossaryterms-export'!H:H,_xlpm.rowNum))),ISBLANK(INDEX('glossaryterms-export'!I:I,_xlpm.rowNum))),"Ready to Fix",""))</f>
        <v/>
      </c>
      <c r="G321">
        <v>215</v>
      </c>
      <c r="H321">
        <v>186</v>
      </c>
      <c r="I321">
        <v>1.15591397849462</v>
      </c>
      <c r="J321">
        <v>16.2903225806451</v>
      </c>
      <c r="K321">
        <v>572</v>
      </c>
    </row>
    <row r="322" spans="1:11" ht="61.5">
      <c r="A322">
        <v>321</v>
      </c>
      <c r="B322" s="11" t="s">
        <v>223</v>
      </c>
      <c r="C322" t="s">
        <v>376</v>
      </c>
      <c r="D322" s="1" t="s">
        <v>20</v>
      </c>
      <c r="E322" s="1" t="str">
        <f>_xlfn.REGEXREPLACE(C322, "(.*)\/$", "https://extremismterms.adl.org\1")</f>
        <v>https://extremismterms.adl.org/glossary/white-pill</v>
      </c>
      <c r="F322" s="1" t="str" cm="1">
        <f t="array" ref="F322">_xlfn.LET(_xlpm.rowNum,MATCH(E322,'glossaryterms-export'!C:C,0),
IF(AND(NOT(ISBLANK(INDEX('glossaryterms-export'!H:H,_xlpm.rowNum))),ISBLANK(INDEX('glossaryterms-export'!I:I,_xlpm.rowNum))),"Ready to Fix",""))</f>
        <v/>
      </c>
      <c r="G322">
        <v>212</v>
      </c>
      <c r="H322">
        <v>182</v>
      </c>
      <c r="I322">
        <v>1.16483516483516</v>
      </c>
      <c r="J322">
        <v>19.901098900000001</v>
      </c>
      <c r="K322">
        <v>707</v>
      </c>
    </row>
    <row r="323" spans="1:11" ht="61.5">
      <c r="A323">
        <v>322</v>
      </c>
      <c r="B323" s="16"/>
      <c r="C323" t="s">
        <v>377</v>
      </c>
      <c r="D323" s="1"/>
      <c r="E323" s="1" t="str">
        <f>_xlfn.REGEXREPLACE(C323, "(.*)\/$", "https://extremismterms.adl.org\1")</f>
        <v>https://extremismterms.adl.org/glossary/henrik-palmgren</v>
      </c>
      <c r="F323" s="1" t="str" cm="1">
        <f t="array" ref="F323">_xlfn.LET(_xlpm.rowNum,MATCH(E323,'glossaryterms-export'!C:C,0),
IF(AND(NOT(ISBLANK(INDEX('glossaryterms-export'!H:H,_xlpm.rowNum))),ISBLANK(INDEX('glossaryterms-export'!I:I,_xlpm.rowNum))),"Ready to Fix",""))</f>
        <v>Ready to Fix</v>
      </c>
      <c r="G323">
        <v>209</v>
      </c>
      <c r="H323">
        <v>191</v>
      </c>
      <c r="I323">
        <v>1.09424083769633</v>
      </c>
      <c r="J323">
        <v>17.801047120418801</v>
      </c>
      <c r="K323">
        <v>733</v>
      </c>
    </row>
    <row r="324" spans="1:11" ht="92.25">
      <c r="A324">
        <v>323</v>
      </c>
      <c r="B324" s="16"/>
      <c r="C324" t="s">
        <v>378</v>
      </c>
      <c r="D324" s="1"/>
      <c r="E324" s="1" t="str">
        <f>_xlfn.REGEXREPLACE(C324, "(.*)\/$", "https://extremismterms.adl.org\1")</f>
        <v>https://extremismterms.adl.org/glossary/israelite-church-god-jesus-christ-icgjc</v>
      </c>
      <c r="F324" s="1" t="str" cm="1">
        <f t="array" ref="F324">_xlfn.LET(_xlpm.rowNum,MATCH(E324,'glossaryterms-export'!C:C,0),
IF(AND(NOT(ISBLANK(INDEX('glossaryterms-export'!H:H,_xlpm.rowNum))),ISBLANK(INDEX('glossaryterms-export'!I:I,_xlpm.rowNum))),"Ready to Fix",""))</f>
        <v/>
      </c>
      <c r="G324">
        <v>209</v>
      </c>
      <c r="H324">
        <v>182</v>
      </c>
      <c r="I324">
        <v>1.1483516483516401</v>
      </c>
      <c r="J324">
        <v>33.307692307692299</v>
      </c>
      <c r="K324">
        <v>807</v>
      </c>
    </row>
    <row r="325" spans="1:11" ht="61.5">
      <c r="A325">
        <v>324</v>
      </c>
      <c r="B325" s="16"/>
      <c r="C325" t="s">
        <v>379</v>
      </c>
      <c r="D325" s="1"/>
      <c r="E325" s="1" t="str">
        <f>_xlfn.REGEXREPLACE(C325, "(.*)\/$", "https://extremismterms.adl.org\1")</f>
        <v>https://extremismterms.adl.org/glossary/alex-jones</v>
      </c>
      <c r="F325" s="1" t="str" cm="1">
        <f t="array" ref="F325">_xlfn.LET(_xlpm.rowNum,MATCH(E325,'glossaryterms-export'!C:C,0),
IF(AND(NOT(ISBLANK(INDEX('glossaryterms-export'!H:H,_xlpm.rowNum))),ISBLANK(INDEX('glossaryterms-export'!I:I,_xlpm.rowNum))),"Ready to Fix",""))</f>
        <v>Ready to Fix</v>
      </c>
      <c r="G325">
        <v>208</v>
      </c>
      <c r="H325">
        <v>193</v>
      </c>
      <c r="I325">
        <v>1.0777202072538801</v>
      </c>
      <c r="J325">
        <v>13.4559585492227</v>
      </c>
      <c r="K325">
        <v>529</v>
      </c>
    </row>
    <row r="326" spans="1:11" ht="61.5">
      <c r="A326">
        <v>325</v>
      </c>
      <c r="B326" s="11" t="s">
        <v>22</v>
      </c>
      <c r="C326" t="s">
        <v>380</v>
      </c>
      <c r="D326" s="1"/>
      <c r="E326" s="1" t="str">
        <f>_xlfn.REGEXREPLACE(C326, "(.*)\/$", "https://extremismterms.adl.org\1")</f>
        <v>https://extremismterms.adl.org/glossary/stacystacey</v>
      </c>
      <c r="F326" s="1" t="str" cm="1">
        <f t="array" ref="F326">_xlfn.LET(_xlpm.rowNum,MATCH(E326,'glossaryterms-export'!C:C,0),
IF(AND(NOT(ISBLANK(INDEX('glossaryterms-export'!H:H,_xlpm.rowNum))),ISBLANK(INDEX('glossaryterms-export'!I:I,_xlpm.rowNum))),"Ready to Fix",""))</f>
        <v>Ready to Fix</v>
      </c>
      <c r="G326">
        <v>208</v>
      </c>
      <c r="H326">
        <v>191</v>
      </c>
      <c r="I326">
        <v>1.0890052356020901</v>
      </c>
      <c r="J326">
        <v>14.183246073298401</v>
      </c>
      <c r="K326">
        <v>595</v>
      </c>
    </row>
    <row r="327" spans="1:11" ht="61.5">
      <c r="A327">
        <v>326</v>
      </c>
      <c r="B327" s="16"/>
      <c r="C327" t="s">
        <v>381</v>
      </c>
      <c r="D327" s="1"/>
      <c r="E327" s="1" t="str">
        <f>_xlfn.REGEXREPLACE(C327, "(.*)\/$", "https://extremismterms.adl.org\1")</f>
        <v>https://extremismterms.adl.org/glossary/cuckservatives</v>
      </c>
      <c r="F327" s="1" t="str" cm="1">
        <f t="array" ref="F327">_xlfn.LET(_xlpm.rowNum,MATCH(E327,'glossaryterms-export'!C:C,0),
IF(AND(NOT(ISBLANK(INDEX('glossaryterms-export'!H:H,_xlpm.rowNum))),ISBLANK(INDEX('glossaryterms-export'!I:I,_xlpm.rowNum))),"Ready to Fix",""))</f>
        <v/>
      </c>
      <c r="G327">
        <v>204</v>
      </c>
      <c r="H327">
        <v>189</v>
      </c>
      <c r="I327">
        <v>1.07936507936507</v>
      </c>
      <c r="J327">
        <v>16.3650793650793</v>
      </c>
      <c r="K327">
        <v>454</v>
      </c>
    </row>
    <row r="328" spans="1:11" ht="61.5">
      <c r="A328">
        <v>327</v>
      </c>
      <c r="B328" s="16"/>
      <c r="C328" t="s">
        <v>382</v>
      </c>
      <c r="D328" s="1"/>
      <c r="E328" s="1" t="str">
        <f>_xlfn.REGEXREPLACE(C328, "(.*)\/$", "https://extremismterms.adl.org\1")</f>
        <v>https://extremismterms.adl.org/glossary/manosphere</v>
      </c>
      <c r="F328" s="1" t="str" cm="1">
        <f t="array" ref="F328">_xlfn.LET(_xlpm.rowNum,MATCH(E328,'glossaryterms-export'!C:C,0),
IF(AND(NOT(ISBLANK(INDEX('glossaryterms-export'!H:H,_xlpm.rowNum))),ISBLANK(INDEX('glossaryterms-export'!I:I,_xlpm.rowNum))),"Ready to Fix",""))</f>
        <v>Ready to Fix</v>
      </c>
      <c r="G328">
        <v>204</v>
      </c>
      <c r="H328">
        <v>183</v>
      </c>
      <c r="I328">
        <v>1.1147540983606501</v>
      </c>
      <c r="J328">
        <v>15.311475409836</v>
      </c>
      <c r="K328">
        <v>568</v>
      </c>
    </row>
    <row r="329" spans="1:11" ht="77.25">
      <c r="A329">
        <v>328</v>
      </c>
      <c r="B329" s="16"/>
      <c r="C329" t="s">
        <v>383</v>
      </c>
      <c r="D329" s="1"/>
      <c r="E329" s="1" t="str">
        <f>_xlfn.REGEXREPLACE(C329, "(.*)\/$", "https://extremismterms.adl.org\1")</f>
        <v>https://extremismterms.adl.org/glossary/aryan-nations-prison-gang</v>
      </c>
      <c r="F329" s="1" t="str" cm="1">
        <f t="array" ref="F329">_xlfn.LET(_xlpm.rowNum,MATCH(E329,'glossaryterms-export'!C:C,0),
IF(AND(NOT(ISBLANK(INDEX('glossaryterms-export'!H:H,_xlpm.rowNum))),ISBLANK(INDEX('glossaryterms-export'!I:I,_xlpm.rowNum))),"Ready to Fix",""))</f>
        <v>Ready to Fix</v>
      </c>
      <c r="G329">
        <v>203</v>
      </c>
      <c r="H329">
        <v>188</v>
      </c>
      <c r="I329">
        <v>1.0797872340425501</v>
      </c>
      <c r="J329">
        <v>16.563829787233999</v>
      </c>
      <c r="K329">
        <v>464</v>
      </c>
    </row>
    <row r="330" spans="1:11" ht="61.5">
      <c r="A330">
        <v>329</v>
      </c>
      <c r="B330" s="16"/>
      <c r="C330" t="s">
        <v>384</v>
      </c>
      <c r="D330" s="1"/>
      <c r="E330" s="1" t="str">
        <f>_xlfn.REGEXREPLACE(C330, "(.*)\/$", "https://extremismterms.adl.org\1")</f>
        <v>https://extremismterms.adl.org/glossary/yahya-sinwar</v>
      </c>
      <c r="F330" s="1" t="str" cm="1">
        <f t="array" ref="F330">_xlfn.LET(_xlpm.rowNum,MATCH(E330,'glossaryterms-export'!C:C,0),
IF(AND(NOT(ISBLANK(INDEX('glossaryterms-export'!H:H,_xlpm.rowNum))),ISBLANK(INDEX('glossaryterms-export'!I:I,_xlpm.rowNum))),"Ready to Fix",""))</f>
        <v>Ready to Fix</v>
      </c>
      <c r="G330">
        <v>202</v>
      </c>
      <c r="H330">
        <v>181</v>
      </c>
      <c r="I330">
        <v>1.1160220994475101</v>
      </c>
      <c r="J330">
        <v>28.773480662983399</v>
      </c>
      <c r="K330">
        <v>799</v>
      </c>
    </row>
    <row r="331" spans="1:11" ht="61.5">
      <c r="A331">
        <v>330</v>
      </c>
      <c r="B331" s="16"/>
      <c r="C331" t="s">
        <v>385</v>
      </c>
      <c r="D331" s="1"/>
      <c r="E331" s="1" t="str">
        <f>_xlfn.REGEXREPLACE(C331, "(.*)\/$", "https://extremismterms.adl.org\1")</f>
        <v>https://extremismterms.adl.org/glossary/ye-right</v>
      </c>
      <c r="F331" s="1" t="str" cm="1">
        <f t="array" ref="F331">_xlfn.LET(_xlpm.rowNum,MATCH(E331,'glossaryterms-export'!C:C,0),
IF(AND(NOT(ISBLANK(INDEX('glossaryterms-export'!H:H,_xlpm.rowNum))),ISBLANK(INDEX('glossaryterms-export'!I:I,_xlpm.rowNum))),"Ready to Fix",""))</f>
        <v>Ready to Fix</v>
      </c>
      <c r="G331">
        <v>202</v>
      </c>
      <c r="H331">
        <v>172</v>
      </c>
      <c r="I331">
        <v>1.17441860465116</v>
      </c>
      <c r="J331">
        <v>15.1279069767441</v>
      </c>
      <c r="K331">
        <v>627</v>
      </c>
    </row>
    <row r="332" spans="1:11" ht="77.25">
      <c r="A332">
        <v>331</v>
      </c>
      <c r="B332" s="16"/>
      <c r="C332" t="s">
        <v>386</v>
      </c>
      <c r="D332" s="1"/>
      <c r="E332" s="1" t="str">
        <f>_xlfn.REGEXREPLACE(C332, "(.*)\/$", "https://extremismterms.adl.org\1")</f>
        <v>https://extremismterms.adl.org/glossary/empire-state-stormers-ess</v>
      </c>
      <c r="F332" s="1" t="str" cm="1">
        <f t="array" ref="F332">_xlfn.LET(_xlpm.rowNum,MATCH(E332,'glossaryterms-export'!C:C,0),
IF(AND(NOT(ISBLANK(INDEX('glossaryterms-export'!H:H,_xlpm.rowNum))),ISBLANK(INDEX('glossaryterms-export'!I:I,_xlpm.rowNum))),"Ready to Fix",""))</f>
        <v/>
      </c>
      <c r="G332">
        <v>201</v>
      </c>
      <c r="H332">
        <v>171</v>
      </c>
      <c r="I332">
        <v>1.17543859649122</v>
      </c>
      <c r="J332">
        <v>21.128654970760198</v>
      </c>
      <c r="K332">
        <v>708</v>
      </c>
    </row>
    <row r="333" spans="1:11" ht="61.5">
      <c r="A333">
        <v>332</v>
      </c>
      <c r="B333" s="16"/>
      <c r="C333" t="s">
        <v>387</v>
      </c>
      <c r="D333" s="1"/>
      <c r="E333" s="1" t="str">
        <f>_xlfn.REGEXREPLACE(C333, "(.*)\/$", "https://extremismterms.adl.org\1")</f>
        <v>https://extremismterms.adl.org/glossary/kevin-barrett</v>
      </c>
      <c r="F333" s="1" t="str" cm="1">
        <f t="array" ref="F333">_xlfn.LET(_xlpm.rowNum,MATCH(E333,'glossaryterms-export'!C:C,0),
IF(AND(NOT(ISBLANK(INDEX('glossaryterms-export'!H:H,_xlpm.rowNum))),ISBLANK(INDEX('glossaryterms-export'!I:I,_xlpm.rowNum))),"Ready to Fix",""))</f>
        <v/>
      </c>
      <c r="G333">
        <v>201</v>
      </c>
      <c r="H333">
        <v>153</v>
      </c>
      <c r="I333">
        <v>1.31372549019607</v>
      </c>
      <c r="J333">
        <v>30.006535947712401</v>
      </c>
      <c r="K333">
        <v>761</v>
      </c>
    </row>
    <row r="334" spans="1:11" ht="77.25">
      <c r="A334">
        <v>333</v>
      </c>
      <c r="B334" s="16"/>
      <c r="C334" t="s">
        <v>388</v>
      </c>
      <c r="D334" s="1"/>
      <c r="E334" s="1" t="str">
        <f>_xlfn.REGEXREPLACE(C334, "(.*)\/$", "https://extremismterms.adl.org\1")</f>
        <v>https://extremismterms.adl.org/glossary/bullion-state-nationalists-bsn</v>
      </c>
      <c r="F334" s="1" t="str" cm="1">
        <f t="array" ref="F334">_xlfn.LET(_xlpm.rowNum,MATCH(E334,'glossaryterms-export'!C:C,0),
IF(AND(NOT(ISBLANK(INDEX('glossaryterms-export'!H:H,_xlpm.rowNum))),ISBLANK(INDEX('glossaryterms-export'!I:I,_xlpm.rowNum))),"Ready to Fix",""))</f>
        <v/>
      </c>
      <c r="G334">
        <v>199</v>
      </c>
      <c r="H334">
        <v>178</v>
      </c>
      <c r="I334">
        <v>1.11797752808988</v>
      </c>
      <c r="J334">
        <v>18.4157303370786</v>
      </c>
      <c r="K334">
        <v>563</v>
      </c>
    </row>
    <row r="335" spans="1:11" ht="61.5">
      <c r="A335">
        <v>334</v>
      </c>
      <c r="B335" s="16"/>
      <c r="C335" t="s">
        <v>389</v>
      </c>
      <c r="D335" s="1"/>
      <c r="E335" s="1" t="str">
        <f>_xlfn.REGEXREPLACE(C335, "(.*)\/$", "https://extremismterms.adl.org\1")</f>
        <v>https://extremismterms.adl.org/glossary/life-rune</v>
      </c>
      <c r="F335" s="1" t="str" cm="1">
        <f t="array" ref="F335">_xlfn.LET(_xlpm.rowNum,MATCH(E335,'glossaryterms-export'!C:C,0),
IF(AND(NOT(ISBLANK(INDEX('glossaryterms-export'!H:H,_xlpm.rowNum))),ISBLANK(INDEX('glossaryterms-export'!I:I,_xlpm.rowNum))),"Ready to Fix",""))</f>
        <v>Ready to Fix</v>
      </c>
      <c r="G335">
        <v>195</v>
      </c>
      <c r="H335">
        <v>168</v>
      </c>
      <c r="I335">
        <v>1.16071428571428</v>
      </c>
      <c r="J335">
        <v>19.505952380952301</v>
      </c>
      <c r="K335">
        <v>500</v>
      </c>
    </row>
    <row r="336" spans="1:11" ht="61.5">
      <c r="A336">
        <v>335</v>
      </c>
      <c r="B336" s="16"/>
      <c r="C336" t="s">
        <v>390</v>
      </c>
      <c r="D336" s="1"/>
      <c r="E336" s="1" t="str">
        <f>_xlfn.REGEXREPLACE(C336, "(.*)\/$", "https://extremismterms.adl.org\1")</f>
        <v>https://extremismterms.adl.org/glossary/ss-bolts</v>
      </c>
      <c r="F336" s="1" t="str" cm="1">
        <f t="array" ref="F336">_xlfn.LET(_xlpm.rowNum,MATCH(E336,'glossaryterms-export'!C:C,0),
IF(AND(NOT(ISBLANK(INDEX('glossaryterms-export'!H:H,_xlpm.rowNum))),ISBLANK(INDEX('glossaryterms-export'!I:I,_xlpm.rowNum))),"Ready to Fix",""))</f>
        <v>Ready to Fix</v>
      </c>
      <c r="G336">
        <v>194</v>
      </c>
      <c r="H336">
        <v>175</v>
      </c>
      <c r="I336">
        <v>1.1085714285714201</v>
      </c>
      <c r="J336">
        <v>16.948571428571402</v>
      </c>
      <c r="K336">
        <v>644</v>
      </c>
    </row>
    <row r="337" spans="1:11" ht="61.5">
      <c r="A337">
        <v>336</v>
      </c>
      <c r="B337" s="16"/>
      <c r="C337" t="s">
        <v>391</v>
      </c>
      <c r="D337" s="1"/>
      <c r="E337" s="1" t="str">
        <f>_xlfn.REGEXREPLACE(C337, "(.*)\/$", "https://extremismterms.adl.org\1")</f>
        <v>https://extremismterms.adl.org/glossary/peckerwood</v>
      </c>
      <c r="F337" s="1" t="str" cm="1">
        <f t="array" ref="F337">_xlfn.LET(_xlpm.rowNum,MATCH(E337,'glossaryterms-export'!C:C,0),
IF(AND(NOT(ISBLANK(INDEX('glossaryterms-export'!H:H,_xlpm.rowNum))),ISBLANK(INDEX('glossaryterms-export'!I:I,_xlpm.rowNum))),"Ready to Fix",""))</f>
        <v>Ready to Fix</v>
      </c>
      <c r="G337">
        <v>193</v>
      </c>
      <c r="H337">
        <v>174</v>
      </c>
      <c r="I337">
        <v>1.1091954022988499</v>
      </c>
      <c r="J337">
        <v>20.178160919540201</v>
      </c>
      <c r="K337">
        <v>557</v>
      </c>
    </row>
    <row r="338" spans="1:11" ht="77.25">
      <c r="A338">
        <v>337</v>
      </c>
      <c r="B338" s="16"/>
      <c r="C338" t="s">
        <v>392</v>
      </c>
      <c r="D338" s="1"/>
      <c r="E338" s="1" t="str">
        <f>_xlfn.REGEXREPLACE(C338, "(.*)\/$", "https://extremismterms.adl.org\1")</f>
        <v>https://extremismterms.adl.org/glossary/rise-above-movement-ram</v>
      </c>
      <c r="F338" s="1" t="str" cm="1">
        <f t="array" ref="F338">_xlfn.LET(_xlpm.rowNum,MATCH(E338,'glossaryterms-export'!C:C,0),
IF(AND(NOT(ISBLANK(INDEX('glossaryterms-export'!H:H,_xlpm.rowNum))),ISBLANK(INDEX('glossaryterms-export'!I:I,_xlpm.rowNum))),"Ready to Fix",""))</f>
        <v/>
      </c>
      <c r="G338">
        <v>193</v>
      </c>
      <c r="H338">
        <v>176</v>
      </c>
      <c r="I338">
        <v>1.0965909090909001</v>
      </c>
      <c r="J338">
        <v>16.409090909090899</v>
      </c>
      <c r="K338">
        <v>533</v>
      </c>
    </row>
    <row r="339" spans="1:11" ht="61.5">
      <c r="A339">
        <v>338</v>
      </c>
      <c r="B339" s="16"/>
      <c r="C339" t="s">
        <v>393</v>
      </c>
      <c r="D339" s="1"/>
      <c r="E339" s="1" t="str">
        <f>_xlfn.REGEXREPLACE(C339, "(.*)\/$", "https://extremismterms.adl.org\1")</f>
        <v>https://extremismterms.adl.org/glossary/combat-18</v>
      </c>
      <c r="F339" s="1" t="str" cm="1">
        <f t="array" ref="F339">_xlfn.LET(_xlpm.rowNum,MATCH(E339,'glossaryterms-export'!C:C,0),
IF(AND(NOT(ISBLANK(INDEX('glossaryterms-export'!H:H,_xlpm.rowNum))),ISBLANK(INDEX('glossaryterms-export'!I:I,_xlpm.rowNum))),"Ready to Fix",""))</f>
        <v>Ready to Fix</v>
      </c>
      <c r="G339">
        <v>191</v>
      </c>
      <c r="H339">
        <v>177</v>
      </c>
      <c r="I339">
        <v>1.079096045</v>
      </c>
      <c r="J339">
        <v>20.757062146892601</v>
      </c>
      <c r="K339">
        <v>492</v>
      </c>
    </row>
    <row r="340" spans="1:11" ht="61.5">
      <c r="A340">
        <v>339</v>
      </c>
      <c r="B340" s="16"/>
      <c r="C340" t="s">
        <v>394</v>
      </c>
      <c r="D340" s="1"/>
      <c r="E340" s="1" t="str">
        <f>_xlfn.REGEXREPLACE(C340, "(.*)\/$", "https://extremismterms.adl.org\1")</f>
        <v>https://extremismterms.adl.org/glossary/earth-first</v>
      </c>
      <c r="F340" s="1" t="str" cm="1">
        <f t="array" ref="F340">_xlfn.LET(_xlpm.rowNum,MATCH(E340,'glossaryterms-export'!C:C,0),
IF(AND(NOT(ISBLANK(INDEX('glossaryterms-export'!H:H,_xlpm.rowNum))),ISBLANK(INDEX('glossaryterms-export'!I:I,_xlpm.rowNum))),"Ready to Fix",""))</f>
        <v/>
      </c>
      <c r="G340">
        <v>189</v>
      </c>
      <c r="H340">
        <v>174</v>
      </c>
      <c r="I340">
        <v>1.08620689655172</v>
      </c>
      <c r="J340">
        <v>27.735632183907999</v>
      </c>
      <c r="K340">
        <v>498</v>
      </c>
    </row>
    <row r="341" spans="1:11" ht="61.5">
      <c r="A341">
        <v>340</v>
      </c>
      <c r="B341" s="11" t="s">
        <v>223</v>
      </c>
      <c r="C341" t="s">
        <v>395</v>
      </c>
      <c r="D341" s="1" t="s">
        <v>20</v>
      </c>
      <c r="E341" s="1" t="str">
        <f>_xlfn.REGEXREPLACE(C341, "(.*)\/$", "https://extremismterms.adl.org\1")</f>
        <v>https://extremismterms.adl.org/glossary/black-pill</v>
      </c>
      <c r="F341" s="1" t="str" cm="1">
        <f t="array" ref="F341">_xlfn.LET(_xlpm.rowNum,MATCH(E341,'glossaryterms-export'!C:C,0),
IF(AND(NOT(ISBLANK(INDEX('glossaryterms-export'!H:H,_xlpm.rowNum))),ISBLANK(INDEX('glossaryterms-export'!I:I,_xlpm.rowNum))),"Ready to Fix",""))</f>
        <v/>
      </c>
      <c r="G341">
        <v>187</v>
      </c>
      <c r="H341">
        <v>168</v>
      </c>
      <c r="I341">
        <v>1.1130952380952299</v>
      </c>
      <c r="J341">
        <v>22.702380952380899</v>
      </c>
      <c r="K341">
        <v>561</v>
      </c>
    </row>
    <row r="342" spans="1:11" ht="61.5">
      <c r="A342">
        <v>341</v>
      </c>
      <c r="B342" s="16"/>
      <c r="C342" t="s">
        <v>396</v>
      </c>
      <c r="D342" s="1"/>
      <c r="E342" s="1" t="str">
        <f>_xlfn.REGEXREPLACE(C342, "(.*)\/$", "https://extremismterms.adl.org\1")</f>
        <v>https://extremismterms.adl.org/glossary/day-rope</v>
      </c>
      <c r="F342" s="1" t="str" cm="1">
        <f t="array" ref="F342">_xlfn.LET(_xlpm.rowNum,MATCH(E342,'glossaryterms-export'!C:C,0),
IF(AND(NOT(ISBLANK(INDEX('glossaryterms-export'!H:H,_xlpm.rowNum))),ISBLANK(INDEX('glossaryterms-export'!I:I,_xlpm.rowNum))),"Ready to Fix",""))</f>
        <v>Ready to Fix</v>
      </c>
      <c r="G342">
        <v>187</v>
      </c>
      <c r="H342">
        <v>169</v>
      </c>
      <c r="I342">
        <v>1.10650887573964</v>
      </c>
      <c r="J342">
        <v>12.644970414201101</v>
      </c>
      <c r="K342">
        <v>504</v>
      </c>
    </row>
    <row r="343" spans="1:11" ht="46.5">
      <c r="A343">
        <v>342</v>
      </c>
      <c r="B343" s="16"/>
      <c r="C343" t="s">
        <v>397</v>
      </c>
      <c r="D343" s="1"/>
      <c r="E343" s="1" t="str">
        <f>_xlfn.REGEXREPLACE(C343, "(.*)\/$", "https://extremismterms.adl.org\1")</f>
        <v>https://extremismterms.adl.org/glossary/336</v>
      </c>
      <c r="F343" s="1" t="str" cm="1">
        <f t="array" ref="F343">_xlfn.LET(_xlpm.rowNum,MATCH(E343,'glossaryterms-export'!C:C,0),
IF(AND(NOT(ISBLANK(INDEX('glossaryterms-export'!H:H,_xlpm.rowNum))),ISBLANK(INDEX('glossaryterms-export'!I:I,_xlpm.rowNum))),"Ready to Fix",""))</f>
        <v>Ready to Fix</v>
      </c>
      <c r="G343">
        <v>186</v>
      </c>
      <c r="H343">
        <v>173</v>
      </c>
      <c r="I343">
        <v>1.07514450867052</v>
      </c>
      <c r="J343">
        <v>11.994219653179099</v>
      </c>
      <c r="K343">
        <v>420</v>
      </c>
    </row>
    <row r="344" spans="1:11" ht="61.5">
      <c r="A344">
        <v>343</v>
      </c>
      <c r="B344" s="16"/>
      <c r="C344" t="s">
        <v>398</v>
      </c>
      <c r="D344" s="1"/>
      <c r="E344" s="1" t="str">
        <f>_xlfn.REGEXREPLACE(C344, "(.*)\/$", "https://extremismterms.adl.org\1")</f>
        <v>https://extremismterms.adl.org/glossary/freemasonry</v>
      </c>
      <c r="F344" s="1" t="str" cm="1">
        <f t="array" ref="F344">_xlfn.LET(_xlpm.rowNum,MATCH(E344,'glossaryterms-export'!C:C,0),
IF(AND(NOT(ISBLANK(INDEX('glossaryterms-export'!H:H,_xlpm.rowNum))),ISBLANK(INDEX('glossaryterms-export'!I:I,_xlpm.rowNum))),"Ready to Fix",""))</f>
        <v/>
      </c>
      <c r="G344">
        <v>186</v>
      </c>
      <c r="H344">
        <v>162</v>
      </c>
      <c r="I344">
        <v>1.1481481481481399</v>
      </c>
      <c r="J344">
        <v>15.5864197530864</v>
      </c>
      <c r="K344">
        <v>545</v>
      </c>
    </row>
    <row r="345" spans="1:11" ht="77.25">
      <c r="A345">
        <v>344</v>
      </c>
      <c r="B345" s="16"/>
      <c r="C345" t="s">
        <v>399</v>
      </c>
      <c r="D345" s="1"/>
      <c r="E345" s="1" t="str">
        <f>_xlfn.REGEXREPLACE(C345, "(.*)\/$", "https://extremismterms.adl.org\1")</f>
        <v>https://extremismterms.adl.org/glossary/palestine-liberation-front</v>
      </c>
      <c r="F345" s="1" t="str" cm="1">
        <f t="array" ref="F345">_xlfn.LET(_xlpm.rowNum,MATCH(E345,'glossaryterms-export'!C:C,0),
IF(AND(NOT(ISBLANK(INDEX('glossaryterms-export'!H:H,_xlpm.rowNum))),ISBLANK(INDEX('glossaryterms-export'!I:I,_xlpm.rowNum))),"Ready to Fix",""))</f>
        <v/>
      </c>
      <c r="G345">
        <v>186</v>
      </c>
      <c r="H345">
        <v>172</v>
      </c>
      <c r="I345">
        <v>1.0813953488371999</v>
      </c>
      <c r="J345">
        <v>20.988372093023202</v>
      </c>
      <c r="K345">
        <v>499</v>
      </c>
    </row>
    <row r="346" spans="1:11" ht="61.5">
      <c r="A346">
        <v>345</v>
      </c>
      <c r="B346" s="16"/>
      <c r="C346" t="s">
        <v>400</v>
      </c>
      <c r="D346" s="1"/>
      <c r="E346" s="1" t="str">
        <f>_xlfn.REGEXREPLACE(C346, "(.*)\/$", "https://extremismterms.adl.org\1")</f>
        <v>https://extremismterms.adl.org/glossary/chuck-baldwin</v>
      </c>
      <c r="F346" s="1" t="str" cm="1">
        <f t="array" ref="F346">_xlfn.LET(_xlpm.rowNum,MATCH(E346,'glossaryterms-export'!C:C,0),
IF(AND(NOT(ISBLANK(INDEX('glossaryterms-export'!H:H,_xlpm.rowNum))),ISBLANK(INDEX('glossaryterms-export'!I:I,_xlpm.rowNum))),"Ready to Fix",""))</f>
        <v>Ready to Fix</v>
      </c>
      <c r="G346">
        <v>185</v>
      </c>
      <c r="H346">
        <v>164</v>
      </c>
      <c r="I346">
        <v>1.1280487804878001</v>
      </c>
      <c r="J346">
        <v>34.993902439024303</v>
      </c>
      <c r="K346">
        <v>545</v>
      </c>
    </row>
    <row r="347" spans="1:11" ht="61.5">
      <c r="A347">
        <v>346</v>
      </c>
      <c r="B347" s="16"/>
      <c r="C347" t="s">
        <v>401</v>
      </c>
      <c r="D347" s="1"/>
      <c r="E347" s="1" t="str">
        <f>_xlfn.REGEXREPLACE(C347, "(.*)\/$", "https://extremismterms.adl.org\1")</f>
        <v>https://extremismterms.adl.org/glossary/israel-united-christ</v>
      </c>
      <c r="F347" s="1" t="str" cm="1">
        <f t="array" ref="F347">_xlfn.LET(_xlpm.rowNum,MATCH(E347,'glossaryterms-export'!C:C,0),
IF(AND(NOT(ISBLANK(INDEX('glossaryterms-export'!H:H,_xlpm.rowNum))),ISBLANK(INDEX('glossaryterms-export'!I:I,_xlpm.rowNum))),"Ready to Fix",""))</f>
        <v>Ready to Fix</v>
      </c>
      <c r="G347">
        <v>185</v>
      </c>
      <c r="H347">
        <v>161</v>
      </c>
      <c r="I347">
        <v>1.1490683229813601</v>
      </c>
      <c r="J347">
        <v>19.869565217391301</v>
      </c>
      <c r="K347">
        <v>630</v>
      </c>
    </row>
    <row r="348" spans="1:11" ht="61.5">
      <c r="A348">
        <v>347</v>
      </c>
      <c r="B348" s="11" t="s">
        <v>36</v>
      </c>
      <c r="C348" t="s">
        <v>402</v>
      </c>
      <c r="D348" s="1"/>
      <c r="E348" s="1" t="str">
        <f>_xlfn.REGEXREPLACE(C348, "(.*)\/$", "https://extremismterms.adl.org\1")</f>
        <v>https://extremismterms.adl.org/glossary/proud-boys</v>
      </c>
      <c r="F348" s="1" t="str" cm="1">
        <f t="array" ref="F348">_xlfn.LET(_xlpm.rowNum,MATCH(E348,'glossaryterms-export'!C:C,0),
IF(AND(NOT(ISBLANK(INDEX('glossaryterms-export'!H:H,_xlpm.rowNum))),ISBLANK(INDEX('glossaryterms-export'!I:I,_xlpm.rowNum))),"Ready to Fix",""))</f>
        <v/>
      </c>
      <c r="G348">
        <v>185</v>
      </c>
      <c r="H348">
        <v>156</v>
      </c>
      <c r="I348">
        <v>1.1858974358974299</v>
      </c>
      <c r="J348">
        <v>34.538461538461497</v>
      </c>
      <c r="K348">
        <v>548</v>
      </c>
    </row>
    <row r="349" spans="1:11" ht="61.5">
      <c r="A349">
        <v>348</v>
      </c>
      <c r="B349" s="16"/>
      <c r="C349" t="s">
        <v>403</v>
      </c>
      <c r="D349" s="1"/>
      <c r="E349" s="1" t="str">
        <f>_xlfn.REGEXREPLACE(C349, "(.*)\/$", "https://extremismterms.adl.org\1")</f>
        <v>https://extremismterms.adl.org/glossary/inspire-magazine</v>
      </c>
      <c r="F349" s="1" t="str" cm="1">
        <f t="array" ref="F349">_xlfn.LET(_xlpm.rowNum,MATCH(E349,'glossaryterms-export'!C:C,0),
IF(AND(NOT(ISBLANK(INDEX('glossaryterms-export'!H:H,_xlpm.rowNum))),ISBLANK(INDEX('glossaryterms-export'!I:I,_xlpm.rowNum))),"Ready to Fix",""))</f>
        <v/>
      </c>
      <c r="G349">
        <v>184</v>
      </c>
      <c r="H349">
        <v>160</v>
      </c>
      <c r="I349">
        <v>1.1499999999999999</v>
      </c>
      <c r="J349">
        <v>13.3</v>
      </c>
      <c r="K349">
        <v>552</v>
      </c>
    </row>
    <row r="350" spans="1:11" ht="61.5">
      <c r="A350">
        <v>349</v>
      </c>
      <c r="B350" s="16"/>
      <c r="C350" t="s">
        <v>404</v>
      </c>
      <c r="D350" s="1"/>
      <c r="E350" s="1" t="str">
        <f>_xlfn.REGEXREPLACE(C350, "(.*)\/$", "https://extremismterms.adl.org\1")</f>
        <v>https://extremismterms.adl.org/glossary/big-luau</v>
      </c>
      <c r="F350" s="1" t="str" cm="1">
        <f t="array" ref="F350">_xlfn.LET(_xlpm.rowNum,MATCH(E350,'glossaryterms-export'!C:C,0),
IF(AND(NOT(ISBLANK(INDEX('glossaryterms-export'!H:H,_xlpm.rowNum))),ISBLANK(INDEX('glossaryterms-export'!I:I,_xlpm.rowNum))),"Ready to Fix",""))</f>
        <v/>
      </c>
      <c r="G350">
        <v>183</v>
      </c>
      <c r="H350">
        <v>171</v>
      </c>
      <c r="I350">
        <v>1.0701754385964899</v>
      </c>
      <c r="J350">
        <v>11.2105263157894</v>
      </c>
      <c r="K350">
        <v>525</v>
      </c>
    </row>
    <row r="351" spans="1:11" ht="61.5">
      <c r="A351">
        <v>350</v>
      </c>
      <c r="B351" s="16"/>
      <c r="C351" t="s">
        <v>405</v>
      </c>
      <c r="D351" s="1"/>
      <c r="E351" s="1" t="str">
        <f>_xlfn.REGEXREPLACE(C351, "(.*)\/$", "https://extremismterms.adl.org\1")</f>
        <v>https://extremismterms.adl.org/glossary/iron-cross</v>
      </c>
      <c r="F351" s="1" t="str" cm="1">
        <f t="array" ref="F351">_xlfn.LET(_xlpm.rowNum,MATCH(E351,'glossaryterms-export'!C:C,0),
IF(AND(NOT(ISBLANK(INDEX('glossaryterms-export'!H:H,_xlpm.rowNum))),ISBLANK(INDEX('glossaryterms-export'!I:I,_xlpm.rowNum))),"Ready to Fix",""))</f>
        <v>Ready to Fix</v>
      </c>
      <c r="G351">
        <v>181</v>
      </c>
      <c r="H351">
        <v>167</v>
      </c>
      <c r="I351">
        <v>1.08383233532934</v>
      </c>
      <c r="J351">
        <v>16.946107784431099</v>
      </c>
      <c r="K351">
        <v>458</v>
      </c>
    </row>
    <row r="352" spans="1:11" ht="77.25">
      <c r="A352">
        <v>351</v>
      </c>
      <c r="B352" s="16"/>
      <c r="C352" t="s">
        <v>406</v>
      </c>
      <c r="D352" s="1"/>
      <c r="E352" s="1" t="str">
        <f>_xlfn.REGEXREPLACE(C352, "(.*)\/$", "https://extremismterms.adl.org\1")</f>
        <v>https://extremismterms.adl.org/glossary/right-wing-extremism</v>
      </c>
      <c r="F352" s="1" t="str" cm="1">
        <f t="array" ref="F352">_xlfn.LET(_xlpm.rowNum,MATCH(E352,'glossaryterms-export'!C:C,0),
IF(AND(NOT(ISBLANK(INDEX('glossaryterms-export'!H:H,_xlpm.rowNum))),ISBLANK(INDEX('glossaryterms-export'!I:I,_xlpm.rowNum))),"Ready to Fix",""))</f>
        <v/>
      </c>
      <c r="G352">
        <v>181</v>
      </c>
      <c r="H352">
        <v>143</v>
      </c>
      <c r="I352">
        <v>1.2657342657342601</v>
      </c>
      <c r="J352">
        <v>36.062937062937003</v>
      </c>
      <c r="K352">
        <v>650</v>
      </c>
    </row>
    <row r="353" spans="1:11" ht="77.25">
      <c r="A353">
        <v>352</v>
      </c>
      <c r="B353" s="16"/>
      <c r="C353" t="s">
        <v>407</v>
      </c>
      <c r="D353" s="1"/>
      <c r="E353" s="1" t="str">
        <f>_xlfn.REGEXREPLACE(C353, "(.*)\/$", "https://extremismterms.adl.org\1")</f>
        <v>https://extremismterms.adl.org/glossary/ishmael-muhammad</v>
      </c>
      <c r="F353" s="1" t="str" cm="1">
        <f t="array" ref="F353">_xlfn.LET(_xlpm.rowNum,MATCH(E353,'glossaryterms-export'!C:C,0),
IF(AND(NOT(ISBLANK(INDEX('glossaryterms-export'!H:H,_xlpm.rowNum))),ISBLANK(INDEX('glossaryterms-export'!I:I,_xlpm.rowNum))),"Ready to Fix",""))</f>
        <v>Ready to Fix</v>
      </c>
      <c r="G353">
        <v>180</v>
      </c>
      <c r="H353">
        <v>168</v>
      </c>
      <c r="I353">
        <v>1.0714285714285701</v>
      </c>
      <c r="J353">
        <v>17</v>
      </c>
      <c r="K353">
        <v>513</v>
      </c>
    </row>
    <row r="354" spans="1:11" ht="61.5">
      <c r="A354">
        <v>353</v>
      </c>
      <c r="B354" s="16"/>
      <c r="C354" t="s">
        <v>408</v>
      </c>
      <c r="D354" s="1"/>
      <c r="E354" s="1" t="str">
        <f>_xlfn.REGEXREPLACE(C354, "(.*)\/$", "https://extremismterms.adl.org\1")</f>
        <v>https://extremismterms.adl.org/glossary/military-only-way</v>
      </c>
      <c r="F354" s="1" t="str" cm="1">
        <f t="array" ref="F354">_xlfn.LET(_xlpm.rowNum,MATCH(E354,'glossaryterms-export'!C:C,0),
IF(AND(NOT(ISBLANK(INDEX('glossaryterms-export'!H:H,_xlpm.rowNum))),ISBLANK(INDEX('glossaryterms-export'!I:I,_xlpm.rowNum))),"Ready to Fix",""))</f>
        <v/>
      </c>
      <c r="G354">
        <v>179</v>
      </c>
      <c r="H354">
        <v>160</v>
      </c>
      <c r="I354">
        <v>1.1187499999999999</v>
      </c>
      <c r="J354">
        <v>12.425000000000001</v>
      </c>
      <c r="K354">
        <v>699</v>
      </c>
    </row>
    <row r="355" spans="1:11" ht="77.25">
      <c r="A355">
        <v>354</v>
      </c>
      <c r="B355" s="16"/>
      <c r="C355" t="s">
        <v>409</v>
      </c>
      <c r="D355" s="1"/>
      <c r="E355" s="1" t="str">
        <f>_xlfn.REGEXREPLACE(C355, "(.*)\/$", "https://extremismterms.adl.org\1")</f>
        <v>https://extremismterms.adl.org/glossary/black-hebrew-israelites-bhi</v>
      </c>
      <c r="F355" s="1" t="str" cm="1">
        <f t="array" ref="F355">_xlfn.LET(_xlpm.rowNum,MATCH(E355,'glossaryterms-export'!C:C,0),
IF(AND(NOT(ISBLANK(INDEX('glossaryterms-export'!H:H,_xlpm.rowNum))),ISBLANK(INDEX('glossaryterms-export'!I:I,_xlpm.rowNum))),"Ready to Fix",""))</f>
        <v/>
      </c>
      <c r="G355">
        <v>177</v>
      </c>
      <c r="H355">
        <v>160</v>
      </c>
      <c r="I355">
        <v>1.10625</v>
      </c>
      <c r="J355">
        <v>18.087499999999999</v>
      </c>
      <c r="K355">
        <v>464</v>
      </c>
    </row>
    <row r="356" spans="1:11" ht="61.5">
      <c r="A356">
        <v>355</v>
      </c>
      <c r="B356" s="14" t="s">
        <v>15</v>
      </c>
      <c r="C356" t="s">
        <v>410</v>
      </c>
      <c r="D356" s="1" t="s">
        <v>20</v>
      </c>
      <c r="E356" s="1" t="str">
        <f>_xlfn.REGEXREPLACE(C356, "(.*)\/$", "https://extremismterms.adl.org\1")</f>
        <v>https://extremismterms.adl.org/glossary/17anon</v>
      </c>
      <c r="F356" s="1" t="str" cm="1">
        <f t="array" ref="F356">_xlfn.LET(_xlpm.rowNum,MATCH(E356,'glossaryterms-export'!C:C,0),
IF(AND(NOT(ISBLANK(INDEX('glossaryterms-export'!H:H,_xlpm.rowNum))),ISBLANK(INDEX('glossaryterms-export'!I:I,_xlpm.rowNum))),"Ready to Fix",""))</f>
        <v/>
      </c>
      <c r="G356">
        <v>175</v>
      </c>
      <c r="H356">
        <v>161</v>
      </c>
      <c r="I356">
        <v>1.0869565217391299</v>
      </c>
      <c r="J356">
        <v>9.6770186335403707</v>
      </c>
      <c r="K356">
        <v>437</v>
      </c>
    </row>
    <row r="357" spans="1:11" ht="61.5">
      <c r="A357">
        <v>356</v>
      </c>
      <c r="B357" s="16"/>
      <c r="C357" t="s">
        <v>411</v>
      </c>
      <c r="D357" s="1"/>
      <c r="E357" s="1" t="str">
        <f>_xlfn.REGEXREPLACE(C357, "(.*)\/$", "https://extremismterms.adl.org\1")</f>
        <v>https://extremismterms.adl.org/glossary/ted-kaczynski</v>
      </c>
      <c r="F357" s="1" t="str" cm="1">
        <f t="array" ref="F357">_xlfn.LET(_xlpm.rowNum,MATCH(E357,'glossaryterms-export'!C:C,0),
IF(AND(NOT(ISBLANK(INDEX('glossaryterms-export'!H:H,_xlpm.rowNum))),ISBLANK(INDEX('glossaryterms-export'!I:I,_xlpm.rowNum))),"Ready to Fix",""))</f>
        <v/>
      </c>
      <c r="G357">
        <v>175</v>
      </c>
      <c r="H357">
        <v>153</v>
      </c>
      <c r="I357">
        <v>1.1437908496732001</v>
      </c>
      <c r="J357">
        <v>17.633986928104498</v>
      </c>
      <c r="K357">
        <v>541</v>
      </c>
    </row>
    <row r="358" spans="1:11" ht="61.5">
      <c r="A358">
        <v>357</v>
      </c>
      <c r="B358" s="16"/>
      <c r="C358" t="s">
        <v>412</v>
      </c>
      <c r="D358" s="1"/>
      <c r="E358" s="1" t="str">
        <f>_xlfn.REGEXREPLACE(C358, "(.*)\/$", "https://extremismterms.adl.org\1")</f>
        <v>https://extremismterms.adl.org/glossary/anarchism</v>
      </c>
      <c r="F358" s="1" t="str" cm="1">
        <f t="array" ref="F358">_xlfn.LET(_xlpm.rowNum,MATCH(E358,'glossaryterms-export'!C:C,0),
IF(AND(NOT(ISBLANK(INDEX('glossaryterms-export'!H:H,_xlpm.rowNum))),ISBLANK(INDEX('glossaryterms-export'!I:I,_xlpm.rowNum))),"Ready to Fix",""))</f>
        <v/>
      </c>
      <c r="G358">
        <v>174</v>
      </c>
      <c r="H358">
        <v>156</v>
      </c>
      <c r="I358">
        <v>1.1153846153846101</v>
      </c>
      <c r="J358">
        <v>19.9038461538461</v>
      </c>
      <c r="K358">
        <v>478</v>
      </c>
    </row>
    <row r="359" spans="1:11" ht="61.5">
      <c r="A359">
        <v>358</v>
      </c>
      <c r="B359" s="16"/>
      <c r="C359" t="s">
        <v>413</v>
      </c>
      <c r="D359" s="1"/>
      <c r="E359" s="1" t="str">
        <f>_xlfn.REGEXREPLACE(C359, "(.*)\/$", "https://extremismterms.adl.org\1")</f>
        <v>https://extremismterms.adl.org/glossary/patriot-movement</v>
      </c>
      <c r="F359" s="1" t="str" cm="1">
        <f t="array" ref="F359">_xlfn.LET(_xlpm.rowNum,MATCH(E359,'glossaryterms-export'!C:C,0),
IF(AND(NOT(ISBLANK(INDEX('glossaryterms-export'!H:H,_xlpm.rowNum))),ISBLANK(INDEX('glossaryterms-export'!I:I,_xlpm.rowNum))),"Ready to Fix",""))</f>
        <v/>
      </c>
      <c r="G359">
        <v>174</v>
      </c>
      <c r="H359">
        <v>137</v>
      </c>
      <c r="I359">
        <v>1.2700729930000001</v>
      </c>
      <c r="J359">
        <v>17.474452554744499</v>
      </c>
      <c r="K359">
        <v>599</v>
      </c>
    </row>
    <row r="360" spans="1:11" ht="61.5">
      <c r="A360">
        <v>359</v>
      </c>
      <c r="B360" s="16"/>
      <c r="C360" t="s">
        <v>414</v>
      </c>
      <c r="D360" s="1"/>
      <c r="E360" s="1" t="str">
        <f>_xlfn.REGEXREPLACE(C360, "(.*)\/$", "https://extremismterms.adl.org\1")</f>
        <v>https://extremismterms.adl.org/glossary/hate-symbol-0</v>
      </c>
      <c r="F360" s="1" t="str" cm="1">
        <f t="array" ref="F360">_xlfn.LET(_xlpm.rowNum,MATCH(E360,'glossaryterms-export'!C:C,0),
IF(AND(NOT(ISBLANK(INDEX('glossaryterms-export'!H:H,_xlpm.rowNum))),ISBLANK(INDEX('glossaryterms-export'!I:I,_xlpm.rowNum))),"Ready to Fix",""))</f>
        <v>Ready to Fix</v>
      </c>
      <c r="G360">
        <v>172</v>
      </c>
      <c r="H360">
        <v>143</v>
      </c>
      <c r="I360">
        <v>1.2027972027972</v>
      </c>
      <c r="J360">
        <v>15.1048951048951</v>
      </c>
      <c r="K360">
        <v>460</v>
      </c>
    </row>
    <row r="361" spans="1:11" ht="61.5">
      <c r="A361">
        <v>360</v>
      </c>
      <c r="B361" s="16"/>
      <c r="C361" t="s">
        <v>415</v>
      </c>
      <c r="D361" s="1"/>
      <c r="E361" s="1" t="str">
        <f>_xlfn.REGEXREPLACE(C361, "(.*)\/$", "https://extremismterms.adl.org\1")</f>
        <v>https://extremismterms.adl.org/glossary/holocaust-denial</v>
      </c>
      <c r="F361" s="1" t="str" cm="1">
        <f t="array" ref="F361">_xlfn.LET(_xlpm.rowNum,MATCH(E361,'glossaryterms-export'!C:C,0),
IF(AND(NOT(ISBLANK(INDEX('glossaryterms-export'!H:H,_xlpm.rowNum))),ISBLANK(INDEX('glossaryterms-export'!I:I,_xlpm.rowNum))),"Ready to Fix",""))</f>
        <v>Ready to Fix</v>
      </c>
      <c r="G361">
        <v>170</v>
      </c>
      <c r="H361">
        <v>160</v>
      </c>
      <c r="I361">
        <v>1.0625</v>
      </c>
      <c r="J361">
        <v>26.381250000000001</v>
      </c>
      <c r="K361">
        <v>457</v>
      </c>
    </row>
    <row r="362" spans="1:11" ht="61.5">
      <c r="A362">
        <v>361</v>
      </c>
      <c r="B362" s="16"/>
      <c r="C362" t="s">
        <v>416</v>
      </c>
      <c r="D362" s="1"/>
      <c r="E362" s="1" t="str">
        <f>_xlfn.REGEXREPLACE(C362, "(.*)\/$", "https://extremismterms.adl.org\1")</f>
        <v>https://extremismterms.adl.org/glossary/white-power</v>
      </c>
      <c r="F362" s="1" t="str" cm="1">
        <f t="array" ref="F362">_xlfn.LET(_xlpm.rowNum,MATCH(E362,'glossaryterms-export'!C:C,0),
IF(AND(NOT(ISBLANK(INDEX('glossaryterms-export'!H:H,_xlpm.rowNum))),ISBLANK(INDEX('glossaryterms-export'!I:I,_xlpm.rowNum))),"Ready to Fix",""))</f>
        <v/>
      </c>
      <c r="G362">
        <v>170</v>
      </c>
      <c r="H362">
        <v>153</v>
      </c>
      <c r="I362">
        <v>1.1111111111111101</v>
      </c>
      <c r="J362">
        <v>14.477124183006501</v>
      </c>
      <c r="K362">
        <v>591</v>
      </c>
    </row>
    <row r="363" spans="1:11" ht="61.5">
      <c r="A363">
        <v>362</v>
      </c>
      <c r="B363" s="16"/>
      <c r="C363" t="s">
        <v>417</v>
      </c>
      <c r="D363" s="1"/>
      <c r="E363" s="1" t="str">
        <f>_xlfn.REGEXREPLACE(C363, "(.*)\/$", "https://extremismterms.adl.org\1")</f>
        <v>https://extremismterms.adl.org/glossary/eli-james</v>
      </c>
      <c r="F363" s="1" t="str" cm="1">
        <f t="array" ref="F363">_xlfn.LET(_xlpm.rowNum,MATCH(E363,'glossaryterms-export'!C:C,0),
IF(AND(NOT(ISBLANK(INDEX('glossaryterms-export'!H:H,_xlpm.rowNum))),ISBLANK(INDEX('glossaryterms-export'!I:I,_xlpm.rowNum))),"Ready to Fix",""))</f>
        <v/>
      </c>
      <c r="G363">
        <v>169</v>
      </c>
      <c r="H363">
        <v>142</v>
      </c>
      <c r="I363">
        <v>1.1901408450704201</v>
      </c>
      <c r="J363">
        <v>14.2042253521126</v>
      </c>
      <c r="K363">
        <v>603</v>
      </c>
    </row>
    <row r="364" spans="1:11" ht="61.5">
      <c r="A364">
        <v>363</v>
      </c>
      <c r="B364" s="16"/>
      <c r="C364" t="s">
        <v>418</v>
      </c>
      <c r="D364" s="1"/>
      <c r="E364" s="1" t="str">
        <f>_xlfn.REGEXREPLACE(C364, "(.*)\/$", "https://extremismterms.adl.org\1")</f>
        <v>https://extremismterms.adl.org/glossary/crusaders</v>
      </c>
      <c r="F364" s="1" t="str" cm="1">
        <f t="array" ref="F364">_xlfn.LET(_xlpm.rowNum,MATCH(E364,'glossaryterms-export'!C:C,0),
IF(AND(NOT(ISBLANK(INDEX('glossaryterms-export'!H:H,_xlpm.rowNum))),ISBLANK(INDEX('glossaryterms-export'!I:I,_xlpm.rowNum))),"Ready to Fix",""))</f>
        <v/>
      </c>
      <c r="G364">
        <v>168</v>
      </c>
      <c r="H364">
        <v>158</v>
      </c>
      <c r="I364">
        <v>1.0632911392405</v>
      </c>
      <c r="J364">
        <v>16.1962025316455</v>
      </c>
      <c r="K364">
        <v>406</v>
      </c>
    </row>
    <row r="365" spans="1:11" ht="77.25">
      <c r="A365">
        <v>364</v>
      </c>
      <c r="B365" s="16"/>
      <c r="C365" t="s">
        <v>419</v>
      </c>
      <c r="D365" s="1"/>
      <c r="E365" s="1" t="str">
        <f>_xlfn.REGEXREPLACE(C365, "(.*)\/$", "https://extremismterms.adl.org\1")</f>
        <v>https://extremismterms.adl.org/glossary/america-first-students</v>
      </c>
      <c r="F365" s="1" t="str" cm="1">
        <f t="array" ref="F365">_xlfn.LET(_xlpm.rowNum,MATCH(E365,'glossaryterms-export'!C:C,0),
IF(AND(NOT(ISBLANK(INDEX('glossaryterms-export'!H:H,_xlpm.rowNum))),ISBLANK(INDEX('glossaryterms-export'!I:I,_xlpm.rowNum))),"Ready to Fix",""))</f>
        <v/>
      </c>
      <c r="G365">
        <v>167</v>
      </c>
      <c r="H365">
        <v>158</v>
      </c>
      <c r="I365">
        <v>1.05696202531645</v>
      </c>
      <c r="J365">
        <v>9.3544303797468302</v>
      </c>
      <c r="K365">
        <v>433</v>
      </c>
    </row>
    <row r="366" spans="1:11" ht="77.25">
      <c r="A366">
        <v>365</v>
      </c>
      <c r="B366" s="16"/>
      <c r="C366" t="s">
        <v>420</v>
      </c>
      <c r="D366" s="1"/>
      <c r="E366" s="1" t="str">
        <f>_xlfn.REGEXREPLACE(C366, "(.*)\/$", "https://extremismterms.adl.org\1")</f>
        <v>https://extremismterms.adl.org/glossary/american-defense-skinheads</v>
      </c>
      <c r="F366" s="1" t="str" cm="1">
        <f t="array" ref="F366">_xlfn.LET(_xlpm.rowNum,MATCH(E366,'glossaryterms-export'!C:C,0),
IF(AND(NOT(ISBLANK(INDEX('glossaryterms-export'!H:H,_xlpm.rowNum))),ISBLANK(INDEX('glossaryterms-export'!I:I,_xlpm.rowNum))),"Ready to Fix",""))</f>
        <v/>
      </c>
      <c r="G366">
        <v>167</v>
      </c>
      <c r="H366">
        <v>142</v>
      </c>
      <c r="I366">
        <v>1.1760563380281599</v>
      </c>
      <c r="J366">
        <v>23.352112676056301</v>
      </c>
      <c r="K366">
        <v>519</v>
      </c>
    </row>
    <row r="367" spans="1:11" ht="61.5">
      <c r="A367">
        <v>366</v>
      </c>
      <c r="B367" s="16"/>
      <c r="C367" t="s">
        <v>421</v>
      </c>
      <c r="D367" s="1"/>
      <c r="E367" s="1" t="str">
        <f>_xlfn.REGEXREPLACE(C367, "(.*)\/$", "https://extremismterms.adl.org\1")</f>
        <v>https://extremismterms.adl.org/glossary/kataib-hezbollah</v>
      </c>
      <c r="F367" s="1" t="str" cm="1">
        <f t="array" ref="F367">_xlfn.LET(_xlpm.rowNum,MATCH(E367,'glossaryterms-export'!C:C,0),
IF(AND(NOT(ISBLANK(INDEX('glossaryterms-export'!H:H,_xlpm.rowNum))),ISBLANK(INDEX('glossaryterms-export'!I:I,_xlpm.rowNum))),"Ready to Fix",""))</f>
        <v/>
      </c>
      <c r="G367">
        <v>167</v>
      </c>
      <c r="H367">
        <v>138</v>
      </c>
      <c r="I367">
        <v>1.2101449275362299</v>
      </c>
      <c r="J367">
        <v>26.652173913043399</v>
      </c>
      <c r="K367">
        <v>608</v>
      </c>
    </row>
    <row r="368" spans="1:11" ht="61.5">
      <c r="A368">
        <v>367</v>
      </c>
      <c r="B368" s="14" t="s">
        <v>422</v>
      </c>
      <c r="C368" t="s">
        <v>423</v>
      </c>
      <c r="D368" s="1"/>
      <c r="E368" s="1" t="str">
        <f>_xlfn.REGEXREPLACE(C368, "(.*)\/$", "https://extremismterms.adl.org\1")</f>
        <v>https://extremismterms.adl.org/glossary/steam</v>
      </c>
      <c r="F368" s="1" t="str" cm="1">
        <f t="array" ref="F368">_xlfn.LET(_xlpm.rowNum,MATCH(E368,'glossaryterms-export'!C:C,0),
IF(AND(NOT(ISBLANK(INDEX('glossaryterms-export'!H:H,_xlpm.rowNum))),ISBLANK(INDEX('glossaryterms-export'!I:I,_xlpm.rowNum))),"Ready to Fix",""))</f>
        <v>Ready to Fix</v>
      </c>
      <c r="G368">
        <v>167</v>
      </c>
      <c r="H368">
        <v>144</v>
      </c>
      <c r="I368">
        <v>1.1597222222222201</v>
      </c>
      <c r="J368">
        <v>14.6458333333333</v>
      </c>
      <c r="K368">
        <v>420</v>
      </c>
    </row>
    <row r="369" spans="1:11" ht="61.5">
      <c r="A369">
        <v>368</v>
      </c>
      <c r="B369" s="16"/>
      <c r="C369" t="s">
        <v>424</v>
      </c>
      <c r="D369" s="1"/>
      <c r="E369" s="1" t="str">
        <f>_xlfn.REGEXREPLACE(C369, "(.*)\/$", "https://extremismterms.adl.org\1")</f>
        <v>https://extremismterms.adl.org/glossary/civnatfags</v>
      </c>
      <c r="F369" s="1" t="str" cm="1">
        <f t="array" ref="F369">_xlfn.LET(_xlpm.rowNum,MATCH(E369,'glossaryterms-export'!C:C,0),
IF(AND(NOT(ISBLANK(INDEX('glossaryterms-export'!H:H,_xlpm.rowNum))),ISBLANK(INDEX('glossaryterms-export'!I:I,_xlpm.rowNum))),"Ready to Fix",""))</f>
        <v/>
      </c>
      <c r="G369">
        <v>166</v>
      </c>
      <c r="H369">
        <v>148</v>
      </c>
      <c r="I369">
        <v>1.1216216216216199</v>
      </c>
      <c r="J369">
        <v>10.304054054053999</v>
      </c>
      <c r="K369">
        <v>381</v>
      </c>
    </row>
    <row r="370" spans="1:11" ht="61.5">
      <c r="A370">
        <v>369</v>
      </c>
      <c r="B370" s="16"/>
      <c r="C370" t="s">
        <v>425</v>
      </c>
      <c r="D370" s="1"/>
      <c r="E370" s="1" t="str">
        <f>_xlfn.REGEXREPLACE(C370, "(.*)\/$", "https://extremismterms.adl.org\1")</f>
        <v>https://extremismterms.adl.org/glossary/david-j-miner</v>
      </c>
      <c r="F370" s="1" t="str" cm="1">
        <f t="array" ref="F370">_xlfn.LET(_xlpm.rowNum,MATCH(E370,'glossaryterms-export'!C:C,0),
IF(AND(NOT(ISBLANK(INDEX('glossaryterms-export'!H:H,_xlpm.rowNum))),ISBLANK(INDEX('glossaryterms-export'!I:I,_xlpm.rowNum))),"Ready to Fix",""))</f>
        <v/>
      </c>
      <c r="G370">
        <v>166</v>
      </c>
      <c r="H370">
        <v>143</v>
      </c>
      <c r="I370">
        <v>1.1608391608391599</v>
      </c>
      <c r="J370">
        <v>22.727272727272702</v>
      </c>
      <c r="K370">
        <v>622</v>
      </c>
    </row>
    <row r="371" spans="1:11" ht="61.5">
      <c r="A371">
        <v>370</v>
      </c>
      <c r="B371" s="16"/>
      <c r="C371" t="s">
        <v>426</v>
      </c>
      <c r="D371" s="1"/>
      <c r="E371" s="1" t="str">
        <f>_xlfn.REGEXREPLACE(C371, "(.*)\/$", "https://extremismterms.adl.org\1")</f>
        <v>https://extremismterms.adl.org/glossary/white-lives-matter</v>
      </c>
      <c r="F371" s="1" t="str" cm="1">
        <f t="array" ref="F371">_xlfn.LET(_xlpm.rowNum,MATCH(E371,'glossaryterms-export'!C:C,0),
IF(AND(NOT(ISBLANK(INDEX('glossaryterms-export'!H:H,_xlpm.rowNum))),ISBLANK(INDEX('glossaryterms-export'!I:I,_xlpm.rowNum))),"Ready to Fix",""))</f>
        <v/>
      </c>
      <c r="G371">
        <v>166</v>
      </c>
      <c r="H371">
        <v>151</v>
      </c>
      <c r="I371">
        <v>1.09933774834437</v>
      </c>
      <c r="J371">
        <v>15.304635761589401</v>
      </c>
      <c r="K371">
        <v>395</v>
      </c>
    </row>
    <row r="372" spans="1:11" ht="61.5">
      <c r="A372">
        <v>371</v>
      </c>
      <c r="B372" s="16"/>
      <c r="C372" t="s">
        <v>427</v>
      </c>
      <c r="D372" s="1"/>
      <c r="E372" s="1" t="str">
        <f>_xlfn.REGEXREPLACE(C372, "(.*)\/$", "https://extremismterms.adl.org\1")</f>
        <v>https://extremismterms.adl.org/glossary/unz-review</v>
      </c>
      <c r="F372" s="1" t="str" cm="1">
        <f t="array" ref="F372">_xlfn.LET(_xlpm.rowNum,MATCH(E372,'glossaryterms-export'!C:C,0),
IF(AND(NOT(ISBLANK(INDEX('glossaryterms-export'!H:H,_xlpm.rowNum))),ISBLANK(INDEX('glossaryterms-export'!I:I,_xlpm.rowNum))),"Ready to Fix",""))</f>
        <v>Ready to Fix</v>
      </c>
      <c r="G372">
        <v>164</v>
      </c>
      <c r="H372">
        <v>143</v>
      </c>
      <c r="I372">
        <v>1.14685314685314</v>
      </c>
      <c r="J372">
        <v>12.342657342657301</v>
      </c>
      <c r="K372">
        <v>590</v>
      </c>
    </row>
    <row r="373" spans="1:11" ht="61.5">
      <c r="A373">
        <v>372</v>
      </c>
      <c r="B373" s="16"/>
      <c r="C373" t="s">
        <v>428</v>
      </c>
      <c r="D373" s="1"/>
      <c r="E373" s="1" t="str">
        <f>_xlfn.REGEXREPLACE(C373, "(.*)\/$", "https://extremismterms.adl.org\1")</f>
        <v>https://extremismterms.adl.org/glossary/zero-delta</v>
      </c>
      <c r="F373" s="1" t="str" cm="1">
        <f t="array" ref="F373">_xlfn.LET(_xlpm.rowNum,MATCH(E373,'glossaryterms-export'!C:C,0),
IF(AND(NOT(ISBLANK(INDEX('glossaryterms-export'!H:H,_xlpm.rowNum))),ISBLANK(INDEX('glossaryterms-export'!I:I,_xlpm.rowNum))),"Ready to Fix",""))</f>
        <v/>
      </c>
      <c r="G373">
        <v>164</v>
      </c>
      <c r="H373">
        <v>151</v>
      </c>
      <c r="I373">
        <v>1.0860927152317801</v>
      </c>
      <c r="J373">
        <v>15.205298013245001</v>
      </c>
      <c r="K373">
        <v>641</v>
      </c>
    </row>
    <row r="374" spans="1:11" ht="61.5">
      <c r="A374">
        <v>373</v>
      </c>
      <c r="B374" s="16"/>
      <c r="C374" t="s">
        <v>429</v>
      </c>
      <c r="D374" s="1"/>
      <c r="E374" s="1" t="str">
        <f>_xlfn.REGEXREPLACE(C374, "(.*)\/$", "https://extremismterms.adl.org\1")</f>
        <v>https://extremismterms.adl.org/glossary/black-bloc-tactics</v>
      </c>
      <c r="F374" s="1" t="str" cm="1">
        <f t="array" ref="F374">_xlfn.LET(_xlpm.rowNum,MATCH(E374,'glossaryterms-export'!C:C,0),
IF(AND(NOT(ISBLANK(INDEX('glossaryterms-export'!H:H,_xlpm.rowNum))),ISBLANK(INDEX('glossaryterms-export'!I:I,_xlpm.rowNum))),"Ready to Fix",""))</f>
        <v>Ready to Fix</v>
      </c>
      <c r="G374">
        <v>163</v>
      </c>
      <c r="H374">
        <v>153</v>
      </c>
      <c r="I374">
        <v>1.0653594771241801</v>
      </c>
      <c r="J374">
        <v>15.6078431372549</v>
      </c>
      <c r="K374">
        <v>413</v>
      </c>
    </row>
    <row r="375" spans="1:11" ht="61.5">
      <c r="A375">
        <v>374</v>
      </c>
      <c r="B375" s="14" t="s">
        <v>25</v>
      </c>
      <c r="C375" t="s">
        <v>430</v>
      </c>
      <c r="D375" s="1" t="s">
        <v>20</v>
      </c>
      <c r="E375" s="1" t="str">
        <f>_xlfn.REGEXREPLACE(C375, "(.*)\/$", "https://extremismterms.adl.org\1")</f>
        <v>https://extremismterms.adl.org/glossary/rightway-law</v>
      </c>
      <c r="F375" s="1" t="str" cm="1">
        <f t="array" ref="F375">_xlfn.LET(_xlpm.rowNum,MATCH(E375,'glossaryterms-export'!C:C,0),
IF(AND(NOT(ISBLANK(INDEX('glossaryterms-export'!H:H,_xlpm.rowNum))),ISBLANK(INDEX('glossaryterms-export'!I:I,_xlpm.rowNum))),"Ready to Fix",""))</f>
        <v/>
      </c>
      <c r="G375">
        <v>163</v>
      </c>
      <c r="H375">
        <v>116</v>
      </c>
      <c r="I375">
        <v>1.4051724137931001</v>
      </c>
      <c r="J375">
        <v>57.181034482758598</v>
      </c>
      <c r="K375">
        <v>698</v>
      </c>
    </row>
    <row r="376" spans="1:11" ht="77.25">
      <c r="A376">
        <v>375</v>
      </c>
      <c r="B376" s="14" t="s">
        <v>5</v>
      </c>
      <c r="C376" t="s">
        <v>431</v>
      </c>
      <c r="D376" s="1" t="s">
        <v>20</v>
      </c>
      <c r="E376" s="1" t="str">
        <f>_xlfn.REGEXREPLACE(C376, "(.*)\/$", "https://extremismterms.adl.org\1")</f>
        <v>https://extremismterms.adl.org/glossary/blood-signs-blood-signing</v>
      </c>
      <c r="F376" s="1" t="str" cm="1">
        <f t="array" ref="F376">_xlfn.LET(_xlpm.rowNum,MATCH(E376,'glossaryterms-export'!C:C,0),
IF(AND(NOT(ISBLANK(INDEX('glossaryterms-export'!H:H,_xlpm.rowNum))),ISBLANK(INDEX('glossaryterms-export'!I:I,_xlpm.rowNum))),"Ready to Fix",""))</f>
        <v/>
      </c>
      <c r="G376">
        <v>162</v>
      </c>
      <c r="H376">
        <v>143</v>
      </c>
      <c r="I376">
        <v>1.13286713286713</v>
      </c>
      <c r="J376">
        <v>8.1958041958041896</v>
      </c>
      <c r="K376">
        <v>343</v>
      </c>
    </row>
    <row r="377" spans="1:11" ht="77.25">
      <c r="A377">
        <v>376</v>
      </c>
      <c r="B377" s="16"/>
      <c r="C377" t="s">
        <v>432</v>
      </c>
      <c r="D377" s="1"/>
      <c r="E377" s="1" t="str">
        <f>_xlfn.REGEXREPLACE(C377, "(.*)\/$", "https://extremismterms.adl.org\1")</f>
        <v>https://extremismterms.adl.org/glossary/atomwaffen-division</v>
      </c>
      <c r="F377" s="1" t="str" cm="1">
        <f t="array" ref="F377">_xlfn.LET(_xlpm.rowNum,MATCH(E377,'glossaryterms-export'!C:C,0),
IF(AND(NOT(ISBLANK(INDEX('glossaryterms-export'!H:H,_xlpm.rowNum))),ISBLANK(INDEX('glossaryterms-export'!I:I,_xlpm.rowNum))),"Ready to Fix",""))</f>
        <v>Ready to Fix</v>
      </c>
      <c r="G377">
        <v>160</v>
      </c>
      <c r="H377">
        <v>139</v>
      </c>
      <c r="I377">
        <v>1.1510791366906401</v>
      </c>
      <c r="J377">
        <v>17.8273381294964</v>
      </c>
      <c r="K377">
        <v>432</v>
      </c>
    </row>
    <row r="378" spans="1:11" ht="61.5">
      <c r="A378">
        <v>377</v>
      </c>
      <c r="B378" s="16"/>
      <c r="C378" t="s">
        <v>433</v>
      </c>
      <c r="D378" s="1"/>
      <c r="E378" s="1" t="str">
        <f>_xlfn.REGEXREPLACE(C378, "(.*)\/$", "https://extremismterms.adl.org\1")</f>
        <v>https://extremismterms.adl.org/glossary/pizzagate</v>
      </c>
      <c r="F378" s="1" t="str" cm="1">
        <f t="array" ref="F378">_xlfn.LET(_xlpm.rowNum,MATCH(E378,'glossaryterms-export'!C:C,0),
IF(AND(NOT(ISBLANK(INDEX('glossaryterms-export'!H:H,_xlpm.rowNum))),ISBLANK(INDEX('glossaryterms-export'!I:I,_xlpm.rowNum))),"Ready to Fix",""))</f>
        <v>Ready to Fix</v>
      </c>
      <c r="G378">
        <v>158</v>
      </c>
      <c r="H378">
        <v>137</v>
      </c>
      <c r="I378">
        <v>1.15328467153284</v>
      </c>
      <c r="J378">
        <v>17.671532846715301</v>
      </c>
      <c r="K378">
        <v>441</v>
      </c>
    </row>
    <row r="379" spans="1:11" ht="61.5">
      <c r="A379">
        <v>378</v>
      </c>
      <c r="B379" s="16"/>
      <c r="C379" t="s">
        <v>434</v>
      </c>
      <c r="D379" s="1"/>
      <c r="E379" s="1" t="str">
        <f>_xlfn.REGEXREPLACE(C379, "(.*)\/$", "https://extremismterms.adl.org\1")</f>
        <v>https://extremismterms.adl.org/glossary/liberty-tree</v>
      </c>
      <c r="F379" s="1" t="str" cm="1">
        <f t="array" ref="F379">_xlfn.LET(_xlpm.rowNum,MATCH(E379,'glossaryterms-export'!C:C,0),
IF(AND(NOT(ISBLANK(INDEX('glossaryterms-export'!H:H,_xlpm.rowNum))),ISBLANK(INDEX('glossaryterms-export'!I:I,_xlpm.rowNum))),"Ready to Fix",""))</f>
        <v/>
      </c>
      <c r="G379">
        <v>157</v>
      </c>
      <c r="H379">
        <v>135</v>
      </c>
      <c r="I379">
        <v>1.1629629629629601</v>
      </c>
      <c r="J379">
        <v>15.592592592592499</v>
      </c>
      <c r="K379">
        <v>532</v>
      </c>
    </row>
    <row r="380" spans="1:11" ht="77.25">
      <c r="A380">
        <v>379</v>
      </c>
      <c r="B380" s="16"/>
      <c r="C380" t="s">
        <v>435</v>
      </c>
      <c r="D380" s="1"/>
      <c r="E380" s="1" t="str">
        <f>_xlfn.REGEXREPLACE(C380, "(.*)\/$", "https://extremismterms.adl.org\1")</f>
        <v>https://extremismterms.adl.org/glossary/purebloodpure-blood</v>
      </c>
      <c r="F380" s="1" t="str" cm="1">
        <f t="array" ref="F380">_xlfn.LET(_xlpm.rowNum,MATCH(E380,'glossaryterms-export'!C:C,0),
IF(AND(NOT(ISBLANK(INDEX('glossaryterms-export'!H:H,_xlpm.rowNum))),ISBLANK(INDEX('glossaryterms-export'!I:I,_xlpm.rowNum))),"Ready to Fix",""))</f>
        <v/>
      </c>
      <c r="G380">
        <v>157</v>
      </c>
      <c r="H380">
        <v>140</v>
      </c>
      <c r="I380">
        <v>1.1214285714285701</v>
      </c>
      <c r="J380">
        <v>27.157142857142802</v>
      </c>
      <c r="K380">
        <v>499</v>
      </c>
    </row>
    <row r="381" spans="1:11" ht="61.5">
      <c r="A381">
        <v>380</v>
      </c>
      <c r="B381" s="16"/>
      <c r="C381" t="s">
        <v>436</v>
      </c>
      <c r="D381" s="1"/>
      <c r="E381" s="1" t="str">
        <f>_xlfn.REGEXREPLACE(C381, "(.*)\/$", "https://extremismterms.adl.org\1")</f>
        <v>https://extremismterms.adl.org/glossary/varg-vikernes</v>
      </c>
      <c r="F381" s="1" t="str" cm="1">
        <f t="array" ref="F381">_xlfn.LET(_xlpm.rowNum,MATCH(E381,'glossaryterms-export'!C:C,0),
IF(AND(NOT(ISBLANK(INDEX('glossaryterms-export'!H:H,_xlpm.rowNum))),ISBLANK(INDEX('glossaryterms-export'!I:I,_xlpm.rowNum))),"Ready to Fix",""))</f>
        <v/>
      </c>
      <c r="G381">
        <v>156</v>
      </c>
      <c r="H381">
        <v>133</v>
      </c>
      <c r="I381">
        <v>1.1729323308270601</v>
      </c>
      <c r="J381">
        <v>15.473684210526301</v>
      </c>
      <c r="K381">
        <v>456</v>
      </c>
    </row>
    <row r="382" spans="1:11" ht="61.5">
      <c r="A382">
        <v>381</v>
      </c>
      <c r="B382" s="16"/>
      <c r="C382" t="s">
        <v>437</v>
      </c>
      <c r="D382" s="1"/>
      <c r="E382" s="1" t="str">
        <f>_xlfn.REGEXREPLACE(C382, "(.*)\/$", "https://extremismterms.adl.org\1")</f>
        <v>https://extremismterms.adl.org/glossary/cliff-herrington</v>
      </c>
      <c r="F382" s="1" t="str" cm="1">
        <f t="array" ref="F382">_xlfn.LET(_xlpm.rowNum,MATCH(E382,'glossaryterms-export'!C:C,0),
IF(AND(NOT(ISBLANK(INDEX('glossaryterms-export'!H:H,_xlpm.rowNum))),ISBLANK(INDEX('glossaryterms-export'!I:I,_xlpm.rowNum))),"Ready to Fix",""))</f>
        <v/>
      </c>
      <c r="G382">
        <v>155</v>
      </c>
      <c r="H382">
        <v>145</v>
      </c>
      <c r="I382">
        <v>1.0689655172413699</v>
      </c>
      <c r="J382">
        <v>11.4827586206896</v>
      </c>
      <c r="K382">
        <v>516</v>
      </c>
    </row>
    <row r="383" spans="1:11" ht="61.5">
      <c r="A383">
        <v>382</v>
      </c>
      <c r="B383" s="14" t="s">
        <v>15</v>
      </c>
      <c r="C383" t="s">
        <v>438</v>
      </c>
      <c r="D383" s="1" t="s">
        <v>20</v>
      </c>
      <c r="E383" s="1" t="str">
        <f>_xlfn.REGEXREPLACE(C383, "(.*)\/$", "https://extremismterms.adl.org\1")</f>
        <v>https://extremismterms.adl.org/glossary/cabal</v>
      </c>
      <c r="F383" s="1" t="str" cm="1">
        <f t="array" ref="F383">_xlfn.LET(_xlpm.rowNum,MATCH(E383,'glossaryterms-export'!C:C,0),
IF(AND(NOT(ISBLANK(INDEX('glossaryterms-export'!H:H,_xlpm.rowNum))),ISBLANK(INDEX('glossaryterms-export'!I:I,_xlpm.rowNum))),"Ready to Fix",""))</f>
        <v/>
      </c>
      <c r="G383">
        <v>154</v>
      </c>
      <c r="H383">
        <v>131</v>
      </c>
      <c r="I383">
        <v>1.1755725190839601</v>
      </c>
      <c r="J383">
        <v>15.9618320610687</v>
      </c>
      <c r="K383">
        <v>425</v>
      </c>
    </row>
    <row r="384" spans="1:11" ht="61.5">
      <c r="A384">
        <v>383</v>
      </c>
      <c r="B384" s="16"/>
      <c r="C384" t="s">
        <v>439</v>
      </c>
      <c r="D384" s="1"/>
      <c r="E384" s="1" t="str">
        <f>_xlfn.REGEXREPLACE(C384, "(.*)\/$", "https://extremismterms.adl.org\1")</f>
        <v>https://extremismterms.adl.org/glossary/1423</v>
      </c>
      <c r="F384" s="1" t="str" cm="1">
        <f t="array" ref="F384">_xlfn.LET(_xlpm.rowNum,MATCH(E384,'glossaryterms-export'!C:C,0),
IF(AND(NOT(ISBLANK(INDEX('glossaryterms-export'!H:H,_xlpm.rowNum))),ISBLANK(INDEX('glossaryterms-export'!I:I,_xlpm.rowNum))),"Ready to Fix",""))</f>
        <v>Ready to Fix</v>
      </c>
      <c r="G384">
        <v>153</v>
      </c>
      <c r="H384">
        <v>145</v>
      </c>
      <c r="I384">
        <v>1.0551724137931</v>
      </c>
      <c r="J384">
        <v>11.351724137931001</v>
      </c>
      <c r="K384">
        <v>346</v>
      </c>
    </row>
    <row r="385" spans="1:11" ht="61.5">
      <c r="A385">
        <v>384</v>
      </c>
      <c r="B385" s="16"/>
      <c r="C385" t="s">
        <v>440</v>
      </c>
      <c r="D385" s="1"/>
      <c r="E385" s="1" t="str">
        <f>_xlfn.REGEXREPLACE(C385, "(.*)\/$", "https://extremismterms.adl.org\1")</f>
        <v>https://extremismterms.adl.org/glossary/othala-rune</v>
      </c>
      <c r="F385" s="1" t="str" cm="1">
        <f t="array" ref="F385">_xlfn.LET(_xlpm.rowNum,MATCH(E385,'glossaryterms-export'!C:C,0),
IF(AND(NOT(ISBLANK(INDEX('glossaryterms-export'!H:H,_xlpm.rowNum))),ISBLANK(INDEX('glossaryterms-export'!I:I,_xlpm.rowNum))),"Ready to Fix",""))</f>
        <v>Ready to Fix</v>
      </c>
      <c r="G385">
        <v>153</v>
      </c>
      <c r="H385">
        <v>141</v>
      </c>
      <c r="I385">
        <v>1.08510638297872</v>
      </c>
      <c r="J385">
        <v>17.269503546099202</v>
      </c>
      <c r="K385">
        <v>416</v>
      </c>
    </row>
    <row r="386" spans="1:11" ht="61.5">
      <c r="A386">
        <v>385</v>
      </c>
      <c r="B386" s="16"/>
      <c r="C386" t="s">
        <v>441</v>
      </c>
      <c r="D386" s="1"/>
      <c r="E386" s="1" t="str">
        <f>_xlfn.REGEXREPLACE(C386, "(.*)\/$", "https://extremismterms.adl.org\1")</f>
        <v>https://extremismterms.adl.org/glossary/peoples-rights</v>
      </c>
      <c r="F386" s="1" t="str" cm="1">
        <f t="array" ref="F386">_xlfn.LET(_xlpm.rowNum,MATCH(E386,'glossaryterms-export'!C:C,0),
IF(AND(NOT(ISBLANK(INDEX('glossaryterms-export'!H:H,_xlpm.rowNum))),ISBLANK(INDEX('glossaryterms-export'!I:I,_xlpm.rowNum))),"Ready to Fix",""))</f>
        <v>Ready to Fix</v>
      </c>
      <c r="G386">
        <v>153</v>
      </c>
      <c r="H386">
        <v>124</v>
      </c>
      <c r="I386">
        <v>1.2338709677419299</v>
      </c>
      <c r="J386">
        <v>15.1612903225806</v>
      </c>
      <c r="K386">
        <v>360</v>
      </c>
    </row>
    <row r="387" spans="1:11" ht="61.5">
      <c r="A387">
        <v>386</v>
      </c>
      <c r="B387" s="16"/>
      <c r="C387" t="s">
        <v>442</v>
      </c>
      <c r="D387" s="1"/>
      <c r="E387" s="1" t="str">
        <f>_xlfn.REGEXREPLACE(C387, "(.*)\/$", "https://extremismterms.adl.org\1")</f>
        <v>https://extremismterms.adl.org/glossary/burt-colucci</v>
      </c>
      <c r="F387" s="1" t="str" cm="1">
        <f t="array" ref="F387">_xlfn.LET(_xlpm.rowNum,MATCH(E387,'glossaryterms-export'!C:C,0),
IF(AND(NOT(ISBLANK(INDEX('glossaryterms-export'!H:H,_xlpm.rowNum))),ISBLANK(INDEX('glossaryterms-export'!I:I,_xlpm.rowNum))),"Ready to Fix",""))</f>
        <v/>
      </c>
      <c r="G387">
        <v>152</v>
      </c>
      <c r="H387">
        <v>145</v>
      </c>
      <c r="I387">
        <v>1.0482758620689601</v>
      </c>
      <c r="J387">
        <v>10.3379310344827</v>
      </c>
      <c r="K387">
        <v>560</v>
      </c>
    </row>
    <row r="388" spans="1:11" ht="61.5">
      <c r="A388">
        <v>387</v>
      </c>
      <c r="B388" s="16"/>
      <c r="C388" t="s">
        <v>443</v>
      </c>
      <c r="D388" s="1"/>
      <c r="E388" s="1" t="str">
        <f>_xlfn.REGEXREPLACE(C388, "(.*)\/$", "https://extremismterms.adl.org\1")</f>
        <v>https://extremismterms.adl.org/glossary/featherwood</v>
      </c>
      <c r="F388" s="1" t="str" cm="1">
        <f t="array" ref="F388">_xlfn.LET(_xlpm.rowNum,MATCH(E388,'glossaryterms-export'!C:C,0),
IF(AND(NOT(ISBLANK(INDEX('glossaryterms-export'!H:H,_xlpm.rowNum))),ISBLANK(INDEX('glossaryterms-export'!I:I,_xlpm.rowNum))),"Ready to Fix",""))</f>
        <v>Ready to Fix</v>
      </c>
      <c r="G388">
        <v>152</v>
      </c>
      <c r="H388">
        <v>142</v>
      </c>
      <c r="I388">
        <v>1.07042253521126</v>
      </c>
      <c r="J388">
        <v>26.260563380281599</v>
      </c>
      <c r="K388">
        <v>448</v>
      </c>
    </row>
    <row r="389" spans="1:11" ht="77.25">
      <c r="A389">
        <v>388</v>
      </c>
      <c r="B389" s="16"/>
      <c r="C389" t="s">
        <v>444</v>
      </c>
      <c r="D389" s="1"/>
      <c r="E389" s="1" t="str">
        <f>_xlfn.REGEXREPLACE(C389, "(.*)\/$", "https://extremismterms.adl.org\1")</f>
        <v>https://extremismterms.adl.org/glossary/national-socialist-order-nso</v>
      </c>
      <c r="F389" s="1" t="str" cm="1">
        <f t="array" ref="F389">_xlfn.LET(_xlpm.rowNum,MATCH(E389,'glossaryterms-export'!C:C,0),
IF(AND(NOT(ISBLANK(INDEX('glossaryterms-export'!H:H,_xlpm.rowNum))),ISBLANK(INDEX('glossaryterms-export'!I:I,_xlpm.rowNum))),"Ready to Fix",""))</f>
        <v>Ready to Fix</v>
      </c>
      <c r="G389">
        <v>152</v>
      </c>
      <c r="H389">
        <v>137</v>
      </c>
      <c r="I389">
        <v>1.10948905109489</v>
      </c>
      <c r="J389">
        <v>15.401459854014499</v>
      </c>
      <c r="K389">
        <v>417</v>
      </c>
    </row>
    <row r="390" spans="1:11" ht="61.5">
      <c r="A390">
        <v>389</v>
      </c>
      <c r="B390" s="16"/>
      <c r="C390" t="s">
        <v>445</v>
      </c>
      <c r="D390" s="1"/>
      <c r="E390" s="1" t="str">
        <f>_xlfn.REGEXREPLACE(C390, "(.*)\/$", "https://extremismterms.adl.org\1")</f>
        <v>https://extremismterms.adl.org/glossary/oath-keepers</v>
      </c>
      <c r="F390" s="1" t="str" cm="1">
        <f t="array" ref="F390">_xlfn.LET(_xlpm.rowNum,MATCH(E390,'glossaryterms-export'!C:C,0),
IF(AND(NOT(ISBLANK(INDEX('glossaryterms-export'!H:H,_xlpm.rowNum))),ISBLANK(INDEX('glossaryterms-export'!I:I,_xlpm.rowNum))),"Ready to Fix",""))</f>
        <v>Ready to Fix</v>
      </c>
      <c r="G390">
        <v>151</v>
      </c>
      <c r="H390">
        <v>127</v>
      </c>
      <c r="I390">
        <v>1.18897637795275</v>
      </c>
      <c r="J390">
        <v>39.181102362204697</v>
      </c>
      <c r="K390">
        <v>607</v>
      </c>
    </row>
    <row r="391" spans="1:11" ht="61.5">
      <c r="A391">
        <v>390</v>
      </c>
      <c r="B391" s="16"/>
      <c r="C391" t="s">
        <v>446</v>
      </c>
      <c r="D391" s="1"/>
      <c r="E391" s="1" t="str">
        <f>_xlfn.REGEXREPLACE(C391, "(.*)\/$", "https://extremismterms.adl.org\1")</f>
        <v>https://extremismterms.adl.org/glossary/nutella-and-kittens</v>
      </c>
      <c r="F391" s="1" t="str" cm="1">
        <f t="array" ref="F391">_xlfn.LET(_xlpm.rowNum,MATCH(E391,'glossaryterms-export'!C:C,0),
IF(AND(NOT(ISBLANK(INDEX('glossaryterms-export'!H:H,_xlpm.rowNum))),ISBLANK(INDEX('glossaryterms-export'!I:I,_xlpm.rowNum))),"Ready to Fix",""))</f>
        <v/>
      </c>
      <c r="G391">
        <v>150</v>
      </c>
      <c r="H391">
        <v>149</v>
      </c>
      <c r="I391">
        <v>1.0067114093959699</v>
      </c>
      <c r="J391">
        <v>14.557046979865699</v>
      </c>
      <c r="K391">
        <v>302</v>
      </c>
    </row>
    <row r="392" spans="1:11" ht="61.5">
      <c r="A392">
        <v>391</v>
      </c>
      <c r="B392" s="14" t="s">
        <v>15</v>
      </c>
      <c r="C392" t="s">
        <v>447</v>
      </c>
      <c r="D392" s="1" t="s">
        <v>20</v>
      </c>
      <c r="E392" s="1" t="str">
        <f>_xlfn.REGEXREPLACE(C392, "(.*)\/$", "https://extremismterms.adl.org\1")</f>
        <v>https://extremismterms.adl.org/glossary/plan-save-world</v>
      </c>
      <c r="F392" s="1" t="str" cm="1">
        <f t="array" ref="F392">_xlfn.LET(_xlpm.rowNum,MATCH(E392,'glossaryterms-export'!C:C,0),
IF(AND(NOT(ISBLANK(INDEX('glossaryterms-export'!H:H,_xlpm.rowNum))),ISBLANK(INDEX('glossaryterms-export'!I:I,_xlpm.rowNum))),"Ready to Fix",""))</f>
        <v/>
      </c>
      <c r="G392">
        <v>150</v>
      </c>
      <c r="H392">
        <v>136</v>
      </c>
      <c r="I392">
        <v>1.1029411764705801</v>
      </c>
      <c r="J392">
        <v>13.933823529411701</v>
      </c>
      <c r="K392">
        <v>628</v>
      </c>
    </row>
    <row r="393" spans="1:11" ht="61.5">
      <c r="A393">
        <v>392</v>
      </c>
      <c r="B393" s="16"/>
      <c r="C393" t="s">
        <v>448</v>
      </c>
      <c r="D393" s="1"/>
      <c r="E393" s="1" t="str">
        <f>_xlfn.REGEXREPLACE(C393, "(.*)\/$", "https://extremismterms.adl.org\1")</f>
        <v>https://extremismterms.adl.org/glossary/zionazi</v>
      </c>
      <c r="F393" s="1" t="str" cm="1">
        <f t="array" ref="F393">_xlfn.LET(_xlpm.rowNum,MATCH(E393,'glossaryterms-export'!C:C,0),
IF(AND(NOT(ISBLANK(INDEX('glossaryterms-export'!H:H,_xlpm.rowNum))),ISBLANK(INDEX('glossaryterms-export'!I:I,_xlpm.rowNum))),"Ready to Fix",""))</f>
        <v/>
      </c>
      <c r="G393">
        <v>150</v>
      </c>
      <c r="H393">
        <v>130</v>
      </c>
      <c r="I393">
        <v>1.15384615384615</v>
      </c>
      <c r="J393">
        <v>11.984615384615299</v>
      </c>
      <c r="K393">
        <v>516</v>
      </c>
    </row>
    <row r="394" spans="1:11" ht="61.5">
      <c r="A394">
        <v>393</v>
      </c>
      <c r="B394" s="34"/>
      <c r="C394" t="s">
        <v>449</v>
      </c>
      <c r="D394" s="1"/>
      <c r="E394" s="1" t="str">
        <f>_xlfn.REGEXREPLACE(C394, "(.*)\/$", "https://extremismterms.adl.org\1")</f>
        <v>https://extremismterms.adl.org/glossary/hunter-wallace</v>
      </c>
      <c r="F394" s="1" t="str" cm="1">
        <f t="array" ref="F394">_xlfn.LET(_xlpm.rowNum,MATCH(E394,'glossaryterms-export'!C:C,0),
IF(AND(NOT(ISBLANK(INDEX('glossaryterms-export'!H:H,_xlpm.rowNum))),ISBLANK(INDEX('glossaryterms-export'!I:I,_xlpm.rowNum))),"Ready to Fix",""))</f>
        <v>Ready to Fix</v>
      </c>
      <c r="G394">
        <v>149</v>
      </c>
      <c r="H394">
        <v>136</v>
      </c>
      <c r="I394">
        <v>1.09558823529411</v>
      </c>
      <c r="J394">
        <v>13.463235294117601</v>
      </c>
      <c r="K394">
        <v>574</v>
      </c>
    </row>
    <row r="395" spans="1:11" ht="61.5">
      <c r="A395">
        <v>394</v>
      </c>
      <c r="B395" s="16"/>
      <c r="C395" t="s">
        <v>450</v>
      </c>
      <c r="D395" s="1"/>
      <c r="E395" s="1" t="str">
        <f>_xlfn.REGEXREPLACE(C395, "(.*)\/$", "https://extremismterms.adl.org\1")</f>
        <v>https://extremismterms.adl.org/glossary/diy-division</v>
      </c>
      <c r="F395" s="1" t="str" cm="1">
        <f t="array" ref="F395">_xlfn.LET(_xlpm.rowNum,MATCH(E395,'glossaryterms-export'!C:C,0),
IF(AND(NOT(ISBLANK(INDEX('glossaryterms-export'!H:H,_xlpm.rowNum))),ISBLANK(INDEX('glossaryterms-export'!I:I,_xlpm.rowNum))),"Ready to Fix",""))</f>
        <v>Ready to Fix</v>
      </c>
      <c r="G395">
        <v>148</v>
      </c>
      <c r="H395">
        <v>132</v>
      </c>
      <c r="I395">
        <v>1.12121212121212</v>
      </c>
      <c r="J395">
        <v>11.045454545454501</v>
      </c>
      <c r="K395">
        <v>393</v>
      </c>
    </row>
    <row r="396" spans="1:11" ht="61.5">
      <c r="A396">
        <v>395</v>
      </c>
      <c r="B396" s="16"/>
      <c r="C396" t="s">
        <v>451</v>
      </c>
      <c r="D396" s="1"/>
      <c r="E396" s="1" t="str">
        <f>_xlfn.REGEXREPLACE(C396, "(.*)\/$", "https://extremismterms.adl.org\1")</f>
        <v>https://extremismterms.adl.org/glossary/patriot-front</v>
      </c>
      <c r="F396" s="1" t="str" cm="1">
        <f t="array" ref="F396">_xlfn.LET(_xlpm.rowNum,MATCH(E396,'glossaryterms-export'!C:C,0),
IF(AND(NOT(ISBLANK(INDEX('glossaryterms-export'!H:H,_xlpm.rowNum))),ISBLANK(INDEX('glossaryterms-export'!I:I,_xlpm.rowNum))),"Ready to Fix",""))</f>
        <v>Ready to Fix</v>
      </c>
      <c r="G396">
        <v>148</v>
      </c>
      <c r="H396">
        <v>129</v>
      </c>
      <c r="I396">
        <v>1.14728682170542</v>
      </c>
      <c r="J396">
        <v>22.4418604651162</v>
      </c>
      <c r="K396">
        <v>432</v>
      </c>
    </row>
    <row r="397" spans="1:11" ht="61.5">
      <c r="A397">
        <v>396</v>
      </c>
      <c r="B397" s="16"/>
      <c r="C397" t="s">
        <v>452</v>
      </c>
      <c r="D397" s="1"/>
      <c r="E397" s="1" t="str">
        <f>_xlfn.REGEXREPLACE(C397, "(.*)\/$", "https://extremismterms.adl.org\1")</f>
        <v>https://extremismterms.adl.org/glossary/paul-fromm</v>
      </c>
      <c r="F397" s="1" t="str" cm="1">
        <f t="array" ref="F397">_xlfn.LET(_xlpm.rowNum,MATCH(E397,'glossaryterms-export'!C:C,0),
IF(AND(NOT(ISBLANK(INDEX('glossaryterms-export'!H:H,_xlpm.rowNum))),ISBLANK(INDEX('glossaryterms-export'!I:I,_xlpm.rowNum))),"Ready to Fix",""))</f>
        <v/>
      </c>
      <c r="G397">
        <v>148</v>
      </c>
      <c r="H397">
        <v>134</v>
      </c>
      <c r="I397">
        <v>1.1044776119402899</v>
      </c>
      <c r="J397">
        <v>27.156716417910399</v>
      </c>
      <c r="K397">
        <v>488</v>
      </c>
    </row>
    <row r="398" spans="1:11" ht="77.25">
      <c r="A398">
        <v>397</v>
      </c>
      <c r="B398" s="16" t="s">
        <v>116</v>
      </c>
      <c r="C398" t="s">
        <v>453</v>
      </c>
      <c r="D398" s="1" t="s">
        <v>193</v>
      </c>
      <c r="E398" s="1" t="str">
        <f>_xlfn.REGEXREPLACE(C398, "(.*)\/$", "https://extremismterms.adl.org\1")</f>
        <v>https://extremismterms.adl.org/glossary/america-first-media</v>
      </c>
      <c r="F398" s="1" t="str" cm="1">
        <f t="array" ref="F398">_xlfn.LET(_xlpm.rowNum,MATCH(E398,'glossaryterms-export'!C:C,0),
IF(AND(NOT(ISBLANK(INDEX('glossaryterms-export'!H:H,_xlpm.rowNum))),ISBLANK(INDEX('glossaryterms-export'!I:I,_xlpm.rowNum))),"Ready to Fix",""))</f>
        <v>Ready to Fix</v>
      </c>
      <c r="G398">
        <v>147</v>
      </c>
      <c r="H398">
        <v>133</v>
      </c>
      <c r="I398">
        <v>1.1052631578947301</v>
      </c>
      <c r="J398">
        <v>19.902255639097699</v>
      </c>
      <c r="K398">
        <v>407</v>
      </c>
    </row>
    <row r="399" spans="1:11" ht="61.5">
      <c r="A399">
        <v>398</v>
      </c>
      <c r="B399" s="16"/>
      <c r="C399" t="s">
        <v>454</v>
      </c>
      <c r="D399" s="1"/>
      <c r="E399" s="1" t="str">
        <f>_xlfn.REGEXREPLACE(C399, "(.*)\/$", "https://extremismterms.adl.org\1")</f>
        <v>https://extremismterms.adl.org/glossary/catboy-kami</v>
      </c>
      <c r="F399" s="1" t="str" cm="1">
        <f t="array" ref="F399">_xlfn.LET(_xlpm.rowNum,MATCH(E399,'glossaryterms-export'!C:C,0),
IF(AND(NOT(ISBLANK(INDEX('glossaryterms-export'!H:H,_xlpm.rowNum))),ISBLANK(INDEX('glossaryterms-export'!I:I,_xlpm.rowNum))),"Ready to Fix",""))</f>
        <v/>
      </c>
      <c r="G399">
        <v>147</v>
      </c>
      <c r="H399">
        <v>136</v>
      </c>
      <c r="I399">
        <v>1.08088235294117</v>
      </c>
      <c r="J399">
        <v>10.205882352941099</v>
      </c>
      <c r="K399">
        <v>496</v>
      </c>
    </row>
    <row r="400" spans="1:11" ht="61.5">
      <c r="A400">
        <v>399</v>
      </c>
      <c r="B400" s="16"/>
      <c r="C400" t="s">
        <v>455</v>
      </c>
      <c r="D400" s="1"/>
      <c r="E400" s="1" t="str">
        <f>_xlfn.REGEXREPLACE(C400, "(.*)\/$", "https://extremismterms.adl.org\1")</f>
        <v>https://extremismterms.adl.org/glossary/name-nose-tour</v>
      </c>
      <c r="F400" s="1" t="str" cm="1">
        <f t="array" ref="F400">_xlfn.LET(_xlpm.rowNum,MATCH(E400,'glossaryterms-export'!C:C,0),
IF(AND(NOT(ISBLANK(INDEX('glossaryterms-export'!H:H,_xlpm.rowNum))),ISBLANK(INDEX('glossaryterms-export'!I:I,_xlpm.rowNum))),"Ready to Fix",""))</f>
        <v/>
      </c>
      <c r="G400">
        <v>147</v>
      </c>
      <c r="H400">
        <v>132</v>
      </c>
      <c r="I400">
        <v>1.11363636363636</v>
      </c>
      <c r="J400">
        <v>9.8484848484848406</v>
      </c>
      <c r="K400">
        <v>415</v>
      </c>
    </row>
    <row r="401" spans="1:11" ht="61.5">
      <c r="A401">
        <v>400</v>
      </c>
      <c r="B401" s="16"/>
      <c r="C401" t="s">
        <v>456</v>
      </c>
      <c r="D401" s="1"/>
      <c r="E401" s="1" t="str">
        <f>_xlfn.REGEXREPLACE(C401, "(.*)\/$", "https://extremismterms.adl.org\1")</f>
        <v>https://extremismterms.adl.org/glossary/patrick-casey</v>
      </c>
      <c r="F401" s="1" t="str" cm="1">
        <f t="array" ref="F401">_xlfn.LET(_xlpm.rowNum,MATCH(E401,'glossaryterms-export'!C:C,0),
IF(AND(NOT(ISBLANK(INDEX('glossaryterms-export'!H:H,_xlpm.rowNum))),ISBLANK(INDEX('glossaryterms-export'!I:I,_xlpm.rowNum))),"Ready to Fix",""))</f>
        <v>Ready to Fix</v>
      </c>
      <c r="G401">
        <v>147</v>
      </c>
      <c r="H401">
        <v>137</v>
      </c>
      <c r="I401">
        <v>1.07299270072992</v>
      </c>
      <c r="J401">
        <v>17.583941605839399</v>
      </c>
      <c r="K401">
        <v>532</v>
      </c>
    </row>
    <row r="402" spans="1:11" ht="61.5">
      <c r="A402">
        <v>401</v>
      </c>
      <c r="B402" s="14" t="s">
        <v>22</v>
      </c>
      <c r="C402" t="s">
        <v>457</v>
      </c>
      <c r="D402" s="1" t="s">
        <v>20</v>
      </c>
      <c r="E402" s="1" t="str">
        <f>_xlfn.REGEXREPLACE(C402, "(.*)\/$", "https://extremismterms.adl.org\1")</f>
        <v>https://extremismterms.adl.org/glossary/alek-minassian</v>
      </c>
      <c r="F402" s="1" t="str" cm="1">
        <f t="array" ref="F402">_xlfn.LET(_xlpm.rowNum,MATCH(E402,'glossaryterms-export'!C:C,0),
IF(AND(NOT(ISBLANK(INDEX('glossaryterms-export'!H:H,_xlpm.rowNum))),ISBLANK(INDEX('glossaryterms-export'!I:I,_xlpm.rowNum))),"Ready to Fix",""))</f>
        <v/>
      </c>
      <c r="G402">
        <v>145</v>
      </c>
      <c r="H402">
        <v>131</v>
      </c>
      <c r="I402">
        <v>1.10687022900763</v>
      </c>
      <c r="J402">
        <v>16.038167940000001</v>
      </c>
      <c r="K402">
        <v>365</v>
      </c>
    </row>
    <row r="403" spans="1:11" ht="61.5">
      <c r="A403">
        <v>402</v>
      </c>
      <c r="B403" s="16"/>
      <c r="C403" t="s">
        <v>458</v>
      </c>
      <c r="D403" s="1"/>
      <c r="E403" s="1" t="str">
        <f>_xlfn.REGEXREPLACE(C403, "(.*)\/$", "https://extremismterms.adl.org\1")</f>
        <v>https://extremismterms.adl.org/glossary/racist-skinhead</v>
      </c>
      <c r="F403" s="1" t="str" cm="1">
        <f t="array" ref="F403">_xlfn.LET(_xlpm.rowNum,MATCH(E403,'glossaryterms-export'!C:C,0),
IF(AND(NOT(ISBLANK(INDEX('glossaryterms-export'!H:H,_xlpm.rowNum))),ISBLANK(INDEX('glossaryterms-export'!I:I,_xlpm.rowNum))),"Ready to Fix",""))</f>
        <v/>
      </c>
      <c r="G403">
        <v>145</v>
      </c>
      <c r="H403">
        <v>128</v>
      </c>
      <c r="I403">
        <v>1.1328125</v>
      </c>
      <c r="J403">
        <v>21.015625</v>
      </c>
      <c r="K403">
        <v>394</v>
      </c>
    </row>
    <row r="404" spans="1:11" ht="61.5">
      <c r="A404">
        <v>403</v>
      </c>
      <c r="B404" s="16"/>
      <c r="C404" t="s">
        <v>459</v>
      </c>
      <c r="D404" s="1"/>
      <c r="E404" s="1" t="str">
        <f>_xlfn.REGEXREPLACE(C404, "(.*)\/$", "https://extremismterms.adl.org\1")</f>
        <v>https://extremismterms.adl.org/glossary/sharp</v>
      </c>
      <c r="F404" s="1" t="str" cm="1">
        <f t="array" ref="F404">_xlfn.LET(_xlpm.rowNum,MATCH(E404,'glossaryterms-export'!C:C,0),
IF(AND(NOT(ISBLANK(INDEX('glossaryterms-export'!H:H,_xlpm.rowNum))),ISBLANK(INDEX('glossaryterms-export'!I:I,_xlpm.rowNum))),"Ready to Fix",""))</f>
        <v>Ready to Fix</v>
      </c>
      <c r="G404">
        <v>145</v>
      </c>
      <c r="H404">
        <v>126</v>
      </c>
      <c r="I404">
        <v>1.15079365079365</v>
      </c>
      <c r="J404">
        <v>14.595238095238001</v>
      </c>
      <c r="K404">
        <v>359</v>
      </c>
    </row>
    <row r="405" spans="1:11" ht="92.25">
      <c r="A405">
        <v>404</v>
      </c>
      <c r="B405" s="16"/>
      <c r="C405" t="s">
        <v>460</v>
      </c>
      <c r="D405" s="1"/>
      <c r="E405" s="1" t="str">
        <f>_xlfn.REGEXREPLACE(C405, "(.*)\/$", "https://extremismterms.adl.org\1")</f>
        <v>https://extremismterms.adl.org/glossary/1993-world-trade-center-bombing</v>
      </c>
      <c r="F405" s="1" t="str" cm="1">
        <f t="array" ref="F405">_xlfn.LET(_xlpm.rowNum,MATCH(E405,'glossaryterms-export'!C:C,0),
IF(AND(NOT(ISBLANK(INDEX('glossaryterms-export'!H:H,_xlpm.rowNum))),ISBLANK(INDEX('glossaryterms-export'!I:I,_xlpm.rowNum))),"Ready to Fix",""))</f>
        <v/>
      </c>
      <c r="G405">
        <v>142</v>
      </c>
      <c r="H405">
        <v>132</v>
      </c>
      <c r="I405">
        <v>1.0757575757575699</v>
      </c>
      <c r="J405">
        <v>17.181818181818102</v>
      </c>
      <c r="K405">
        <v>304</v>
      </c>
    </row>
    <row r="406" spans="1:11" ht="61.5">
      <c r="A406">
        <v>405</v>
      </c>
      <c r="B406" s="16"/>
      <c r="C406" t="s">
        <v>461</v>
      </c>
      <c r="D406" s="1"/>
      <c r="E406" s="1" t="str">
        <f>_xlfn.REGEXREPLACE(C406, "(.*)\/$", "https://extremismterms.adl.org\1")</f>
        <v>https://extremismterms.adl.org/glossary/crew-38</v>
      </c>
      <c r="F406" s="1" t="str" cm="1">
        <f t="array" ref="F406">_xlfn.LET(_xlpm.rowNum,MATCH(E406,'glossaryterms-export'!C:C,0),
IF(AND(NOT(ISBLANK(INDEX('glossaryterms-export'!H:H,_xlpm.rowNum))),ISBLANK(INDEX('glossaryterms-export'!I:I,_xlpm.rowNum))),"Ready to Fix",""))</f>
        <v>Ready to Fix</v>
      </c>
      <c r="G406">
        <v>141</v>
      </c>
      <c r="H406">
        <v>126</v>
      </c>
      <c r="I406">
        <v>1.11904761904761</v>
      </c>
      <c r="J406">
        <v>33.317460317460302</v>
      </c>
      <c r="K406">
        <v>443</v>
      </c>
    </row>
    <row r="407" spans="1:11" ht="61.5">
      <c r="A407">
        <v>406</v>
      </c>
      <c r="B407" s="14" t="s">
        <v>22</v>
      </c>
      <c r="C407" t="s">
        <v>462</v>
      </c>
      <c r="D407" s="1" t="s">
        <v>20</v>
      </c>
      <c r="E407" s="1" t="str">
        <f>_xlfn.REGEXREPLACE(C407, "(.*)\/$", "https://extremismterms.adl.org\1")</f>
        <v>https://extremismterms.adl.org/glossary/normie</v>
      </c>
      <c r="F407" s="1" t="str" cm="1">
        <f t="array" ref="F407">_xlfn.LET(_xlpm.rowNum,MATCH(E407,'glossaryterms-export'!C:C,0),
IF(AND(NOT(ISBLANK(INDEX('glossaryterms-export'!H:H,_xlpm.rowNum))),ISBLANK(INDEX('glossaryterms-export'!I:I,_xlpm.rowNum))),"Ready to Fix",""))</f>
        <v/>
      </c>
      <c r="G407">
        <v>140</v>
      </c>
      <c r="H407">
        <v>127</v>
      </c>
      <c r="I407">
        <v>1.1023622047243999</v>
      </c>
      <c r="J407">
        <v>18.6692913385826</v>
      </c>
      <c r="K407">
        <v>477</v>
      </c>
    </row>
    <row r="408" spans="1:11" ht="61.5">
      <c r="A408">
        <v>407</v>
      </c>
      <c r="B408" s="16"/>
      <c r="C408" t="s">
        <v>463</v>
      </c>
      <c r="D408" s="1"/>
      <c r="E408" s="1" t="str">
        <f>_xlfn.REGEXREPLACE(C408, "(.*)\/$", "https://extremismterms.adl.org\1")</f>
        <v>https://extremismterms.adl.org/glossary/21-2-12</v>
      </c>
      <c r="F408" s="1" t="str" cm="1">
        <f t="array" ref="F408">_xlfn.LET(_xlpm.rowNum,MATCH(E408,'glossaryterms-export'!C:C,0),
IF(AND(NOT(ISBLANK(INDEX('glossaryterms-export'!H:H,_xlpm.rowNum))),ISBLANK(INDEX('glossaryterms-export'!I:I,_xlpm.rowNum))),"Ready to Fix",""))</f>
        <v>Ready to Fix</v>
      </c>
      <c r="G408">
        <v>138</v>
      </c>
      <c r="H408">
        <v>129</v>
      </c>
      <c r="I408">
        <v>1.0697674418604599</v>
      </c>
      <c r="J408">
        <v>16.403100779999999</v>
      </c>
      <c r="K408">
        <v>357</v>
      </c>
    </row>
    <row r="409" spans="1:11" ht="61.5">
      <c r="A409">
        <v>408</v>
      </c>
      <c r="B409" s="16"/>
      <c r="C409" t="s">
        <v>464</v>
      </c>
      <c r="D409" s="1"/>
      <c r="E409" s="1" t="str">
        <f>_xlfn.REGEXREPLACE(C409, "(.*)\/$", "https://extremismterms.adl.org\1")</f>
        <v>https://extremismterms.adl.org/glossary/jim-watkins</v>
      </c>
      <c r="F409" s="1" t="str" cm="1">
        <f t="array" ref="F409">_xlfn.LET(_xlpm.rowNum,MATCH(E409,'glossaryterms-export'!C:C,0),
IF(AND(NOT(ISBLANK(INDEX('glossaryterms-export'!H:H,_xlpm.rowNum))),ISBLANK(INDEX('glossaryterms-export'!I:I,_xlpm.rowNum))),"Ready to Fix",""))</f>
        <v/>
      </c>
      <c r="G409">
        <v>138</v>
      </c>
      <c r="H409">
        <v>131</v>
      </c>
      <c r="I409">
        <v>1.0534351145038101</v>
      </c>
      <c r="J409">
        <v>16.862595419847299</v>
      </c>
      <c r="K409">
        <v>602</v>
      </c>
    </row>
    <row r="410" spans="1:11" ht="77.25">
      <c r="A410">
        <v>409</v>
      </c>
      <c r="B410" s="16"/>
      <c r="C410" t="s">
        <v>465</v>
      </c>
      <c r="D410" s="1"/>
      <c r="E410" s="1" t="str">
        <f>_xlfn.REGEXREPLACE(C410, "(.*)\/$", "https://extremismterms.adl.org\1")</f>
        <v>https://extremismterms.adl.org/glossary/vanguard-news-network-vnn</v>
      </c>
      <c r="F410" s="1" t="str" cm="1">
        <f t="array" ref="F410">_xlfn.LET(_xlpm.rowNum,MATCH(E410,'glossaryterms-export'!C:C,0),
IF(AND(NOT(ISBLANK(INDEX('glossaryterms-export'!H:H,_xlpm.rowNum))),ISBLANK(INDEX('glossaryterms-export'!I:I,_xlpm.rowNum))),"Ready to Fix",""))</f>
        <v/>
      </c>
      <c r="G410">
        <v>138</v>
      </c>
      <c r="H410">
        <v>123</v>
      </c>
      <c r="I410">
        <v>1.1219512195121899</v>
      </c>
      <c r="J410">
        <v>19.951219512195099</v>
      </c>
      <c r="K410">
        <v>560</v>
      </c>
    </row>
    <row r="411" spans="1:11" ht="77.25">
      <c r="A411">
        <v>410</v>
      </c>
      <c r="B411" s="16"/>
      <c r="C411" t="s">
        <v>466</v>
      </c>
      <c r="D411" s="1"/>
      <c r="E411" s="1" t="str">
        <f>_xlfn.REGEXREPLACE(C411, "(.*)\/$", "https://extremismterms.adl.org\1")</f>
        <v>https://extremismterms.adl.org/glossary/joseph-h-cannariato</v>
      </c>
      <c r="F411" s="1" t="str" cm="1">
        <f t="array" ref="F411">_xlfn.LET(_xlpm.rowNum,MATCH(E411,'glossaryterms-export'!C:C,0),
IF(AND(NOT(ISBLANK(INDEX('glossaryterms-export'!H:H,_xlpm.rowNum))),ISBLANK(INDEX('glossaryterms-export'!I:I,_xlpm.rowNum))),"Ready to Fix",""))</f>
        <v/>
      </c>
      <c r="G411">
        <v>137</v>
      </c>
      <c r="H411">
        <v>112</v>
      </c>
      <c r="I411">
        <v>1.22321428571428</v>
      </c>
      <c r="J411">
        <v>64.321428571428498</v>
      </c>
      <c r="K411">
        <v>753</v>
      </c>
    </row>
    <row r="412" spans="1:11" ht="61.5">
      <c r="A412">
        <v>411</v>
      </c>
      <c r="B412" s="16"/>
      <c r="C412" t="s">
        <v>467</v>
      </c>
      <c r="D412" s="1"/>
      <c r="E412" s="1" t="str">
        <f>_xlfn.REGEXREPLACE(C412, "(.*)\/$", "https://extremismterms.adl.org\1")</f>
        <v>https://extremismterms.adl.org/glossary/white-nationalism</v>
      </c>
      <c r="F412" s="1" t="str" cm="1">
        <f t="array" ref="F412">_xlfn.LET(_xlpm.rowNum,MATCH(E412,'glossaryterms-export'!C:C,0),
IF(AND(NOT(ISBLANK(INDEX('glossaryterms-export'!H:H,_xlpm.rowNum))),ISBLANK(INDEX('glossaryterms-export'!I:I,_xlpm.rowNum))),"Ready to Fix",""))</f>
        <v/>
      </c>
      <c r="G412">
        <v>137</v>
      </c>
      <c r="H412">
        <v>116</v>
      </c>
      <c r="I412">
        <v>1.1810344827586201</v>
      </c>
      <c r="J412">
        <v>24.853448275862</v>
      </c>
      <c r="K412">
        <v>432</v>
      </c>
    </row>
    <row r="413" spans="1:11" ht="61.5">
      <c r="A413">
        <v>412</v>
      </c>
      <c r="B413" s="16"/>
      <c r="C413" t="s">
        <v>468</v>
      </c>
      <c r="D413" s="1"/>
      <c r="E413" s="1" t="str">
        <f>_xlfn.REGEXREPLACE(C413, "(.*)\/$", "https://extremismterms.adl.org\1")</f>
        <v>https://extremismterms.adl.org/glossary/23-hand-sign</v>
      </c>
      <c r="F413" s="1" t="str" cm="1">
        <f t="array" ref="F413">_xlfn.LET(_xlpm.rowNum,MATCH(E413,'glossaryterms-export'!C:C,0),
IF(AND(NOT(ISBLANK(INDEX('glossaryterms-export'!H:H,_xlpm.rowNum))),ISBLANK(INDEX('glossaryterms-export'!I:I,_xlpm.rowNum))),"Ready to Fix",""))</f>
        <v>Ready to Fix</v>
      </c>
      <c r="G413">
        <v>136</v>
      </c>
      <c r="H413">
        <v>129</v>
      </c>
      <c r="I413">
        <v>1.0542635658914701</v>
      </c>
      <c r="J413">
        <v>11.364341085271301</v>
      </c>
      <c r="K413">
        <v>292</v>
      </c>
    </row>
    <row r="414" spans="1:11" ht="61.5">
      <c r="A414">
        <v>413</v>
      </c>
      <c r="B414" s="16"/>
      <c r="C414" t="s">
        <v>469</v>
      </c>
      <c r="D414" s="1"/>
      <c r="E414" s="1" t="str">
        <f>_xlfn.REGEXREPLACE(C414, "(.*)\/$", "https://extremismterms.adl.org\1")</f>
        <v>https://extremismterms.adl.org/glossary/alison-weir</v>
      </c>
      <c r="F414" s="1" t="str" cm="1">
        <f t="array" ref="F414">_xlfn.LET(_xlpm.rowNum,MATCH(E414,'glossaryterms-export'!C:C,0),
IF(AND(NOT(ISBLANK(INDEX('glossaryterms-export'!H:H,_xlpm.rowNum))),ISBLANK(INDEX('glossaryterms-export'!I:I,_xlpm.rowNum))),"Ready to Fix",""))</f>
        <v/>
      </c>
      <c r="G414">
        <v>136</v>
      </c>
      <c r="H414">
        <v>116</v>
      </c>
      <c r="I414">
        <v>1.17241379310344</v>
      </c>
      <c r="J414">
        <v>27.913793103448199</v>
      </c>
      <c r="K414">
        <v>539</v>
      </c>
    </row>
    <row r="415" spans="1:11" ht="61.5">
      <c r="A415">
        <v>414</v>
      </c>
      <c r="B415" s="16"/>
      <c r="C415" t="s">
        <v>470</v>
      </c>
      <c r="D415" s="1"/>
      <c r="E415" s="1" t="str">
        <f>_xlfn.REGEXREPLACE(C415, "(.*)\/$", "https://extremismterms.adl.org\1")</f>
        <v>https://extremismterms.adl.org/glossary/barnes-review-tbr</v>
      </c>
      <c r="F415" s="1" t="str" cm="1">
        <f t="array" ref="F415">_xlfn.LET(_xlpm.rowNum,MATCH(E415,'glossaryterms-export'!C:C,0),
IF(AND(NOT(ISBLANK(INDEX('glossaryterms-export'!H:H,_xlpm.rowNum))),ISBLANK(INDEX('glossaryterms-export'!I:I,_xlpm.rowNum))),"Ready to Fix",""))</f>
        <v/>
      </c>
      <c r="G415">
        <v>136</v>
      </c>
      <c r="H415">
        <v>125</v>
      </c>
      <c r="I415">
        <v>1.0880000000000001</v>
      </c>
      <c r="J415">
        <v>32.223999999999997</v>
      </c>
      <c r="K415">
        <v>501</v>
      </c>
    </row>
    <row r="416" spans="1:11" ht="61.5">
      <c r="A416">
        <v>415</v>
      </c>
      <c r="B416" s="16"/>
      <c r="C416" t="s">
        <v>471</v>
      </c>
      <c r="D416" s="1"/>
      <c r="E416" s="1" t="str">
        <f>_xlfn.REGEXREPLACE(C416, "(.*)\/$", "https://extremismterms.adl.org\1")</f>
        <v>https://extremismterms.adl.org/glossary/florida-nationalists</v>
      </c>
      <c r="F416" s="1" t="str" cm="1">
        <f t="array" ref="F416">_xlfn.LET(_xlpm.rowNum,MATCH(E416,'glossaryterms-export'!C:C,0),
IF(AND(NOT(ISBLANK(INDEX('glossaryterms-export'!H:H,_xlpm.rowNum))),ISBLANK(INDEX('glossaryterms-export'!I:I,_xlpm.rowNum))),"Ready to Fix",""))</f>
        <v/>
      </c>
      <c r="G416">
        <v>136</v>
      </c>
      <c r="H416">
        <v>118</v>
      </c>
      <c r="I416">
        <v>1.15254237288135</v>
      </c>
      <c r="J416">
        <v>20.322033898305001</v>
      </c>
      <c r="K416">
        <v>518</v>
      </c>
    </row>
    <row r="417" spans="1:11" ht="61.5">
      <c r="A417">
        <v>416</v>
      </c>
      <c r="B417" s="16"/>
      <c r="C417" t="s">
        <v>472</v>
      </c>
      <c r="D417" s="1"/>
      <c r="E417" s="1" t="str">
        <f>_xlfn.REGEXREPLACE(C417, "(.*)\/$", "https://extremismterms.adl.org\1")</f>
        <v>https://extremismterms.adl.org/glossary/crew-1488</v>
      </c>
      <c r="F417" s="1" t="str" cm="1">
        <f t="array" ref="F417">_xlfn.LET(_xlpm.rowNum,MATCH(E417,'glossaryterms-export'!C:C,0),
IF(AND(NOT(ISBLANK(INDEX('glossaryterms-export'!H:H,_xlpm.rowNum))),ISBLANK(INDEX('glossaryterms-export'!I:I,_xlpm.rowNum))),"Ready to Fix",""))</f>
        <v>Ready to Fix</v>
      </c>
      <c r="G417">
        <v>135</v>
      </c>
      <c r="H417">
        <v>125</v>
      </c>
      <c r="I417">
        <v>1.08</v>
      </c>
      <c r="J417">
        <v>13.856</v>
      </c>
      <c r="K417">
        <v>305</v>
      </c>
    </row>
    <row r="418" spans="1:11" ht="77.25">
      <c r="A418">
        <v>417</v>
      </c>
      <c r="B418" s="16"/>
      <c r="C418" t="s">
        <v>473</v>
      </c>
      <c r="D418" s="1"/>
      <c r="E418" s="1" t="str">
        <f>_xlfn.REGEXREPLACE(C418, "(.*)\/$", "https://extremismterms.adl.org\1")</f>
        <v>https://extremismterms.adl.org/glossary/occidental-templars</v>
      </c>
      <c r="F418" s="1" t="str" cm="1">
        <f t="array" ref="F418">_xlfn.LET(_xlpm.rowNum,MATCH(E418,'glossaryterms-export'!C:C,0),
IF(AND(NOT(ISBLANK(INDEX('glossaryterms-export'!H:H,_xlpm.rowNum))),ISBLANK(INDEX('glossaryterms-export'!I:I,_xlpm.rowNum))),"Ready to Fix",""))</f>
        <v>Ready to Fix</v>
      </c>
      <c r="G418">
        <v>135</v>
      </c>
      <c r="H418">
        <v>118</v>
      </c>
      <c r="I418">
        <v>1.14406779661016</v>
      </c>
      <c r="J418">
        <v>19</v>
      </c>
      <c r="K418">
        <v>478</v>
      </c>
    </row>
    <row r="419" spans="1:11" ht="61.5">
      <c r="A419">
        <v>418</v>
      </c>
      <c r="B419" s="16"/>
      <c r="C419" t="s">
        <v>474</v>
      </c>
      <c r="D419" s="1"/>
      <c r="E419" s="1" t="str">
        <f>_xlfn.REGEXREPLACE(C419, "(.*)\/$", "https://extremismterms.adl.org\1")</f>
        <v>https://extremismterms.adl.org/glossary/vdare</v>
      </c>
      <c r="F419" s="1" t="str" cm="1">
        <f t="array" ref="F419">_xlfn.LET(_xlpm.rowNum,MATCH(E419,'glossaryterms-export'!C:C,0),
IF(AND(NOT(ISBLANK(INDEX('glossaryterms-export'!H:H,_xlpm.rowNum))),ISBLANK(INDEX('glossaryterms-export'!I:I,_xlpm.rowNum))),"Ready to Fix",""))</f>
        <v/>
      </c>
      <c r="G419">
        <v>135</v>
      </c>
      <c r="H419">
        <v>127</v>
      </c>
      <c r="I419">
        <v>1.0629921259842501</v>
      </c>
      <c r="J419">
        <v>9.2834645669291298</v>
      </c>
      <c r="K419">
        <v>359</v>
      </c>
    </row>
    <row r="420" spans="1:11" ht="61.5">
      <c r="A420">
        <v>419</v>
      </c>
      <c r="B420" s="16"/>
      <c r="C420" t="s">
        <v>475</v>
      </c>
      <c r="D420" s="1"/>
      <c r="E420" s="1" t="str">
        <f>_xlfn.REGEXREPLACE(C420, "(.*)\/$", "https://extremismterms.adl.org\1")</f>
        <v>https://extremismterms.adl.org/glossary/aryan-strikeforce</v>
      </c>
      <c r="F420" s="1" t="str" cm="1">
        <f t="array" ref="F420">_xlfn.LET(_xlpm.rowNum,MATCH(E420,'glossaryterms-export'!C:C,0),
IF(AND(NOT(ISBLANK(INDEX('glossaryterms-export'!H:H,_xlpm.rowNum))),ISBLANK(INDEX('glossaryterms-export'!I:I,_xlpm.rowNum))),"Ready to Fix",""))</f>
        <v>Ready to Fix</v>
      </c>
      <c r="G420">
        <v>134</v>
      </c>
      <c r="H420">
        <v>113</v>
      </c>
      <c r="I420">
        <v>1.1858407079646001</v>
      </c>
      <c r="J420">
        <v>24.123893805309699</v>
      </c>
      <c r="K420">
        <v>365</v>
      </c>
    </row>
    <row r="421" spans="1:11" ht="61.5">
      <c r="A421">
        <v>420</v>
      </c>
      <c r="B421" s="16"/>
      <c r="C421" t="s">
        <v>476</v>
      </c>
      <c r="D421" s="1"/>
      <c r="E421" s="1" t="str">
        <f>_xlfn.REGEXREPLACE(C421, "(.*)\/$", "https://extremismterms.adl.org\1")</f>
        <v>https://extremismterms.adl.org/glossary/ecofascism</v>
      </c>
      <c r="F421" s="1" t="str" cm="1">
        <f t="array" ref="F421">_xlfn.LET(_xlpm.rowNum,MATCH(E421,'glossaryterms-export'!C:C,0),
IF(AND(NOT(ISBLANK(INDEX('glossaryterms-export'!H:H,_xlpm.rowNum))),ISBLANK(INDEX('glossaryterms-export'!I:I,_xlpm.rowNum))),"Ready to Fix",""))</f>
        <v/>
      </c>
      <c r="G421">
        <v>133</v>
      </c>
      <c r="H421">
        <v>121</v>
      </c>
      <c r="I421">
        <v>1.0991735537189999</v>
      </c>
      <c r="J421">
        <v>21.495867768595001</v>
      </c>
      <c r="K421">
        <v>335</v>
      </c>
    </row>
    <row r="422" spans="1:11" ht="61.5">
      <c r="A422">
        <v>421</v>
      </c>
      <c r="B422" s="16"/>
      <c r="C422" t="s">
        <v>477</v>
      </c>
      <c r="D422" s="1"/>
      <c r="E422" s="1" t="str">
        <f>_xlfn.REGEXREPLACE(C422, "(.*)\/$", "https://extremismterms.adl.org\1")</f>
        <v>https://extremismterms.adl.org/glossary/alexander-dugin</v>
      </c>
      <c r="F422" s="1" t="str" cm="1">
        <f t="array" ref="F422">_xlfn.LET(_xlpm.rowNum,MATCH(E422,'glossaryterms-export'!C:C,0),
IF(AND(NOT(ISBLANK(INDEX('glossaryterms-export'!H:H,_xlpm.rowNum))),ISBLANK(INDEX('glossaryterms-export'!I:I,_xlpm.rowNum))),"Ready to Fix",""))</f>
        <v/>
      </c>
      <c r="G422">
        <v>132</v>
      </c>
      <c r="H422">
        <v>117</v>
      </c>
      <c r="I422">
        <v>1.12820512820512</v>
      </c>
      <c r="J422">
        <v>11.658119658119601</v>
      </c>
      <c r="K422">
        <v>313</v>
      </c>
    </row>
    <row r="423" spans="1:11" ht="61.5">
      <c r="A423">
        <v>422</v>
      </c>
      <c r="B423" s="16"/>
      <c r="C423" t="s">
        <v>478</v>
      </c>
      <c r="D423" s="1"/>
      <c r="E423" s="1" t="str">
        <f>_xlfn.REGEXREPLACE(C423, "(.*)\/$", "https://extremismterms.adl.org\1")</f>
        <v>https://extremismterms.adl.org/glossary/brigitte-gabriel</v>
      </c>
      <c r="F423" s="1" t="str" cm="1">
        <f t="array" ref="F423">_xlfn.LET(_xlpm.rowNum,MATCH(E423,'glossaryterms-export'!C:C,0),
IF(AND(NOT(ISBLANK(INDEX('glossaryterms-export'!H:H,_xlpm.rowNum))),ISBLANK(INDEX('glossaryterms-export'!I:I,_xlpm.rowNum))),"Ready to Fix",""))</f>
        <v>Ready to Fix</v>
      </c>
      <c r="G423">
        <v>132</v>
      </c>
      <c r="H423">
        <v>108</v>
      </c>
      <c r="I423">
        <v>1.2222222222222201</v>
      </c>
      <c r="J423">
        <v>19.203703703703699</v>
      </c>
      <c r="K423">
        <v>326</v>
      </c>
    </row>
    <row r="424" spans="1:11" ht="61.5">
      <c r="A424">
        <v>423</v>
      </c>
      <c r="B424" s="16"/>
      <c r="C424" t="s">
        <v>479</v>
      </c>
      <c r="D424" s="1"/>
      <c r="E424" s="1" t="str">
        <f>_xlfn.REGEXREPLACE(C424, "(.*)\/$", "https://extremismterms.adl.org\1")</f>
        <v>https://extremismterms.adl.org/glossary/gavin-mcinnes</v>
      </c>
      <c r="F424" s="1" t="str" cm="1">
        <f t="array" ref="F424">_xlfn.LET(_xlpm.rowNum,MATCH(E424,'glossaryterms-export'!C:C,0),
IF(AND(NOT(ISBLANK(INDEX('glossaryterms-export'!H:H,_xlpm.rowNum))),ISBLANK(INDEX('glossaryterms-export'!I:I,_xlpm.rowNum))),"Ready to Fix",""))</f>
        <v/>
      </c>
      <c r="G424">
        <v>131</v>
      </c>
      <c r="H424">
        <v>120</v>
      </c>
      <c r="I424">
        <v>1.0916666666666599</v>
      </c>
      <c r="J424">
        <v>21.95</v>
      </c>
      <c r="K424">
        <v>331</v>
      </c>
    </row>
    <row r="425" spans="1:11" ht="61.5">
      <c r="A425">
        <v>424</v>
      </c>
      <c r="B425" s="16"/>
      <c r="C425" t="s">
        <v>480</v>
      </c>
      <c r="D425" s="1"/>
      <c r="E425" s="1" t="str">
        <f>_xlfn.REGEXREPLACE(C425, "(.*)\/$", "https://extremismterms.adl.org\1")</f>
        <v>https://extremismterms.adl.org/glossary/love-your-race</v>
      </c>
      <c r="F425" s="1" t="str" cm="1">
        <f t="array" ref="F425">_xlfn.LET(_xlpm.rowNum,MATCH(E425,'glossaryterms-export'!C:C,0),
IF(AND(NOT(ISBLANK(INDEX('glossaryterms-export'!H:H,_xlpm.rowNum))),ISBLANK(INDEX('glossaryterms-export'!I:I,_xlpm.rowNum))),"Ready to Fix",""))</f>
        <v>Ready to Fix</v>
      </c>
      <c r="G425">
        <v>131</v>
      </c>
      <c r="H425">
        <v>114</v>
      </c>
      <c r="I425">
        <v>1.1491228070175401</v>
      </c>
      <c r="J425">
        <v>9.8157894740000007</v>
      </c>
      <c r="K425">
        <v>375</v>
      </c>
    </row>
    <row r="426" spans="1:11" ht="61.5">
      <c r="A426">
        <v>425</v>
      </c>
      <c r="B426" s="16"/>
      <c r="C426" t="s">
        <v>481</v>
      </c>
      <c r="D426" s="1"/>
      <c r="E426" s="1" t="str">
        <f>_xlfn.REGEXREPLACE(C426, "(.*)\/$", "https://extremismterms.adl.org\1")</f>
        <v>https://extremismterms.adl.org/glossary/arthur-jones</v>
      </c>
      <c r="F426" s="1" t="str" cm="1">
        <f t="array" ref="F426">_xlfn.LET(_xlpm.rowNum,MATCH(E426,'glossaryterms-export'!C:C,0),
IF(AND(NOT(ISBLANK(INDEX('glossaryterms-export'!H:H,_xlpm.rowNum))),ISBLANK(INDEX('glossaryterms-export'!I:I,_xlpm.rowNum))),"Ready to Fix",""))</f>
        <v>Ready to Fix</v>
      </c>
      <c r="G426">
        <v>130</v>
      </c>
      <c r="H426">
        <v>117</v>
      </c>
      <c r="I426">
        <v>1.1111111111111101</v>
      </c>
      <c r="J426">
        <v>24.871794871794801</v>
      </c>
      <c r="K426">
        <v>308</v>
      </c>
    </row>
    <row r="427" spans="1:11" ht="61.5">
      <c r="A427">
        <v>426</v>
      </c>
      <c r="B427" s="16"/>
      <c r="C427" t="s">
        <v>482</v>
      </c>
      <c r="D427" s="1"/>
      <c r="E427" s="1" t="str">
        <f>_xlfn.REGEXREPLACE(C427, "(.*)\/$", "https://extremismterms.adl.org\1")</f>
        <v>https://extremismterms.adl.org/glossary/crazy-white-boy</v>
      </c>
      <c r="F427" s="1" t="str" cm="1">
        <f t="array" ref="F427">_xlfn.LET(_xlpm.rowNum,MATCH(E427,'glossaryterms-export'!C:C,0),
IF(AND(NOT(ISBLANK(INDEX('glossaryterms-export'!H:H,_xlpm.rowNum))),ISBLANK(INDEX('glossaryterms-export'!I:I,_xlpm.rowNum))),"Ready to Fix",""))</f>
        <v>Ready to Fix</v>
      </c>
      <c r="G427">
        <v>129</v>
      </c>
      <c r="H427">
        <v>118</v>
      </c>
      <c r="I427">
        <v>1.0932203389830499</v>
      </c>
      <c r="J427">
        <v>13.6949152542372</v>
      </c>
      <c r="K427">
        <v>283</v>
      </c>
    </row>
    <row r="428" spans="1:11" ht="61.5">
      <c r="A428">
        <v>427</v>
      </c>
      <c r="B428" s="16"/>
      <c r="C428" t="s">
        <v>483</v>
      </c>
      <c r="D428" s="1"/>
      <c r="E428" s="1" t="str">
        <f>_xlfn.REGEXREPLACE(C428, "(.*)\/$", "https://extremismterms.adl.org\1")</f>
        <v>https://extremismterms.adl.org/glossary/druck18</v>
      </c>
      <c r="F428" s="1" t="str" cm="1">
        <f t="array" ref="F428">_xlfn.LET(_xlpm.rowNum,MATCH(E428,'glossaryterms-export'!C:C,0),
IF(AND(NOT(ISBLANK(INDEX('glossaryterms-export'!H:H,_xlpm.rowNum))),ISBLANK(INDEX('glossaryterms-export'!I:I,_xlpm.rowNum))),"Ready to Fix",""))</f>
        <v>Ready to Fix</v>
      </c>
      <c r="G428">
        <v>129</v>
      </c>
      <c r="H428">
        <v>115</v>
      </c>
      <c r="I428">
        <v>1.1217391304347799</v>
      </c>
      <c r="J428">
        <v>19.243478260869502</v>
      </c>
      <c r="K428">
        <v>359</v>
      </c>
    </row>
    <row r="429" spans="1:11" ht="61.5">
      <c r="A429">
        <v>428</v>
      </c>
      <c r="B429" s="16"/>
      <c r="C429" t="s">
        <v>484</v>
      </c>
      <c r="D429" s="1"/>
      <c r="E429" s="1" t="str">
        <f>_xlfn.REGEXREPLACE(C429, "(.*)\/$", "https://extremismterms.adl.org\1")</f>
        <v>https://extremismterms.adl.org/glossary/last-rhodesian</v>
      </c>
      <c r="F429" s="1" t="str" cm="1">
        <f t="array" ref="F429">_xlfn.LET(_xlpm.rowNum,MATCH(E429,'glossaryterms-export'!C:C,0),
IF(AND(NOT(ISBLANK(INDEX('glossaryterms-export'!H:H,_xlpm.rowNum))),ISBLANK(INDEX('glossaryterms-export'!I:I,_xlpm.rowNum))),"Ready to Fix",""))</f>
        <v/>
      </c>
      <c r="G429">
        <v>129</v>
      </c>
      <c r="H429">
        <v>121</v>
      </c>
      <c r="I429">
        <v>1.06611570247933</v>
      </c>
      <c r="J429">
        <v>15.7851239669421</v>
      </c>
      <c r="K429">
        <v>416</v>
      </c>
    </row>
    <row r="430" spans="1:11" ht="61.5">
      <c r="A430">
        <v>429</v>
      </c>
      <c r="B430" s="16"/>
      <c r="C430" t="s">
        <v>485</v>
      </c>
      <c r="D430" s="1"/>
      <c r="E430" s="1" t="str">
        <f>_xlfn.REGEXREPLACE(C430, "(.*)\/$", "https://extremismterms.adl.org\1")</f>
        <v>https://extremismterms.adl.org/glossary/media2rise</v>
      </c>
      <c r="F430" s="1" t="str" cm="1">
        <f t="array" ref="F430">_xlfn.LET(_xlpm.rowNum,MATCH(E430,'glossaryterms-export'!C:C,0),
IF(AND(NOT(ISBLANK(INDEX('glossaryterms-export'!H:H,_xlpm.rowNum))),ISBLANK(INDEX('glossaryterms-export'!I:I,_xlpm.rowNum))),"Ready to Fix",""))</f>
        <v/>
      </c>
      <c r="G430">
        <v>129</v>
      </c>
      <c r="H430">
        <v>62</v>
      </c>
      <c r="I430">
        <v>2.0806451612903198</v>
      </c>
      <c r="J430">
        <v>20.467741935483801</v>
      </c>
      <c r="K430">
        <v>369</v>
      </c>
    </row>
    <row r="431" spans="1:11" ht="61.5">
      <c r="A431">
        <v>430</v>
      </c>
      <c r="B431" s="16"/>
      <c r="C431" t="s">
        <v>486</v>
      </c>
      <c r="D431" s="1"/>
      <c r="E431" s="1" t="str">
        <f>_xlfn.REGEXREPLACE(C431, "(.*)\/$", "https://extremismterms.adl.org\1")</f>
        <v>https://extremismterms.adl.org/glossary/st-michaels-cross</v>
      </c>
      <c r="F431" s="1" t="str" cm="1">
        <f t="array" ref="F431">_xlfn.LET(_xlpm.rowNum,MATCH(E431,'glossaryterms-export'!C:C,0),
IF(AND(NOT(ISBLANK(INDEX('glossaryterms-export'!H:H,_xlpm.rowNum))),ISBLANK(INDEX('glossaryterms-export'!I:I,_xlpm.rowNum))),"Ready to Fix",""))</f>
        <v/>
      </c>
      <c r="G431">
        <v>129</v>
      </c>
      <c r="H431">
        <v>123</v>
      </c>
      <c r="I431">
        <v>1.0487804878048701</v>
      </c>
      <c r="J431">
        <v>13.3739837398373</v>
      </c>
      <c r="K431">
        <v>318</v>
      </c>
    </row>
    <row r="432" spans="1:11" ht="61.5">
      <c r="A432">
        <v>431</v>
      </c>
      <c r="B432" s="16"/>
      <c r="C432" t="s">
        <v>487</v>
      </c>
      <c r="D432" s="1"/>
      <c r="E432" s="1" t="str">
        <f>_xlfn.REGEXREPLACE(C432, "(.*)\/$", "https://extremismterms.adl.org\1")</f>
        <v>https://extremismterms.adl.org/glossary/trollface</v>
      </c>
      <c r="F432" s="1" t="str" cm="1">
        <f t="array" ref="F432">_xlfn.LET(_xlpm.rowNum,MATCH(E432,'glossaryterms-export'!C:C,0),
IF(AND(NOT(ISBLANK(INDEX('glossaryterms-export'!H:H,_xlpm.rowNum))),ISBLANK(INDEX('glossaryterms-export'!I:I,_xlpm.rowNum))),"Ready to Fix",""))</f>
        <v>Ready to Fix</v>
      </c>
      <c r="G432">
        <v>129</v>
      </c>
      <c r="H432">
        <v>126</v>
      </c>
      <c r="I432">
        <v>1.02380952380952</v>
      </c>
      <c r="J432">
        <v>9.8412698412698401</v>
      </c>
      <c r="K432">
        <v>298</v>
      </c>
    </row>
    <row r="433" spans="1:11" ht="61.5">
      <c r="A433">
        <v>432</v>
      </c>
      <c r="B433" s="16"/>
      <c r="C433" t="s">
        <v>488</v>
      </c>
      <c r="D433" s="1"/>
      <c r="E433" s="1" t="str">
        <f>_xlfn.REGEXREPLACE(C433, "(.*)\/$", "https://extremismterms.adl.org\1")</f>
        <v>https://extremismterms.adl.org/glossary/truth-social-q-tsq</v>
      </c>
      <c r="F433" s="1" t="str" cm="1">
        <f t="array" ref="F433">_xlfn.LET(_xlpm.rowNum,MATCH(E433,'glossaryterms-export'!C:C,0),
IF(AND(NOT(ISBLANK(INDEX('glossaryterms-export'!H:H,_xlpm.rowNum))),ISBLANK(INDEX('glossaryterms-export'!I:I,_xlpm.rowNum))),"Ready to Fix",""))</f>
        <v/>
      </c>
      <c r="G433">
        <v>129</v>
      </c>
      <c r="H433">
        <v>121</v>
      </c>
      <c r="I433">
        <v>1.06611570247933</v>
      </c>
      <c r="J433">
        <v>14.0578512396694</v>
      </c>
      <c r="K433">
        <v>444</v>
      </c>
    </row>
    <row r="434" spans="1:11" ht="61.5">
      <c r="A434">
        <v>433</v>
      </c>
      <c r="B434" s="16"/>
      <c r="C434" t="s">
        <v>489</v>
      </c>
      <c r="D434" s="1"/>
      <c r="E434" s="1" t="str">
        <f>_xlfn.REGEXREPLACE(C434, "(.*)\/$", "https://extremismterms.adl.org\1")</f>
        <v>https://extremismterms.adl.org/glossary/totenkopf</v>
      </c>
      <c r="F434" s="1" t="str" cm="1">
        <f t="array" ref="F434">_xlfn.LET(_xlpm.rowNum,MATCH(E434,'glossaryterms-export'!C:C,0),
IF(AND(NOT(ISBLANK(INDEX('glossaryterms-export'!H:H,_xlpm.rowNum))),ISBLANK(INDEX('glossaryterms-export'!I:I,_xlpm.rowNum))),"Ready to Fix",""))</f>
        <v>Ready to Fix</v>
      </c>
      <c r="G434">
        <v>128</v>
      </c>
      <c r="H434">
        <v>117</v>
      </c>
      <c r="I434">
        <v>1.0940170940170899</v>
      </c>
      <c r="J434">
        <v>16.4871794871794</v>
      </c>
      <c r="K434">
        <v>314</v>
      </c>
    </row>
    <row r="435" spans="1:11" ht="61.5">
      <c r="A435">
        <v>434</v>
      </c>
      <c r="B435" s="16"/>
      <c r="C435" t="s">
        <v>490</v>
      </c>
      <c r="D435" s="1"/>
      <c r="E435" s="1" t="str">
        <f>_xlfn.REGEXREPLACE(C435, "(.*)\/$", "https://extremismterms.adl.org\1")</f>
        <v>https://extremismterms.adl.org/glossary/white-boy-summer</v>
      </c>
      <c r="F435" s="1" t="str" cm="1">
        <f t="array" ref="F435">_xlfn.LET(_xlpm.rowNum,MATCH(E435,'glossaryterms-export'!C:C,0),
IF(AND(NOT(ISBLANK(INDEX('glossaryterms-export'!H:H,_xlpm.rowNum))),ISBLANK(INDEX('glossaryterms-export'!I:I,_xlpm.rowNum))),"Ready to Fix",""))</f>
        <v>Ready to Fix</v>
      </c>
      <c r="G435">
        <v>128</v>
      </c>
      <c r="H435">
        <v>118</v>
      </c>
      <c r="I435">
        <v>1.08474576271186</v>
      </c>
      <c r="J435">
        <v>15.042372881355901</v>
      </c>
      <c r="K435">
        <v>340</v>
      </c>
    </row>
    <row r="436" spans="1:11" ht="77.25">
      <c r="A436">
        <v>435</v>
      </c>
      <c r="B436" s="16"/>
      <c r="C436" t="s">
        <v>491</v>
      </c>
      <c r="D436" s="1"/>
      <c r="E436" s="1" t="str">
        <f>_xlfn.REGEXREPLACE(C436, "(.*)\/$", "https://extremismterms.adl.org\1")</f>
        <v>https://extremismterms.adl.org/glossary/american-freedom-party</v>
      </c>
      <c r="F436" s="1" t="str" cm="1">
        <f t="array" ref="F436">_xlfn.LET(_xlpm.rowNum,MATCH(E436,'glossaryterms-export'!C:C,0),
IF(AND(NOT(ISBLANK(INDEX('glossaryterms-export'!H:H,_xlpm.rowNum))),ISBLANK(INDEX('glossaryterms-export'!I:I,_xlpm.rowNum))),"Ready to Fix",""))</f>
        <v>Ready to Fix</v>
      </c>
      <c r="G436">
        <v>127</v>
      </c>
      <c r="H436">
        <v>113</v>
      </c>
      <c r="I436">
        <v>1.12389380530973</v>
      </c>
      <c r="J436">
        <v>10.176991150442401</v>
      </c>
      <c r="K436">
        <v>346</v>
      </c>
    </row>
    <row r="437" spans="1:11" ht="61.5">
      <c r="A437">
        <v>436</v>
      </c>
      <c r="B437" s="16"/>
      <c r="C437" t="s">
        <v>492</v>
      </c>
      <c r="D437" s="1"/>
      <c r="E437" s="1" t="str">
        <f>_xlfn.REGEXREPLACE(C437, "(.*)\/$", "https://extremismterms.adl.org\1")</f>
        <v>https://extremismterms.adl.org/glossary/jared-taylor</v>
      </c>
      <c r="F437" s="1" t="str" cm="1">
        <f t="array" ref="F437">_xlfn.LET(_xlpm.rowNum,MATCH(E437,'glossaryterms-export'!C:C,0),
IF(AND(NOT(ISBLANK(INDEX('glossaryterms-export'!H:H,_xlpm.rowNum))),ISBLANK(INDEX('glossaryterms-export'!I:I,_xlpm.rowNum))),"Ready to Fix",""))</f>
        <v/>
      </c>
      <c r="G437">
        <v>127</v>
      </c>
      <c r="H437">
        <v>119</v>
      </c>
      <c r="I437">
        <v>1.0672268907563001</v>
      </c>
      <c r="J437">
        <v>20.344537815125999</v>
      </c>
      <c r="K437">
        <v>360</v>
      </c>
    </row>
    <row r="438" spans="1:11" ht="77.25">
      <c r="A438">
        <v>437</v>
      </c>
      <c r="B438" s="16"/>
      <c r="C438" t="s">
        <v>493</v>
      </c>
      <c r="D438" s="1"/>
      <c r="E438" s="1" t="str">
        <f>_xlfn.REGEXREPLACE(C438, "(.*)\/$", "https://extremismterms.adl.org\1")</f>
        <v>https://extremismterms.adl.org/glossary/men-going-their-own-way-mgtows</v>
      </c>
      <c r="F438" s="1" t="str" cm="1">
        <f t="array" ref="F438">_xlfn.LET(_xlpm.rowNum,MATCH(E438,'glossaryterms-export'!C:C,0),
IF(AND(NOT(ISBLANK(INDEX('glossaryterms-export'!H:H,_xlpm.rowNum))),ISBLANK(INDEX('glossaryterms-export'!I:I,_xlpm.rowNum))),"Ready to Fix",""))</f>
        <v>Ready to Fix</v>
      </c>
      <c r="G438">
        <v>127</v>
      </c>
      <c r="H438">
        <v>122</v>
      </c>
      <c r="I438">
        <v>1.0409836065573701</v>
      </c>
      <c r="J438">
        <v>22.172131147540899</v>
      </c>
      <c r="K438">
        <v>364</v>
      </c>
    </row>
    <row r="439" spans="1:11" ht="61.5">
      <c r="A439">
        <v>438</v>
      </c>
      <c r="B439" s="16"/>
      <c r="C439" t="s">
        <v>494</v>
      </c>
      <c r="D439" s="1"/>
      <c r="E439" s="1" t="str">
        <f>_xlfn.REGEXREPLACE(C439, "(.*)\/$", "https://extremismterms.adl.org\1")</f>
        <v>https://extremismterms.adl.org/glossary/great-reset</v>
      </c>
      <c r="F439" s="1" t="str" cm="1">
        <f t="array" ref="F439">_xlfn.LET(_xlpm.rowNum,MATCH(E439,'glossaryterms-export'!C:C,0),
IF(AND(NOT(ISBLANK(INDEX('glossaryterms-export'!H:H,_xlpm.rowNum))),ISBLANK(INDEX('glossaryterms-export'!I:I,_xlpm.rowNum))),"Ready to Fix",""))</f>
        <v>Ready to Fix</v>
      </c>
      <c r="G439">
        <v>126</v>
      </c>
      <c r="H439">
        <v>114</v>
      </c>
      <c r="I439">
        <v>1.1052631578947301</v>
      </c>
      <c r="J439">
        <v>22.210526315789402</v>
      </c>
      <c r="K439">
        <v>315</v>
      </c>
    </row>
    <row r="440" spans="1:11" ht="61.5">
      <c r="A440">
        <v>439</v>
      </c>
      <c r="B440" s="14" t="s">
        <v>495</v>
      </c>
      <c r="C440" t="s">
        <v>496</v>
      </c>
      <c r="D440" s="1" t="s">
        <v>20</v>
      </c>
      <c r="E440" s="1" t="str">
        <f>_xlfn.REGEXREPLACE(C440, "(.*)\/$", "https://extremismterms.adl.org\1")</f>
        <v>https://extremismterms.adl.org/glossary/brittany-pettibone</v>
      </c>
      <c r="F440" s="1" t="str" cm="1">
        <f t="array" ref="F440">_xlfn.LET(_xlpm.rowNum,MATCH(E440,'glossaryterms-export'!C:C,0),
IF(AND(NOT(ISBLANK(INDEX('glossaryterms-export'!H:H,_xlpm.rowNum))),ISBLANK(INDEX('glossaryterms-export'!I:I,_xlpm.rowNum))),"Ready to Fix",""))</f>
        <v/>
      </c>
      <c r="G440">
        <v>125</v>
      </c>
      <c r="H440">
        <v>116</v>
      </c>
      <c r="I440">
        <v>1.07758620689655</v>
      </c>
      <c r="J440">
        <v>12.3706896551724</v>
      </c>
      <c r="K440">
        <v>361</v>
      </c>
    </row>
    <row r="441" spans="1:11" ht="61.5">
      <c r="A441">
        <v>440</v>
      </c>
      <c r="B441" s="16"/>
      <c r="C441" t="s">
        <v>497</v>
      </c>
      <c r="D441" s="1"/>
      <c r="E441" s="1" t="str">
        <f>_xlfn.REGEXREPLACE(C441, "(.*)\/$", "https://extremismterms.adl.org\1")</f>
        <v>https://extremismterms.adl.org/glossary/anti-antifa</v>
      </c>
      <c r="F441" s="1" t="str" cm="1">
        <f t="array" ref="F441">_xlfn.LET(_xlpm.rowNum,MATCH(E441,'glossaryterms-export'!C:C,0),
IF(AND(NOT(ISBLANK(INDEX('glossaryterms-export'!H:H,_xlpm.rowNum))),ISBLANK(INDEX('glossaryterms-export'!I:I,_xlpm.rowNum))),"Ready to Fix",""))</f>
        <v>Ready to Fix</v>
      </c>
      <c r="G441">
        <v>124</v>
      </c>
      <c r="H441">
        <v>106</v>
      </c>
      <c r="I441">
        <v>1.1698113207547101</v>
      </c>
      <c r="J441">
        <v>14.5</v>
      </c>
      <c r="K441">
        <v>325</v>
      </c>
    </row>
    <row r="442" spans="1:11" ht="61.5">
      <c r="A442">
        <v>441</v>
      </c>
      <c r="B442" s="16"/>
      <c r="C442" t="s">
        <v>498</v>
      </c>
      <c r="D442" s="1"/>
      <c r="E442" s="1" t="str">
        <f>_xlfn.REGEXREPLACE(C442, "(.*)\/$", "https://extremismterms.adl.org\1")</f>
        <v>https://extremismterms.adl.org/glossary/william-potter-gale</v>
      </c>
      <c r="F442" s="1" t="str" cm="1">
        <f t="array" ref="F442">_xlfn.LET(_xlpm.rowNum,MATCH(E442,'glossaryterms-export'!C:C,0),
IF(AND(NOT(ISBLANK(INDEX('glossaryterms-export'!H:H,_xlpm.rowNum))),ISBLANK(INDEX('glossaryterms-export'!I:I,_xlpm.rowNum))),"Ready to Fix",""))</f>
        <v/>
      </c>
      <c r="G442">
        <v>124</v>
      </c>
      <c r="H442">
        <v>108</v>
      </c>
      <c r="I442">
        <v>1.1481481481481399</v>
      </c>
      <c r="J442">
        <v>19.0555555555555</v>
      </c>
      <c r="K442">
        <v>503</v>
      </c>
    </row>
    <row r="443" spans="1:11" ht="77.25">
      <c r="A443">
        <v>442</v>
      </c>
      <c r="B443" s="16"/>
      <c r="C443" t="s">
        <v>499</v>
      </c>
      <c r="D443" s="1"/>
      <c r="E443" s="1" t="str">
        <f>_xlfn.REGEXREPLACE(C443, "(.*)\/$", "https://extremismterms.adl.org\1")</f>
        <v>https://extremismterms.adl.org/glossary/anders-behring-breivik</v>
      </c>
      <c r="F443" s="1" t="str" cm="1">
        <f t="array" ref="F443">_xlfn.LET(_xlpm.rowNum,MATCH(E443,'glossaryterms-export'!C:C,0),
IF(AND(NOT(ISBLANK(INDEX('glossaryterms-export'!H:H,_xlpm.rowNum))),ISBLANK(INDEX('glossaryterms-export'!I:I,_xlpm.rowNum))),"Ready to Fix",""))</f>
        <v/>
      </c>
      <c r="G443">
        <v>123</v>
      </c>
      <c r="H443">
        <v>103</v>
      </c>
      <c r="I443">
        <v>1.19417475728155</v>
      </c>
      <c r="J443">
        <v>14.5825242718446</v>
      </c>
      <c r="K443">
        <v>270</v>
      </c>
    </row>
    <row r="444" spans="1:11" ht="61.5">
      <c r="A444">
        <v>443</v>
      </c>
      <c r="B444" s="16"/>
      <c r="C444" t="s">
        <v>500</v>
      </c>
      <c r="D444" s="1"/>
      <c r="E444" s="1" t="str">
        <f>_xlfn.REGEXREPLACE(C444, "(.*)\/$", "https://extremismterms.adl.org\1")</f>
        <v>https://extremismterms.adl.org/glossary/arseniy-bilodub</v>
      </c>
      <c r="F444" s="1" t="str" cm="1">
        <f t="array" ref="F444">_xlfn.LET(_xlpm.rowNum,MATCH(E444,'glossaryterms-export'!C:C,0),
IF(AND(NOT(ISBLANK(INDEX('glossaryterms-export'!H:H,_xlpm.rowNum))),ISBLANK(INDEX('glossaryterms-export'!I:I,_xlpm.rowNum))),"Ready to Fix",""))</f>
        <v/>
      </c>
      <c r="G444">
        <v>123</v>
      </c>
      <c r="H444">
        <v>105</v>
      </c>
      <c r="I444">
        <v>1.1714285714285699</v>
      </c>
      <c r="J444">
        <v>17.019047619047601</v>
      </c>
      <c r="K444">
        <v>451</v>
      </c>
    </row>
    <row r="445" spans="1:11" ht="61.5">
      <c r="A445">
        <v>444</v>
      </c>
      <c r="B445" s="16"/>
      <c r="C445" t="s">
        <v>501</v>
      </c>
      <c r="D445" s="1"/>
      <c r="E445" s="1" t="str">
        <f>_xlfn.REGEXREPLACE(C445, "(.*)\/$", "https://extremismterms.adl.org\1")</f>
        <v>https://extremismterms.adl.org/glossary/black-swan-event</v>
      </c>
      <c r="F445" s="1" t="str" cm="1">
        <f t="array" ref="F445">_xlfn.LET(_xlpm.rowNum,MATCH(E445,'glossaryterms-export'!C:C,0),
IF(AND(NOT(ISBLANK(INDEX('glossaryterms-export'!H:H,_xlpm.rowNum))),ISBLANK(INDEX('glossaryterms-export'!I:I,_xlpm.rowNum))),"Ready to Fix",""))</f>
        <v/>
      </c>
      <c r="G445">
        <v>123</v>
      </c>
      <c r="H445">
        <v>118</v>
      </c>
      <c r="I445">
        <v>1.0423728813559301</v>
      </c>
      <c r="J445">
        <v>22.618644067796598</v>
      </c>
      <c r="K445">
        <v>300</v>
      </c>
    </row>
    <row r="446" spans="1:11" ht="61.5">
      <c r="A446">
        <v>445</v>
      </c>
      <c r="B446" s="16"/>
      <c r="C446" t="s">
        <v>502</v>
      </c>
      <c r="D446" s="1"/>
      <c r="E446" s="1" t="str">
        <f>_xlfn.REGEXREPLACE(C446, "(.*)\/$", "https://extremismterms.adl.org\1")</f>
        <v>https://extremismterms.adl.org/glossary/fema-camps</v>
      </c>
      <c r="F446" s="1" t="str" cm="1">
        <f t="array" ref="F446">_xlfn.LET(_xlpm.rowNum,MATCH(E446,'glossaryterms-export'!C:C,0),
IF(AND(NOT(ISBLANK(INDEX('glossaryterms-export'!H:H,_xlpm.rowNum))),ISBLANK(INDEX('glossaryterms-export'!I:I,_xlpm.rowNum))),"Ready to Fix",""))</f>
        <v>Ready to Fix</v>
      </c>
      <c r="G446">
        <v>122</v>
      </c>
      <c r="H446">
        <v>120</v>
      </c>
      <c r="I446">
        <v>1.0166666666666599</v>
      </c>
      <c r="J446">
        <v>13.658333333333299</v>
      </c>
      <c r="K446">
        <v>309</v>
      </c>
    </row>
    <row r="447" spans="1:11" ht="77.25">
      <c r="A447">
        <v>446</v>
      </c>
      <c r="B447" s="16"/>
      <c r="C447" t="s">
        <v>503</v>
      </c>
      <c r="D447" s="1"/>
      <c r="E447" s="1" t="str">
        <f>_xlfn.REGEXREPLACE(C447, "(.*)\/$", "https://extremismterms.adl.org\1")</f>
        <v>https://extremismterms.adl.org/glossary/fred-perry-polo-shirts-symbol</v>
      </c>
      <c r="F447" s="1" t="str" cm="1">
        <f t="array" ref="F447">_xlfn.LET(_xlpm.rowNum,MATCH(E447,'glossaryterms-export'!C:C,0),
IF(AND(NOT(ISBLANK(INDEX('glossaryterms-export'!H:H,_xlpm.rowNum))),ISBLANK(INDEX('glossaryterms-export'!I:I,_xlpm.rowNum))),"Ready to Fix",""))</f>
        <v/>
      </c>
      <c r="G447">
        <v>122</v>
      </c>
      <c r="H447">
        <v>107</v>
      </c>
      <c r="I447">
        <v>1.1401869158878499</v>
      </c>
      <c r="J447">
        <v>17.299065420560702</v>
      </c>
      <c r="K447">
        <v>311</v>
      </c>
    </row>
    <row r="448" spans="1:11" ht="61.5">
      <c r="A448">
        <v>447</v>
      </c>
      <c r="B448" s="16"/>
      <c r="C448" t="s">
        <v>504</v>
      </c>
      <c r="D448" s="1"/>
      <c r="E448" s="1" t="str">
        <f>_xlfn.REGEXREPLACE(C448, "(.*)\/$", "https://extremismterms.adl.org\1")</f>
        <v>https://extremismterms.adl.org/glossary/mark-collett</v>
      </c>
      <c r="F448" s="1" t="str" cm="1">
        <f t="array" ref="F448">_xlfn.LET(_xlpm.rowNum,MATCH(E448,'glossaryterms-export'!C:C,0),
IF(AND(NOT(ISBLANK(INDEX('glossaryterms-export'!H:H,_xlpm.rowNum))),ISBLANK(INDEX('glossaryterms-export'!I:I,_xlpm.rowNum))),"Ready to Fix",""))</f>
        <v/>
      </c>
      <c r="G448">
        <v>122</v>
      </c>
      <c r="H448">
        <v>117</v>
      </c>
      <c r="I448">
        <v>1.0427350427350399</v>
      </c>
      <c r="J448">
        <v>14.136752136752101</v>
      </c>
      <c r="K448">
        <v>374</v>
      </c>
    </row>
    <row r="449" spans="1:11" ht="61.5">
      <c r="A449">
        <v>448</v>
      </c>
      <c r="B449" s="16"/>
      <c r="C449" t="s">
        <v>505</v>
      </c>
      <c r="D449" s="1"/>
      <c r="E449" s="1" t="str">
        <f>_xlfn.REGEXREPLACE(C449, "(.*)\/$", "https://extremismterms.adl.org\1")</f>
        <v>https://extremismterms.adl.org/glossary/lauren-southern</v>
      </c>
      <c r="F449" s="1" t="str" cm="1">
        <f t="array" ref="F449">_xlfn.LET(_xlpm.rowNum,MATCH(E449,'glossaryterms-export'!C:C,0),
IF(AND(NOT(ISBLANK(INDEX('glossaryterms-export'!H:H,_xlpm.rowNum))),ISBLANK(INDEX('glossaryterms-export'!I:I,_xlpm.rowNum))),"Ready to Fix",""))</f>
        <v>Ready to Fix</v>
      </c>
      <c r="G449">
        <v>121</v>
      </c>
      <c r="H449">
        <v>110</v>
      </c>
      <c r="I449">
        <v>1.1000000000000001</v>
      </c>
      <c r="J449">
        <v>9.3272727272727192</v>
      </c>
      <c r="K449">
        <v>370</v>
      </c>
    </row>
    <row r="450" spans="1:11" ht="61.5">
      <c r="A450">
        <v>449</v>
      </c>
      <c r="B450" s="14" t="s">
        <v>15</v>
      </c>
      <c r="C450" t="s">
        <v>506</v>
      </c>
      <c r="D450" s="1" t="s">
        <v>20</v>
      </c>
      <c r="E450" s="1" t="str">
        <f>_xlfn.REGEXREPLACE(C450, "(.*)\/$", "https://extremismterms.adl.org\1")</f>
        <v>https://extremismterms.adl.org/glossary/baking</v>
      </c>
      <c r="F450" s="1" t="str" cm="1">
        <f t="array" ref="F450">_xlfn.LET(_xlpm.rowNum,MATCH(E450,'glossaryterms-export'!C:C,0),
IF(AND(NOT(ISBLANK(INDEX('glossaryterms-export'!H:H,_xlpm.rowNum))),ISBLANK(INDEX('glossaryterms-export'!I:I,_xlpm.rowNum))),"Ready to Fix",""))</f>
        <v/>
      </c>
      <c r="G450">
        <v>120</v>
      </c>
      <c r="H450">
        <v>84</v>
      </c>
      <c r="I450">
        <v>1.4285714285714199</v>
      </c>
      <c r="J450">
        <v>19.511904761904699</v>
      </c>
      <c r="K450">
        <v>403</v>
      </c>
    </row>
    <row r="451" spans="1:11" ht="61.5">
      <c r="A451">
        <v>450</v>
      </c>
      <c r="B451" s="16"/>
      <c r="C451" t="s">
        <v>507</v>
      </c>
      <c r="D451" s="1"/>
      <c r="E451" s="1" t="str">
        <f>_xlfn.REGEXREPLACE(C451, "(.*)\/$", "https://extremismterms.adl.org\1")</f>
        <v>https://extremismterms.adl.org/glossary/bradley-smith</v>
      </c>
      <c r="F451" s="1" t="str" cm="1">
        <f t="array" ref="F451">_xlfn.LET(_xlpm.rowNum,MATCH(E451,'glossaryterms-export'!C:C,0),
IF(AND(NOT(ISBLANK(INDEX('glossaryterms-export'!H:H,_xlpm.rowNum))),ISBLANK(INDEX('glossaryterms-export'!I:I,_xlpm.rowNum))),"Ready to Fix",""))</f>
        <v>Ready to Fix</v>
      </c>
      <c r="G451">
        <v>120</v>
      </c>
      <c r="H451">
        <v>110</v>
      </c>
      <c r="I451">
        <v>1.0909090909090899</v>
      </c>
      <c r="J451">
        <v>41.772727272727202</v>
      </c>
      <c r="K451">
        <v>424</v>
      </c>
    </row>
    <row r="452" spans="1:11" ht="61.5">
      <c r="A452">
        <v>451</v>
      </c>
      <c r="B452" s="16"/>
      <c r="C452" t="s">
        <v>508</v>
      </c>
      <c r="D452" s="1"/>
      <c r="E452" s="1" t="str">
        <f>_xlfn.REGEXREPLACE(C452, "(.*)\/$", "https://extremismterms.adl.org\1")</f>
        <v>https://extremismterms.adl.org/glossary/john-birch-society</v>
      </c>
      <c r="F452" s="1" t="str" cm="1">
        <f t="array" ref="F452">_xlfn.LET(_xlpm.rowNum,MATCH(E452,'glossaryterms-export'!C:C,0),
IF(AND(NOT(ISBLANK(INDEX('glossaryterms-export'!H:H,_xlpm.rowNum))),ISBLANK(INDEX('glossaryterms-export'!I:I,_xlpm.rowNum))),"Ready to Fix",""))</f>
        <v/>
      </c>
      <c r="G452">
        <v>119</v>
      </c>
      <c r="H452">
        <v>99</v>
      </c>
      <c r="I452">
        <v>1.2020202020202</v>
      </c>
      <c r="J452">
        <v>16.808080808080799</v>
      </c>
      <c r="K452">
        <v>433</v>
      </c>
    </row>
    <row r="453" spans="1:11" ht="77.25">
      <c r="A453">
        <v>452</v>
      </c>
      <c r="B453" s="16"/>
      <c r="C453" t="s">
        <v>509</v>
      </c>
      <c r="D453" s="1"/>
      <c r="E453" s="1" t="str">
        <f>_xlfn.REGEXREPLACE(C453, "(.*)\/$", "https://extremismterms.adl.org\1")</f>
        <v>https://extremismterms.adl.org/glossary/creativity-movement-tcm</v>
      </c>
      <c r="F453" s="1" t="str" cm="1">
        <f t="array" ref="F453">_xlfn.LET(_xlpm.rowNum,MATCH(E453,'glossaryterms-export'!C:C,0),
IF(AND(NOT(ISBLANK(INDEX('glossaryterms-export'!H:H,_xlpm.rowNum))),ISBLANK(INDEX('glossaryterms-export'!I:I,_xlpm.rowNum))),"Ready to Fix",""))</f>
        <v>Ready to Fix</v>
      </c>
      <c r="G453">
        <v>118</v>
      </c>
      <c r="H453">
        <v>112</v>
      </c>
      <c r="I453">
        <v>1.0535714285714199</v>
      </c>
      <c r="J453">
        <v>18.241071428571399</v>
      </c>
      <c r="K453">
        <v>290</v>
      </c>
    </row>
    <row r="454" spans="1:11" ht="61.5">
      <c r="A454">
        <v>453</v>
      </c>
      <c r="B454" s="16"/>
      <c r="C454" t="s">
        <v>510</v>
      </c>
      <c r="D454" s="1"/>
      <c r="E454" s="1" t="str">
        <f>_xlfn.REGEXREPLACE(C454, "(.*)\/$", "https://extremismterms.adl.org\1")</f>
        <v>https://extremismterms.adl.org/glossary/boots-and-laces</v>
      </c>
      <c r="F454" s="1" t="str" cm="1">
        <f t="array" ref="F454">_xlfn.LET(_xlpm.rowNum,MATCH(E454,'glossaryterms-export'!C:C,0),
IF(AND(NOT(ISBLANK(INDEX('glossaryterms-export'!H:H,_xlpm.rowNum))),ISBLANK(INDEX('glossaryterms-export'!I:I,_xlpm.rowNum))),"Ready to Fix",""))</f>
        <v>Ready to Fix</v>
      </c>
      <c r="G454">
        <v>117</v>
      </c>
      <c r="H454">
        <v>102</v>
      </c>
      <c r="I454">
        <v>1.1470588235294099</v>
      </c>
      <c r="J454">
        <v>18.058823529411701</v>
      </c>
      <c r="K454">
        <v>317</v>
      </c>
    </row>
    <row r="455" spans="1:11" ht="46.5">
      <c r="A455">
        <v>454</v>
      </c>
      <c r="B455" s="16"/>
      <c r="C455" t="s">
        <v>511</v>
      </c>
      <c r="D455" s="1"/>
      <c r="E455" s="1" t="str">
        <f>_xlfn.REGEXREPLACE(C455, "(.*)\/$", "https://extremismterms.adl.org\1")</f>
        <v>https://extremismterms.adl.org/glossary/isis</v>
      </c>
      <c r="F455" s="1" t="str" cm="1">
        <f t="array" ref="F455">_xlfn.LET(_xlpm.rowNum,MATCH(E455,'glossaryterms-export'!C:C,0),
IF(AND(NOT(ISBLANK(INDEX('glossaryterms-export'!H:H,_xlpm.rowNum))),ISBLANK(INDEX('glossaryterms-export'!I:I,_xlpm.rowNum))),"Ready to Fix",""))</f>
        <v/>
      </c>
      <c r="G455">
        <v>117</v>
      </c>
      <c r="H455">
        <v>94</v>
      </c>
      <c r="I455">
        <v>1.2446808510638201</v>
      </c>
      <c r="J455">
        <v>19.6489361702127</v>
      </c>
      <c r="K455">
        <v>444</v>
      </c>
    </row>
    <row r="456" spans="1:11" ht="61.5">
      <c r="A456">
        <v>455</v>
      </c>
      <c r="B456" s="14" t="s">
        <v>22</v>
      </c>
      <c r="C456" t="s">
        <v>512</v>
      </c>
      <c r="D456" s="1" t="s">
        <v>20</v>
      </c>
      <c r="E456" s="1" t="str">
        <f>_xlfn.REGEXREPLACE(C456, "(.*)\/$", "https://extremismterms.adl.org\1")</f>
        <v>https://extremismterms.adl.org/glossary/going-er</v>
      </c>
      <c r="F456" s="1" t="str" cm="1">
        <f t="array" ref="F456">_xlfn.LET(_xlpm.rowNum,MATCH(E456,'glossaryterms-export'!C:C,0),
IF(AND(NOT(ISBLANK(INDEX('glossaryterms-export'!H:H,_xlpm.rowNum))),ISBLANK(INDEX('glossaryterms-export'!I:I,_xlpm.rowNum))),"Ready to Fix",""))</f>
        <v/>
      </c>
      <c r="G456">
        <v>116</v>
      </c>
      <c r="H456">
        <v>96</v>
      </c>
      <c r="I456">
        <v>1.2083333333333299</v>
      </c>
      <c r="J456">
        <v>15.1145833333333</v>
      </c>
      <c r="K456">
        <v>375</v>
      </c>
    </row>
    <row r="457" spans="1:11" ht="61.5">
      <c r="A457">
        <v>456</v>
      </c>
      <c r="B457" s="14" t="s">
        <v>235</v>
      </c>
      <c r="C457" t="s">
        <v>513</v>
      </c>
      <c r="D457" s="1" t="s">
        <v>20</v>
      </c>
      <c r="E457" s="1" t="str">
        <f>_xlfn.REGEXREPLACE(C457, "(.*)\/$", "https://extremismterms.adl.org\1")</f>
        <v>https://extremismterms.adl.org/glossary/adrenaline-control</v>
      </c>
      <c r="F457" s="1" t="str" cm="1">
        <f t="array" ref="F457">_xlfn.LET(_xlpm.rowNum,MATCH(E457,'glossaryterms-export'!C:C,0),
IF(AND(NOT(ISBLANK(INDEX('glossaryterms-export'!H:H,_xlpm.rowNum))),ISBLANK(INDEX('glossaryterms-export'!I:I,_xlpm.rowNum))),"Ready to Fix",""))</f>
        <v/>
      </c>
      <c r="G457">
        <v>115</v>
      </c>
      <c r="H457">
        <v>111</v>
      </c>
      <c r="I457">
        <v>1.0360360360360299</v>
      </c>
      <c r="J457">
        <v>25.3333333333333</v>
      </c>
      <c r="K457">
        <v>245</v>
      </c>
    </row>
    <row r="458" spans="1:11" ht="77.25">
      <c r="A458">
        <v>457</v>
      </c>
      <c r="B458" s="16"/>
      <c r="C458" t="s">
        <v>514</v>
      </c>
      <c r="D458" s="1"/>
      <c r="E458" s="1" t="str">
        <f>_xlfn.REGEXREPLACE(C458, "(.*)\/$", "https://extremismterms.adl.org\1")</f>
        <v>https://extremismterms.adl.org/glossary/al-aqsa-martyrs-brigades-aamb</v>
      </c>
      <c r="F458" s="1" t="str" cm="1">
        <f t="array" ref="F458">_xlfn.LET(_xlpm.rowNum,MATCH(E458,'glossaryterms-export'!C:C,0),
IF(AND(NOT(ISBLANK(INDEX('glossaryterms-export'!H:H,_xlpm.rowNum))),ISBLANK(INDEX('glossaryterms-export'!I:I,_xlpm.rowNum))),"Ready to Fix",""))</f>
        <v/>
      </c>
      <c r="G458">
        <v>115</v>
      </c>
      <c r="H458">
        <v>102</v>
      </c>
      <c r="I458">
        <v>1.12745098039215</v>
      </c>
      <c r="J458">
        <v>19</v>
      </c>
      <c r="K458">
        <v>380</v>
      </c>
    </row>
    <row r="459" spans="1:11" ht="77.25">
      <c r="A459">
        <v>458</v>
      </c>
      <c r="B459" s="16"/>
      <c r="C459" t="s">
        <v>515</v>
      </c>
      <c r="D459" s="1"/>
      <c r="E459" s="1" t="str">
        <f>_xlfn.REGEXREPLACE(C459, "(.*)\/$", "https://extremismterms.adl.org\1")</f>
        <v>https://extremismterms.adl.org/glossary/crucified-skinhead-symbol</v>
      </c>
      <c r="F459" s="1" t="str" cm="1">
        <f t="array" ref="F459">_xlfn.LET(_xlpm.rowNum,MATCH(E459,'glossaryterms-export'!C:C,0),
IF(AND(NOT(ISBLANK(INDEX('glossaryterms-export'!H:H,_xlpm.rowNum))),ISBLANK(INDEX('glossaryterms-export'!I:I,_xlpm.rowNum))),"Ready to Fix",""))</f>
        <v>Ready to Fix</v>
      </c>
      <c r="G459">
        <v>115</v>
      </c>
      <c r="H459">
        <v>108</v>
      </c>
      <c r="I459">
        <v>1.06481481481481</v>
      </c>
      <c r="J459">
        <v>20.592592592592499</v>
      </c>
      <c r="K459">
        <v>290</v>
      </c>
    </row>
    <row r="460" spans="1:11" ht="61.5">
      <c r="A460">
        <v>459</v>
      </c>
      <c r="B460" s="16"/>
      <c r="C460" t="s">
        <v>516</v>
      </c>
      <c r="D460" s="1"/>
      <c r="E460" s="1" t="str">
        <f>_xlfn.REGEXREPLACE(C460, "(.*)\/$", "https://extremismterms.adl.org\1")</f>
        <v>https://extremismterms.adl.org/glossary/john-kopko</v>
      </c>
      <c r="F460" s="1" t="str" cm="1">
        <f t="array" ref="F460">_xlfn.LET(_xlpm.rowNum,MATCH(E460,'glossaryterms-export'!C:C,0),
IF(AND(NOT(ISBLANK(INDEX('glossaryterms-export'!H:H,_xlpm.rowNum))),ISBLANK(INDEX('glossaryterms-export'!I:I,_xlpm.rowNum))),"Ready to Fix",""))</f>
        <v>Ready to Fix</v>
      </c>
      <c r="G460">
        <v>115</v>
      </c>
      <c r="H460">
        <v>76</v>
      </c>
      <c r="I460">
        <v>1.51315789473684</v>
      </c>
      <c r="J460">
        <v>26.605263157894701</v>
      </c>
      <c r="K460">
        <v>374</v>
      </c>
    </row>
    <row r="461" spans="1:11" ht="77.25">
      <c r="A461">
        <v>460</v>
      </c>
      <c r="B461" s="16"/>
      <c r="C461" t="s">
        <v>517</v>
      </c>
      <c r="D461" s="1"/>
      <c r="E461" s="1" t="str">
        <f>_xlfn.REGEXREPLACE(C461, "(.*)\/$", "https://extremismterms.adl.org\1")</f>
        <v>https://extremismterms.adl.org/glossary/traveling-not-driving</v>
      </c>
      <c r="F461" s="1" t="str" cm="1">
        <f t="array" ref="F461">_xlfn.LET(_xlpm.rowNum,MATCH(E461,'glossaryterms-export'!C:C,0),
IF(AND(NOT(ISBLANK(INDEX('glossaryterms-export'!H:H,_xlpm.rowNum))),ISBLANK(INDEX('glossaryterms-export'!I:I,_xlpm.rowNum))),"Ready to Fix",""))</f>
        <v>Ready to Fix</v>
      </c>
      <c r="G461">
        <v>115</v>
      </c>
      <c r="H461">
        <v>109</v>
      </c>
      <c r="I461">
        <v>1.05504587155963</v>
      </c>
      <c r="J461">
        <v>21.8165137614678</v>
      </c>
      <c r="K461">
        <v>405</v>
      </c>
    </row>
    <row r="462" spans="1:11" ht="61.5">
      <c r="A462">
        <v>461</v>
      </c>
      <c r="B462" s="16"/>
      <c r="C462" t="s">
        <v>518</v>
      </c>
      <c r="D462" s="1"/>
      <c r="E462" s="1" t="str">
        <f>_xlfn.REGEXREPLACE(C462, "(.*)\/$", "https://extremismterms.adl.org\1")</f>
        <v>https://extremismterms.adl.org/glossary/al-hayat-media</v>
      </c>
      <c r="F462" s="1" t="str" cm="1">
        <f t="array" ref="F462">_xlfn.LET(_xlpm.rowNum,MATCH(E462,'glossaryterms-export'!C:C,0),
IF(AND(NOT(ISBLANK(INDEX('glossaryterms-export'!H:H,_xlpm.rowNum))),ISBLANK(INDEX('glossaryterms-export'!I:I,_xlpm.rowNum))),"Ready to Fix",""))</f>
        <v/>
      </c>
      <c r="G462">
        <v>114</v>
      </c>
      <c r="H462">
        <v>101</v>
      </c>
      <c r="I462">
        <v>1.1287128712871199</v>
      </c>
      <c r="J462">
        <v>11.267326732673199</v>
      </c>
      <c r="K462">
        <v>408</v>
      </c>
    </row>
    <row r="463" spans="1:11" ht="61.5">
      <c r="A463">
        <v>462</v>
      </c>
      <c r="B463" s="16"/>
      <c r="C463" t="s">
        <v>519</v>
      </c>
      <c r="D463" s="1"/>
      <c r="E463" s="1" t="str">
        <f>_xlfn.REGEXREPLACE(C463, "(.*)\/$", "https://extremismterms.adl.org\1")</f>
        <v>https://extremismterms.adl.org/glossary/church-creativity</v>
      </c>
      <c r="F463" s="1" t="str" cm="1">
        <f t="array" ref="F463">_xlfn.LET(_xlpm.rowNum,MATCH(E463,'glossaryterms-export'!C:C,0),
IF(AND(NOT(ISBLANK(INDEX('glossaryterms-export'!H:H,_xlpm.rowNum))),ISBLANK(INDEX('glossaryterms-export'!I:I,_xlpm.rowNum))),"Ready to Fix",""))</f>
        <v>Ready to Fix</v>
      </c>
      <c r="G463">
        <v>114</v>
      </c>
      <c r="H463">
        <v>109</v>
      </c>
      <c r="I463">
        <v>1.0458715596330199</v>
      </c>
      <c r="J463">
        <v>17.669724769999998</v>
      </c>
      <c r="K463">
        <v>266</v>
      </c>
    </row>
    <row r="464" spans="1:11" ht="138.75">
      <c r="A464">
        <v>463</v>
      </c>
      <c r="B464" s="14" t="s">
        <v>235</v>
      </c>
      <c r="C464" t="s">
        <v>520</v>
      </c>
      <c r="D464" s="1" t="s">
        <v>20</v>
      </c>
      <c r="E464" s="1" t="str">
        <f>_xlfn.REGEXREPLACE(C464, "(.*)\/$", "https://extremismterms.adl.org\1")</f>
        <v>https://extremismterms.adl.org/glossary/i-am-proud-western-chauvinist-and-i-refuse-apologize-creating-modern-world</v>
      </c>
      <c r="F464" s="1" t="str" cm="1">
        <f t="array" ref="F464">_xlfn.LET(_xlpm.rowNum,MATCH(E464,'glossaryterms-export'!C:C,0),
IF(AND(NOT(ISBLANK(INDEX('glossaryterms-export'!H:H,_xlpm.rowNum))),ISBLANK(INDEX('glossaryterms-export'!I:I,_xlpm.rowNum))),"Ready to Fix",""))</f>
        <v/>
      </c>
      <c r="G464">
        <v>114</v>
      </c>
      <c r="H464">
        <v>93</v>
      </c>
      <c r="I464">
        <v>1.2258064516128999</v>
      </c>
      <c r="J464">
        <v>18.161290322580601</v>
      </c>
      <c r="K464">
        <v>395</v>
      </c>
    </row>
    <row r="465" spans="1:11" ht="77.25">
      <c r="A465">
        <v>464</v>
      </c>
      <c r="B465" s="16"/>
      <c r="C465" t="s">
        <v>521</v>
      </c>
      <c r="D465" s="1"/>
      <c r="E465" s="1" t="str">
        <f>_xlfn.REGEXREPLACE(C465, "(.*)\/$", "https://extremismterms.adl.org\1")</f>
        <v>https://extremismterms.adl.org/glossary/islamic-state-sinai-province</v>
      </c>
      <c r="F465" s="1" t="str" cm="1">
        <f t="array" ref="F465">_xlfn.LET(_xlpm.rowNum,MATCH(E465,'glossaryterms-export'!C:C,0),
IF(AND(NOT(ISBLANK(INDEX('glossaryterms-export'!H:H,_xlpm.rowNum))),ISBLANK(INDEX('glossaryterms-export'!I:I,_xlpm.rowNum))),"Ready to Fix",""))</f>
        <v/>
      </c>
      <c r="G465">
        <v>114</v>
      </c>
      <c r="H465">
        <v>107</v>
      </c>
      <c r="I465">
        <v>1.0654205607476599</v>
      </c>
      <c r="J465">
        <v>14.065420560747601</v>
      </c>
      <c r="K465">
        <v>278</v>
      </c>
    </row>
    <row r="466" spans="1:11" ht="61.5">
      <c r="A466">
        <v>465</v>
      </c>
      <c r="B466" s="16"/>
      <c r="C466" t="s">
        <v>522</v>
      </c>
      <c r="D466" s="1"/>
      <c r="E466" s="1" t="str">
        <f>_xlfn.REGEXREPLACE(C466, "(.*)\/$", "https://extremismterms.adl.org\1")</f>
        <v>https://extremismterms.adl.org/glossary/israel-shamir</v>
      </c>
      <c r="F466" s="1" t="str" cm="1">
        <f t="array" ref="F466">_xlfn.LET(_xlpm.rowNum,MATCH(E466,'glossaryterms-export'!C:C,0),
IF(AND(NOT(ISBLANK(INDEX('glossaryterms-export'!H:H,_xlpm.rowNum))),ISBLANK(INDEX('glossaryterms-export'!I:I,_xlpm.rowNum))),"Ready to Fix",""))</f>
        <v>Ready to Fix</v>
      </c>
      <c r="G466">
        <v>114</v>
      </c>
      <c r="H466">
        <v>104</v>
      </c>
      <c r="I466">
        <v>1.09615384615384</v>
      </c>
      <c r="J466">
        <v>21.067307692307601</v>
      </c>
      <c r="K466">
        <v>287</v>
      </c>
    </row>
    <row r="467" spans="1:11" ht="61.5">
      <c r="A467">
        <v>466</v>
      </c>
      <c r="B467" s="16"/>
      <c r="C467" t="s">
        <v>523</v>
      </c>
      <c r="D467" s="1"/>
      <c r="E467" s="1" t="str">
        <f>_xlfn.REGEXREPLACE(C467, "(.*)\/$", "https://extremismterms.adl.org\1")</f>
        <v>https://extremismterms.adl.org/glossary/taqiyyataqiyatakiya</v>
      </c>
      <c r="F467" s="1" t="str" cm="1">
        <f t="array" ref="F467">_xlfn.LET(_xlpm.rowNum,MATCH(E467,'glossaryterms-export'!C:C,0),
IF(AND(NOT(ISBLANK(INDEX('glossaryterms-export'!H:H,_xlpm.rowNum))),ISBLANK(INDEX('glossaryterms-export'!I:I,_xlpm.rowNum))),"Ready to Fix",""))</f>
        <v/>
      </c>
      <c r="G467">
        <v>114</v>
      </c>
      <c r="H467">
        <v>104</v>
      </c>
      <c r="I467">
        <v>1.09615384615384</v>
      </c>
      <c r="J467">
        <v>33.057692307692299</v>
      </c>
      <c r="K467">
        <v>415</v>
      </c>
    </row>
    <row r="468" spans="1:11" ht="61.5">
      <c r="A468">
        <v>467</v>
      </c>
      <c r="B468" s="16"/>
      <c r="C468" t="s">
        <v>524</v>
      </c>
      <c r="D468" s="1"/>
      <c r="E468" s="1" t="str">
        <f>_xlfn.REGEXREPLACE(C468, "(.*)\/$", "https://extremismterms.adl.org\1")</f>
        <v>https://extremismterms.adl.org/glossary/illuminati</v>
      </c>
      <c r="F468" s="1" t="str" cm="1">
        <f t="array" ref="F468">_xlfn.LET(_xlpm.rowNum,MATCH(E468,'glossaryterms-export'!C:C,0),
IF(AND(NOT(ISBLANK(INDEX('glossaryterms-export'!H:H,_xlpm.rowNum))),ISBLANK(INDEX('glossaryterms-export'!I:I,_xlpm.rowNum))),"Ready to Fix",""))</f>
        <v/>
      </c>
      <c r="G468">
        <v>113</v>
      </c>
      <c r="H468">
        <v>105</v>
      </c>
      <c r="I468">
        <v>1.0761904761904699</v>
      </c>
      <c r="J468">
        <v>10.438095238095199</v>
      </c>
      <c r="K468">
        <v>317</v>
      </c>
    </row>
    <row r="469" spans="1:11" ht="61.5">
      <c r="A469">
        <v>468</v>
      </c>
      <c r="B469" s="16"/>
      <c r="C469" t="s">
        <v>525</v>
      </c>
      <c r="D469" s="1"/>
      <c r="E469" s="1" t="str">
        <f>_xlfn.REGEXREPLACE(C469, "(.*)\/$", "https://extremismterms.adl.org\1")</f>
        <v>https://extremismterms.adl.org/glossary/medbeds</v>
      </c>
      <c r="F469" s="1" t="str" cm="1">
        <f t="array" ref="F469">_xlfn.LET(_xlpm.rowNum,MATCH(E469,'glossaryterms-export'!C:C,0),
IF(AND(NOT(ISBLANK(INDEX('glossaryterms-export'!H:H,_xlpm.rowNum))),ISBLANK(INDEX('glossaryterms-export'!I:I,_xlpm.rowNum))),"Ready to Fix",""))</f>
        <v/>
      </c>
      <c r="G469">
        <v>113</v>
      </c>
      <c r="H469">
        <v>98</v>
      </c>
      <c r="I469">
        <v>1.15306122448979</v>
      </c>
      <c r="J469">
        <v>17.9489795918367</v>
      </c>
      <c r="K469">
        <v>347</v>
      </c>
    </row>
    <row r="470" spans="1:11" ht="61.5">
      <c r="A470">
        <v>469</v>
      </c>
      <c r="B470" s="16" t="s">
        <v>526</v>
      </c>
      <c r="C470" t="s">
        <v>527</v>
      </c>
      <c r="D470" s="1" t="s">
        <v>193</v>
      </c>
      <c r="E470" s="1" t="str">
        <f>_xlfn.REGEXREPLACE(C470, "(.*)\/$", "https://extremismterms.adl.org\1")</f>
        <v>https://extremismterms.adl.org/glossary/billy-roper</v>
      </c>
      <c r="F470" s="1" t="str" cm="1">
        <f t="array" ref="F470">_xlfn.LET(_xlpm.rowNum,MATCH(E470,'glossaryterms-export'!C:C,0),
IF(AND(NOT(ISBLANK(INDEX('glossaryterms-export'!H:H,_xlpm.rowNum))),ISBLANK(INDEX('glossaryterms-export'!I:I,_xlpm.rowNum))),"Ready to Fix",""))</f>
        <v>Ready to Fix</v>
      </c>
      <c r="G470">
        <v>112</v>
      </c>
      <c r="H470">
        <v>96</v>
      </c>
      <c r="I470">
        <v>1.1666666666666601</v>
      </c>
      <c r="J470">
        <v>8.1458333333333304</v>
      </c>
      <c r="K470">
        <v>307</v>
      </c>
    </row>
    <row r="471" spans="1:11" ht="61.5">
      <c r="A471">
        <v>470</v>
      </c>
      <c r="B471" s="11" t="s">
        <v>223</v>
      </c>
      <c r="C471" t="s">
        <v>528</v>
      </c>
      <c r="D471" s="1" t="s">
        <v>20</v>
      </c>
      <c r="E471" s="1" t="str">
        <f>_xlfn.REGEXREPLACE(C471, "(.*)\/$", "https://extremismterms.adl.org\1")</f>
        <v>https://extremismterms.adl.org/glossary/bread-pill</v>
      </c>
      <c r="F471" s="1" t="str" cm="1">
        <f t="array" ref="F471">_xlfn.LET(_xlpm.rowNum,MATCH(E471,'glossaryterms-export'!C:C,0),
IF(AND(NOT(ISBLANK(INDEX('glossaryterms-export'!H:H,_xlpm.rowNum))),ISBLANK(INDEX('glossaryterms-export'!I:I,_xlpm.rowNum))),"Ready to Fix",""))</f>
        <v/>
      </c>
      <c r="G471">
        <v>112</v>
      </c>
      <c r="H471">
        <v>106</v>
      </c>
      <c r="I471">
        <v>1.0566037735849001</v>
      </c>
      <c r="J471">
        <v>13.4056603773584</v>
      </c>
      <c r="K471">
        <v>255</v>
      </c>
    </row>
    <row r="472" spans="1:11" ht="61.5">
      <c r="A472">
        <v>471</v>
      </c>
      <c r="B472" s="16"/>
      <c r="C472" t="s">
        <v>529</v>
      </c>
      <c r="D472" s="1"/>
      <c r="E472" s="1" t="str">
        <f>_xlfn.REGEXREPLACE(C472, "(.*)\/$", "https://extremismterms.adl.org\1")</f>
        <v>https://extremismterms.adl.org/glossary/brian-ruhe</v>
      </c>
      <c r="F472" s="1" t="str" cm="1">
        <f t="array" ref="F472">_xlfn.LET(_xlpm.rowNum,MATCH(E472,'glossaryterms-export'!C:C,0),
IF(AND(NOT(ISBLANK(INDEX('glossaryterms-export'!H:H,_xlpm.rowNum))),ISBLANK(INDEX('glossaryterms-export'!I:I,_xlpm.rowNum))),"Ready to Fix",""))</f>
        <v/>
      </c>
      <c r="G472">
        <v>112</v>
      </c>
      <c r="H472">
        <v>82</v>
      </c>
      <c r="I472">
        <v>1.3658536585365799</v>
      </c>
      <c r="J472">
        <v>25.4634146341463</v>
      </c>
      <c r="K472">
        <v>408</v>
      </c>
    </row>
    <row r="473" spans="1:11" ht="61.5">
      <c r="A473">
        <v>472</v>
      </c>
      <c r="B473" s="16"/>
      <c r="C473" t="s">
        <v>530</v>
      </c>
      <c r="D473" s="1"/>
      <c r="E473" s="1" t="str">
        <f>_xlfn.REGEXREPLACE(C473, "(.*)\/$", "https://extremismterms.adl.org\1")</f>
        <v>https://extremismterms.adl.org/glossary/christoffer-dulny</v>
      </c>
      <c r="F473" s="1" t="str" cm="1">
        <f t="array" ref="F473">_xlfn.LET(_xlpm.rowNum,MATCH(E473,'glossaryterms-export'!C:C,0),
IF(AND(NOT(ISBLANK(INDEX('glossaryterms-export'!H:H,_xlpm.rowNum))),ISBLANK(INDEX('glossaryterms-export'!I:I,_xlpm.rowNum))),"Ready to Fix",""))</f>
        <v/>
      </c>
      <c r="G473">
        <v>112</v>
      </c>
      <c r="H473">
        <v>106</v>
      </c>
      <c r="I473">
        <v>1.0566037735849001</v>
      </c>
      <c r="J473">
        <v>10.9150943396226</v>
      </c>
      <c r="K473">
        <v>276</v>
      </c>
    </row>
    <row r="474" spans="1:11" ht="61.5">
      <c r="A474">
        <v>473</v>
      </c>
      <c r="B474" s="16"/>
      <c r="C474" t="s">
        <v>531</v>
      </c>
      <c r="D474" s="1"/>
      <c r="E474" s="1" t="str">
        <f>_xlfn.REGEXREPLACE(C474, "(.*)\/$", "https://extremismterms.adl.org\1")</f>
        <v>https://extremismterms.adl.org/glossary/craig-rosebraugh</v>
      </c>
      <c r="F474" s="1" t="str" cm="1">
        <f t="array" ref="F474">_xlfn.LET(_xlpm.rowNum,MATCH(E474,'glossaryterms-export'!C:C,0),
IF(AND(NOT(ISBLANK(INDEX('glossaryterms-export'!H:H,_xlpm.rowNum))),ISBLANK(INDEX('glossaryterms-export'!I:I,_xlpm.rowNum))),"Ready to Fix",""))</f>
        <v>Ready to Fix</v>
      </c>
      <c r="G474">
        <v>112</v>
      </c>
      <c r="H474">
        <v>103</v>
      </c>
      <c r="I474">
        <v>1.0873786407766901</v>
      </c>
      <c r="J474">
        <v>16.213592233009699</v>
      </c>
      <c r="K474">
        <v>257</v>
      </c>
    </row>
    <row r="475" spans="1:11" ht="61.5">
      <c r="A475">
        <v>474</v>
      </c>
      <c r="B475" s="16"/>
      <c r="C475" t="s">
        <v>532</v>
      </c>
      <c r="D475" s="1"/>
      <c r="E475" s="1" t="str">
        <f>_xlfn.REGEXREPLACE(C475, "(.*)\/$", "https://extremismterms.adl.org\1")</f>
        <v>https://extremismterms.adl.org/glossary/akia</v>
      </c>
      <c r="F475" s="1" t="str" cm="1">
        <f t="array" ref="F475">_xlfn.LET(_xlpm.rowNum,MATCH(E475,'glossaryterms-export'!C:C,0),
IF(AND(NOT(ISBLANK(INDEX('glossaryterms-export'!H:H,_xlpm.rowNum))),ISBLANK(INDEX('glossaryterms-export'!I:I,_xlpm.rowNum))),"Ready to Fix",""))</f>
        <v>Ready to Fix</v>
      </c>
      <c r="G475">
        <v>111</v>
      </c>
      <c r="H475">
        <v>105</v>
      </c>
      <c r="I475">
        <v>1.0571428571428501</v>
      </c>
      <c r="J475">
        <v>17.266666666666602</v>
      </c>
      <c r="K475">
        <v>257</v>
      </c>
    </row>
    <row r="476" spans="1:11" ht="92.25">
      <c r="A476">
        <v>475</v>
      </c>
      <c r="B476" s="16"/>
      <c r="C476" t="s">
        <v>533</v>
      </c>
      <c r="D476" s="1"/>
      <c r="E476" s="1" t="str">
        <f>_xlfn.REGEXREPLACE(C476, "(.*)\/$", "https://extremismterms.adl.org\1")</f>
        <v>https://extremismterms.adl.org/glossary/western-chauvinist-telegram-channel</v>
      </c>
      <c r="F476" s="1" t="str" cm="1">
        <f t="array" ref="F476">_xlfn.LET(_xlpm.rowNum,MATCH(E476,'glossaryterms-export'!C:C,0),
IF(AND(NOT(ISBLANK(INDEX('glossaryterms-export'!H:H,_xlpm.rowNum))),ISBLANK(INDEX('glossaryterms-export'!I:I,_xlpm.rowNum))),"Ready to Fix",""))</f>
        <v/>
      </c>
      <c r="G476">
        <v>111</v>
      </c>
      <c r="H476">
        <v>94</v>
      </c>
      <c r="I476">
        <v>1.18085106382978</v>
      </c>
      <c r="J476">
        <v>11.829787234042501</v>
      </c>
      <c r="K476">
        <v>357</v>
      </c>
    </row>
    <row r="477" spans="1:11" ht="77.25">
      <c r="A477">
        <v>476</v>
      </c>
      <c r="B477" s="16"/>
      <c r="C477" t="s">
        <v>534</v>
      </c>
      <c r="D477" s="1"/>
      <c r="E477" s="1" t="str">
        <f>_xlfn.REGEXREPLACE(C477, "(.*)\/$", "https://extremismterms.adl.org\1")</f>
        <v>https://extremismterms.adl.org/glossary/anti-public-lands-movement</v>
      </c>
      <c r="F477" s="1" t="str" cm="1">
        <f t="array" ref="F477">_xlfn.LET(_xlpm.rowNum,MATCH(E477,'glossaryterms-export'!C:C,0),
IF(AND(NOT(ISBLANK(INDEX('glossaryterms-export'!H:H,_xlpm.rowNum))),ISBLANK(INDEX('glossaryterms-export'!I:I,_xlpm.rowNum))),"Ready to Fix",""))</f>
        <v/>
      </c>
      <c r="G477">
        <v>110</v>
      </c>
      <c r="H477">
        <v>105</v>
      </c>
      <c r="I477">
        <v>1.0476190476190399</v>
      </c>
      <c r="J477">
        <v>30.9428571428571</v>
      </c>
      <c r="K477">
        <v>383</v>
      </c>
    </row>
    <row r="478" spans="1:11" ht="61.5">
      <c r="A478">
        <v>477</v>
      </c>
      <c r="B478" s="16"/>
      <c r="C478" t="s">
        <v>535</v>
      </c>
      <c r="D478" s="1"/>
      <c r="E478" s="1" t="str">
        <f>_xlfn.REGEXREPLACE(C478, "(.*)\/$", "https://extremismterms.adl.org\1")</f>
        <v>https://extremismterms.adl.org/glossary/conspiracy-theory</v>
      </c>
      <c r="F478" s="1" t="str" cm="1">
        <f t="array" ref="F478">_xlfn.LET(_xlpm.rowNum,MATCH(E478,'glossaryterms-export'!C:C,0),
IF(AND(NOT(ISBLANK(INDEX('glossaryterms-export'!H:H,_xlpm.rowNum))),ISBLANK(INDEX('glossaryterms-export'!I:I,_xlpm.rowNum))),"Ready to Fix",""))</f>
        <v/>
      </c>
      <c r="G478">
        <v>110</v>
      </c>
      <c r="H478">
        <v>101</v>
      </c>
      <c r="I478">
        <v>1.0891089108910801</v>
      </c>
      <c r="J478">
        <v>8.7821782178217802</v>
      </c>
      <c r="K478">
        <v>270</v>
      </c>
    </row>
    <row r="479" spans="1:11" ht="108">
      <c r="A479">
        <v>478</v>
      </c>
      <c r="B479" s="16"/>
      <c r="C479" t="s">
        <v>536</v>
      </c>
      <c r="D479" s="1"/>
      <c r="E479" s="1" t="str">
        <f>_xlfn.REGEXREPLACE(C479, "(.*)\/$", "https://extremismterms.adl.org\1")</f>
        <v>https://extremismterms.adl.org/glossary/constitutional-sheriffs-and-peace-officers-association</v>
      </c>
      <c r="F479" s="1" t="str" cm="1">
        <f t="array" ref="F479">_xlfn.LET(_xlpm.rowNum,MATCH(E479,'glossaryterms-export'!C:C,0),
IF(AND(NOT(ISBLANK(INDEX('glossaryterms-export'!H:H,_xlpm.rowNum))),ISBLANK(INDEX('glossaryterms-export'!I:I,_xlpm.rowNum))),"Ready to Fix",""))</f>
        <v>Ready to Fix</v>
      </c>
      <c r="G479">
        <v>110</v>
      </c>
      <c r="H479">
        <v>95</v>
      </c>
      <c r="I479">
        <v>1.1578947368421</v>
      </c>
      <c r="J479">
        <v>23.042105263157801</v>
      </c>
      <c r="K479">
        <v>269</v>
      </c>
    </row>
    <row r="480" spans="1:11" ht="61.5">
      <c r="A480">
        <v>479</v>
      </c>
      <c r="B480" s="16"/>
      <c r="C480" t="s">
        <v>537</v>
      </c>
      <c r="D480" s="1"/>
      <c r="E480" s="1" t="str">
        <f>_xlfn.REGEXREPLACE(C480, "(.*)\/$", "https://extremismterms.adl.org\1")</f>
        <v>https://extremismterms.adl.org/glossary/jihad</v>
      </c>
      <c r="F480" s="1" t="str" cm="1">
        <f t="array" ref="F480">_xlfn.LET(_xlpm.rowNum,MATCH(E480,'glossaryterms-export'!C:C,0),
IF(AND(NOT(ISBLANK(INDEX('glossaryterms-export'!H:H,_xlpm.rowNum))),ISBLANK(INDEX('glossaryterms-export'!I:I,_xlpm.rowNum))),"Ready to Fix",""))</f>
        <v/>
      </c>
      <c r="G480">
        <v>110</v>
      </c>
      <c r="H480">
        <v>94</v>
      </c>
      <c r="I480">
        <v>1.1702127659574399</v>
      </c>
      <c r="J480">
        <v>25.627659574468002</v>
      </c>
      <c r="K480">
        <v>278</v>
      </c>
    </row>
    <row r="481" spans="1:11" ht="61.5">
      <c r="A481">
        <v>480</v>
      </c>
      <c r="B481" s="16"/>
      <c r="C481" t="s">
        <v>538</v>
      </c>
      <c r="D481" s="1"/>
      <c r="E481" s="1" t="str">
        <f>_xlfn.REGEXREPLACE(C481, "(.*)\/$", "https://extremismterms.adl.org\1")</f>
        <v>https://extremismterms.adl.org/glossary/roger-elvick</v>
      </c>
      <c r="F481" s="1" t="str" cm="1">
        <f t="array" ref="F481">_xlfn.LET(_xlpm.rowNum,MATCH(E481,'glossaryterms-export'!C:C,0),
IF(AND(NOT(ISBLANK(INDEX('glossaryterms-export'!H:H,_xlpm.rowNum))),ISBLANK(INDEX('glossaryterms-export'!I:I,_xlpm.rowNum))),"Ready to Fix",""))</f>
        <v/>
      </c>
      <c r="G481">
        <v>109</v>
      </c>
      <c r="H481">
        <v>102</v>
      </c>
      <c r="I481">
        <v>1.0686274509803899</v>
      </c>
      <c r="J481">
        <v>32.764705882352899</v>
      </c>
      <c r="K481">
        <v>457</v>
      </c>
    </row>
    <row r="482" spans="1:11" ht="77.25">
      <c r="A482">
        <v>481</v>
      </c>
      <c r="B482" s="16" t="s">
        <v>539</v>
      </c>
      <c r="C482" t="s">
        <v>540</v>
      </c>
      <c r="D482" s="1" t="s">
        <v>193</v>
      </c>
      <c r="E482" s="1" t="str">
        <f>_xlfn.REGEXREPLACE(C482, "(.*)\/$", "https://extremismterms.adl.org\1")</f>
        <v>https://extremismterms.adl.org/glossary/sonnenkrieg-division</v>
      </c>
      <c r="F482" s="1" t="str" cm="1">
        <f t="array" ref="F482">_xlfn.LET(_xlpm.rowNum,MATCH(E482,'glossaryterms-export'!C:C,0),
IF(AND(NOT(ISBLANK(INDEX('glossaryterms-export'!H:H,_xlpm.rowNum))),ISBLANK(INDEX('glossaryterms-export'!I:I,_xlpm.rowNum))),"Ready to Fix",""))</f>
        <v/>
      </c>
      <c r="G482">
        <v>109</v>
      </c>
      <c r="H482">
        <v>98</v>
      </c>
      <c r="I482">
        <v>1.1122448979591799</v>
      </c>
      <c r="J482">
        <v>13.2448979591836</v>
      </c>
      <c r="K482">
        <v>293</v>
      </c>
    </row>
    <row r="483" spans="1:11" ht="77.25">
      <c r="A483">
        <v>482</v>
      </c>
      <c r="B483" s="16"/>
      <c r="C483" t="s">
        <v>541</v>
      </c>
      <c r="D483" s="1"/>
      <c r="E483" s="1" t="str">
        <f>_xlfn.REGEXREPLACE(C483, "(.*)\/$", "https://extremismterms.adl.org\1")</f>
        <v>https://extremismterms.adl.org/glossary/1-11-symbol</v>
      </c>
      <c r="F483" s="1" t="str" cm="1">
        <f t="array" ref="F483">_xlfn.LET(_xlpm.rowNum,MATCH(E483,'glossaryterms-export'!C:C,0),
IF(AND(NOT(ISBLANK(INDEX('glossaryterms-export'!H:H,_xlpm.rowNum))),ISBLANK(INDEX('glossaryterms-export'!I:I,_xlpm.rowNum))),"Ready to Fix",""))</f>
        <v>Ready to Fix</v>
      </c>
      <c r="G483">
        <v>108</v>
      </c>
      <c r="H483">
        <v>99</v>
      </c>
      <c r="I483">
        <v>1.0909090909090899</v>
      </c>
      <c r="J483">
        <v>17.5757575757575</v>
      </c>
      <c r="K483">
        <v>230</v>
      </c>
    </row>
    <row r="484" spans="1:11" ht="61.5">
      <c r="A484">
        <v>483</v>
      </c>
      <c r="B484" s="16"/>
      <c r="C484" t="s">
        <v>542</v>
      </c>
      <c r="D484" s="1"/>
      <c r="E484" s="1" t="str">
        <f>_xlfn.REGEXREPLACE(C484, "(.*)\/$", "https://extremismterms.adl.org\1")</f>
        <v>https://extremismterms.adl.org/glossary/abdullah-azzam</v>
      </c>
      <c r="F484" s="1" t="str" cm="1">
        <f t="array" ref="F484">_xlfn.LET(_xlpm.rowNum,MATCH(E484,'glossaryterms-export'!C:C,0),
IF(AND(NOT(ISBLANK(INDEX('glossaryterms-export'!H:H,_xlpm.rowNum))),ISBLANK(INDEX('glossaryterms-export'!I:I,_xlpm.rowNum))),"Ready to Fix",""))</f>
        <v/>
      </c>
      <c r="G484">
        <v>108</v>
      </c>
      <c r="H484">
        <v>101</v>
      </c>
      <c r="I484">
        <v>1.06930693069306</v>
      </c>
      <c r="J484">
        <v>16.900990099009899</v>
      </c>
      <c r="K484">
        <v>236</v>
      </c>
    </row>
    <row r="485" spans="1:11" ht="61.5">
      <c r="A485">
        <v>484</v>
      </c>
      <c r="B485" s="16"/>
      <c r="C485" t="s">
        <v>543</v>
      </c>
      <c r="D485" s="1"/>
      <c r="E485" s="1" t="str">
        <f>_xlfn.REGEXREPLACE(C485, "(.*)\/$", "https://extremismterms.adl.org\1")</f>
        <v>https://extremismterms.adl.org/glossary/duncan-lemp</v>
      </c>
      <c r="F485" s="1" t="str" cm="1">
        <f t="array" ref="F485">_xlfn.LET(_xlpm.rowNum,MATCH(E485,'glossaryterms-export'!C:C,0),
IF(AND(NOT(ISBLANK(INDEX('glossaryterms-export'!H:H,_xlpm.rowNum))),ISBLANK(INDEX('glossaryterms-export'!I:I,_xlpm.rowNum))),"Ready to Fix",""))</f>
        <v/>
      </c>
      <c r="G485">
        <v>108</v>
      </c>
      <c r="H485">
        <v>101</v>
      </c>
      <c r="I485">
        <v>1.06930693069306</v>
      </c>
      <c r="J485">
        <v>19.1485148514851</v>
      </c>
      <c r="K485">
        <v>266</v>
      </c>
    </row>
    <row r="486" spans="1:11" ht="61.5">
      <c r="A486">
        <v>485</v>
      </c>
      <c r="B486" s="16"/>
      <c r="C486" t="s">
        <v>544</v>
      </c>
      <c r="D486" s="1"/>
      <c r="E486" s="1" t="str">
        <f>_xlfn.REGEXREPLACE(C486, "(.*)\/$", "https://extremismterms.adl.org\1")</f>
        <v>https://extremismterms.adl.org/glossary/dylann-roof</v>
      </c>
      <c r="F486" s="1" t="str" cm="1">
        <f t="array" ref="F486">_xlfn.LET(_xlpm.rowNum,MATCH(E486,'glossaryterms-export'!C:C,0),
IF(AND(NOT(ISBLANK(INDEX('glossaryterms-export'!H:H,_xlpm.rowNum))),ISBLANK(INDEX('glossaryterms-export'!I:I,_xlpm.rowNum))),"Ready to Fix",""))</f>
        <v>Ready to Fix</v>
      </c>
      <c r="G486">
        <v>108</v>
      </c>
      <c r="H486">
        <v>98</v>
      </c>
      <c r="I486">
        <v>1.1020408163265301</v>
      </c>
      <c r="J486">
        <v>11.326530612244801</v>
      </c>
      <c r="K486">
        <v>257</v>
      </c>
    </row>
    <row r="487" spans="1:11" ht="92.25">
      <c r="A487">
        <v>486</v>
      </c>
      <c r="B487" s="16"/>
      <c r="C487" t="s">
        <v>545</v>
      </c>
      <c r="D487" s="1"/>
      <c r="E487" s="1" t="str">
        <f>_xlfn.REGEXREPLACE(C487, "(.*)\/$", "https://extremismterms.adl.org\1")</f>
        <v>https://extremismterms.adl.org/glossary/fear-forever-enduring-always-ready</v>
      </c>
      <c r="F487" s="1" t="str" cm="1">
        <f t="array" ref="F487">_xlfn.LET(_xlpm.rowNum,MATCH(E487,'glossaryterms-export'!C:C,0),
IF(AND(NOT(ISBLANK(INDEX('glossaryterms-export'!H:H,_xlpm.rowNum))),ISBLANK(INDEX('glossaryterms-export'!I:I,_xlpm.rowNum))),"Ready to Fix",""))</f>
        <v/>
      </c>
      <c r="G487">
        <v>108</v>
      </c>
      <c r="H487">
        <v>102</v>
      </c>
      <c r="I487">
        <v>1.0588235294117601</v>
      </c>
      <c r="J487">
        <v>17.401960784313701</v>
      </c>
      <c r="K487">
        <v>268</v>
      </c>
    </row>
    <row r="488" spans="1:11" ht="61.5">
      <c r="A488">
        <v>487</v>
      </c>
      <c r="B488" s="16"/>
      <c r="C488" t="s">
        <v>546</v>
      </c>
      <c r="D488" s="1"/>
      <c r="E488" s="1" t="str">
        <f>_xlfn.REGEXREPLACE(C488, "(.*)\/$", "https://extremismterms.adl.org\1")</f>
        <v>https://extremismterms.adl.org/glossary/groominggroomers</v>
      </c>
      <c r="F488" s="1" t="str" cm="1">
        <f t="array" ref="F488">_xlfn.LET(_xlpm.rowNum,MATCH(E488,'glossaryterms-export'!C:C,0),
IF(AND(NOT(ISBLANK(INDEX('glossaryterms-export'!H:H,_xlpm.rowNum))),ISBLANK(INDEX('glossaryterms-export'!I:I,_xlpm.rowNum))),"Ready to Fix",""))</f>
        <v>Ready to Fix</v>
      </c>
      <c r="G488">
        <v>108</v>
      </c>
      <c r="H488">
        <v>98</v>
      </c>
      <c r="I488">
        <v>1.1020408163265301</v>
      </c>
      <c r="J488">
        <v>24.081632653061199</v>
      </c>
      <c r="K488">
        <v>278</v>
      </c>
    </row>
    <row r="489" spans="1:11" ht="77.25">
      <c r="A489">
        <v>488</v>
      </c>
      <c r="B489" s="16"/>
      <c r="C489" t="s">
        <v>547</v>
      </c>
      <c r="D489" s="1"/>
      <c r="E489" s="1" t="str">
        <f>_xlfn.REGEXREPLACE(C489, "(.*)\/$", "https://extremismterms.adl.org\1")</f>
        <v>https://extremismterms.adl.org/glossary/moletunnel-children</v>
      </c>
      <c r="F489" s="1" t="str" cm="1">
        <f t="array" ref="F489">_xlfn.LET(_xlpm.rowNum,MATCH(E489,'glossaryterms-export'!C:C,0),
IF(AND(NOT(ISBLANK(INDEX('glossaryterms-export'!H:H,_xlpm.rowNum))),ISBLANK(INDEX('glossaryterms-export'!I:I,_xlpm.rowNum))),"Ready to Fix",""))</f>
        <v/>
      </c>
      <c r="G489">
        <v>108</v>
      </c>
      <c r="H489">
        <v>104</v>
      </c>
      <c r="I489">
        <v>1.0384615384615301</v>
      </c>
      <c r="J489">
        <v>29.182692307692299</v>
      </c>
      <c r="K489">
        <v>287</v>
      </c>
    </row>
    <row r="490" spans="1:11" ht="61.5">
      <c r="A490">
        <v>489</v>
      </c>
      <c r="B490" s="16"/>
      <c r="C490" t="s">
        <v>548</v>
      </c>
      <c r="D490" s="1"/>
      <c r="E490" s="1" t="str">
        <f>_xlfn.REGEXREPLACE(C490, "(.*)\/$", "https://extremismterms.adl.org\1")</f>
        <v>https://extremismterms.adl.org/glossary/sonnenrad</v>
      </c>
      <c r="F490" s="1" t="str" cm="1">
        <f t="array" ref="F490">_xlfn.LET(_xlpm.rowNum,MATCH(E490,'glossaryterms-export'!C:C,0),
IF(AND(NOT(ISBLANK(INDEX('glossaryterms-export'!H:H,_xlpm.rowNum))),ISBLANK(INDEX('glossaryterms-export'!I:I,_xlpm.rowNum))),"Ready to Fix",""))</f>
        <v>Ready to Fix</v>
      </c>
      <c r="G490">
        <v>108</v>
      </c>
      <c r="H490">
        <v>94</v>
      </c>
      <c r="I490">
        <v>1.1489361702127601</v>
      </c>
      <c r="J490">
        <v>18.1914893617021</v>
      </c>
      <c r="K490">
        <v>298</v>
      </c>
    </row>
    <row r="491" spans="1:11" ht="77.25">
      <c r="A491">
        <v>490</v>
      </c>
      <c r="B491" s="16"/>
      <c r="C491" t="s">
        <v>549</v>
      </c>
      <c r="D491" s="1"/>
      <c r="E491" s="1" t="str">
        <f>_xlfn.REGEXREPLACE(C491, "(.*)\/$", "https://extremismterms.adl.org\1")</f>
        <v>https://extremismterms.adl.org/glossary/corneliu-zelea-codreanu</v>
      </c>
      <c r="F491" s="1" t="str" cm="1">
        <f t="array" ref="F491">_xlfn.LET(_xlpm.rowNum,MATCH(E491,'glossaryterms-export'!C:C,0),
IF(AND(NOT(ISBLANK(INDEX('glossaryterms-export'!H:H,_xlpm.rowNum))),ISBLANK(INDEX('glossaryterms-export'!I:I,_xlpm.rowNum))),"Ready to Fix",""))</f>
        <v>Ready to Fix</v>
      </c>
      <c r="G491">
        <v>106</v>
      </c>
      <c r="H491">
        <v>84</v>
      </c>
      <c r="I491">
        <v>1.2619047619047601</v>
      </c>
      <c r="J491">
        <v>18.1666666666666</v>
      </c>
      <c r="K491">
        <v>269</v>
      </c>
    </row>
    <row r="492" spans="1:11" ht="61.5">
      <c r="A492">
        <v>491</v>
      </c>
      <c r="B492" s="14" t="s">
        <v>495</v>
      </c>
      <c r="C492" t="s">
        <v>550</v>
      </c>
      <c r="D492" s="1" t="s">
        <v>20</v>
      </c>
      <c r="E492" s="1" t="str">
        <f>_xlfn.REGEXREPLACE(C492, "(.*)\/$", "https://extremismterms.adl.org\1")</f>
        <v>https://extremismterms.adl.org/glossary/red-ice-tv</v>
      </c>
      <c r="F492" s="1" t="str" cm="1">
        <f t="array" ref="F492">_xlfn.LET(_xlpm.rowNum,MATCH(E492,'glossaryterms-export'!C:C,0),
IF(AND(NOT(ISBLANK(INDEX('glossaryterms-export'!H:H,_xlpm.rowNum))),ISBLANK(INDEX('glossaryterms-export'!I:I,_xlpm.rowNum))),"Ready to Fix",""))</f>
        <v/>
      </c>
      <c r="G492">
        <v>106</v>
      </c>
      <c r="H492">
        <v>97</v>
      </c>
      <c r="I492">
        <v>1.09278350515463</v>
      </c>
      <c r="J492">
        <v>13.391752577319499</v>
      </c>
      <c r="K492">
        <v>404</v>
      </c>
    </row>
    <row r="493" spans="1:11" ht="77.25">
      <c r="A493">
        <v>492</v>
      </c>
      <c r="B493" s="16"/>
      <c r="C493" t="s">
        <v>551</v>
      </c>
      <c r="D493" s="1"/>
      <c r="E493" s="1" t="str">
        <f>_xlfn.REGEXREPLACE(C493, "(.*)\/$", "https://extremismterms.adl.org\1")</f>
        <v>https://extremismterms.adl.org/glossary/boogaloo-movement</v>
      </c>
      <c r="F493" s="1" t="str" cm="1">
        <f t="array" ref="F493">_xlfn.LET(_xlpm.rowNum,MATCH(E493,'glossaryterms-export'!C:C,0),
IF(AND(NOT(ISBLANK(INDEX('glossaryterms-export'!H:H,_xlpm.rowNum))),ISBLANK(INDEX('glossaryterms-export'!I:I,_xlpm.rowNum))),"Ready to Fix",""))</f>
        <v/>
      </c>
      <c r="G493">
        <v>105</v>
      </c>
      <c r="H493">
        <v>100</v>
      </c>
      <c r="I493">
        <v>1.05</v>
      </c>
      <c r="J493">
        <v>24.14</v>
      </c>
      <c r="K493">
        <v>256</v>
      </c>
    </row>
    <row r="494" spans="1:11" ht="77.25">
      <c r="A494">
        <v>493</v>
      </c>
      <c r="B494" s="16"/>
      <c r="C494" t="s">
        <v>552</v>
      </c>
      <c r="D494" s="1"/>
      <c r="E494" s="1" t="str">
        <f>_xlfn.REGEXREPLACE(C494, "(.*)\/$", "https://extremismterms.adl.org\1")</f>
        <v>https://extremismterms.adl.org/glossary/faithful-word-baptist-church</v>
      </c>
      <c r="F494" s="1" t="str" cm="1">
        <f t="array" ref="F494">_xlfn.LET(_xlpm.rowNum,MATCH(E494,'glossaryterms-export'!C:C,0),
IF(AND(NOT(ISBLANK(INDEX('glossaryterms-export'!H:H,_xlpm.rowNum))),ISBLANK(INDEX('glossaryterms-export'!I:I,_xlpm.rowNum))),"Ready to Fix",""))</f>
        <v/>
      </c>
      <c r="G494">
        <v>105</v>
      </c>
      <c r="H494">
        <v>81</v>
      </c>
      <c r="I494">
        <v>1.2962962962962901</v>
      </c>
      <c r="J494">
        <v>20.358024691358001</v>
      </c>
      <c r="K494">
        <v>278</v>
      </c>
    </row>
    <row r="495" spans="1:11" ht="77.25">
      <c r="A495">
        <v>494</v>
      </c>
      <c r="B495" s="14" t="s">
        <v>5</v>
      </c>
      <c r="C495" t="s">
        <v>553</v>
      </c>
      <c r="D495" s="1" t="s">
        <v>20</v>
      </c>
      <c r="E495" s="1" t="str">
        <f>_xlfn.REGEXREPLACE(C495, "(.*)\/$", "https://extremismterms.adl.org\1")</f>
        <v>https://extremismterms.adl.org/glossary/fan-signs-fan-signing</v>
      </c>
      <c r="F495" s="1" t="str" cm="1">
        <f t="array" ref="F495">_xlfn.LET(_xlpm.rowNum,MATCH(E495,'glossaryterms-export'!C:C,0),
IF(AND(NOT(ISBLANK(INDEX('glossaryterms-export'!H:H,_xlpm.rowNum))),ISBLANK(INDEX('glossaryterms-export'!I:I,_xlpm.rowNum))),"Ready to Fix",""))</f>
        <v/>
      </c>
      <c r="G495">
        <v>105</v>
      </c>
      <c r="H495">
        <v>85</v>
      </c>
      <c r="I495">
        <v>1.23529411764705</v>
      </c>
      <c r="J495">
        <v>10.6941176470588</v>
      </c>
      <c r="K495">
        <v>257</v>
      </c>
    </row>
    <row r="496" spans="1:11" ht="61.5">
      <c r="A496">
        <v>495</v>
      </c>
      <c r="B496" s="16"/>
      <c r="C496" t="s">
        <v>554</v>
      </c>
      <c r="D496" s="1"/>
      <c r="E496" s="1" t="str">
        <f>_xlfn.REGEXREPLACE(C496, "(.*)\/$", "https://extremismterms.adl.org\1")</f>
        <v>https://extremismterms.adl.org/glossary/aafia-siddiqui</v>
      </c>
      <c r="F496" s="1" t="str" cm="1">
        <f t="array" ref="F496">_xlfn.LET(_xlpm.rowNum,MATCH(E496,'glossaryterms-export'!C:C,0),
IF(AND(NOT(ISBLANK(INDEX('glossaryterms-export'!H:H,_xlpm.rowNum))),ISBLANK(INDEX('glossaryterms-export'!I:I,_xlpm.rowNum))),"Ready to Fix",""))</f>
        <v>Ready to Fix</v>
      </c>
      <c r="G496">
        <v>104</v>
      </c>
      <c r="H496">
        <v>91</v>
      </c>
      <c r="I496">
        <v>1.1428571428571399</v>
      </c>
      <c r="J496">
        <v>24.9670329670329</v>
      </c>
      <c r="K496">
        <v>265</v>
      </c>
    </row>
    <row r="497" spans="1:11" ht="61.5">
      <c r="A497">
        <v>496</v>
      </c>
      <c r="B497" s="16"/>
      <c r="C497" t="s">
        <v>555</v>
      </c>
      <c r="D497" s="1"/>
      <c r="E497" s="1" t="str">
        <f>_xlfn.REGEXREPLACE(C497, "(.*)\/$", "https://extremismterms.adl.org\1")</f>
        <v>https://extremismterms.adl.org/glossary/blue-eyed-devils</v>
      </c>
      <c r="F497" s="1" t="str" cm="1">
        <f t="array" ref="F497">_xlfn.LET(_xlpm.rowNum,MATCH(E497,'glossaryterms-export'!C:C,0),
IF(AND(NOT(ISBLANK(INDEX('glossaryterms-export'!H:H,_xlpm.rowNum))),ISBLANK(INDEX('glossaryterms-export'!I:I,_xlpm.rowNum))),"Ready to Fix",""))</f>
        <v>Ready to Fix</v>
      </c>
      <c r="G497">
        <v>104</v>
      </c>
      <c r="H497">
        <v>95</v>
      </c>
      <c r="I497">
        <v>1.0947368421052599</v>
      </c>
      <c r="J497">
        <v>21.5894736842105</v>
      </c>
      <c r="K497">
        <v>335</v>
      </c>
    </row>
    <row r="498" spans="1:11" ht="61.5">
      <c r="A498">
        <v>497</v>
      </c>
      <c r="B498" s="11" t="s">
        <v>223</v>
      </c>
      <c r="C498" t="s">
        <v>556</v>
      </c>
      <c r="D498" s="1" t="s">
        <v>20</v>
      </c>
      <c r="E498" s="1" t="str">
        <f>_xlfn.REGEXREPLACE(C498, "(.*)\/$", "https://extremismterms.adl.org\1")</f>
        <v>https://extremismterms.adl.org/glossary/pink-pill</v>
      </c>
      <c r="F498" s="1" t="str" cm="1">
        <f t="array" ref="F498">_xlfn.LET(_xlpm.rowNum,MATCH(E498,'glossaryterms-export'!C:C,0),
IF(AND(NOT(ISBLANK(INDEX('glossaryterms-export'!H:H,_xlpm.rowNum))),ISBLANK(INDEX('glossaryterms-export'!I:I,_xlpm.rowNum))),"Ready to Fix",""))</f>
        <v/>
      </c>
      <c r="G498">
        <v>104</v>
      </c>
      <c r="H498">
        <v>95</v>
      </c>
      <c r="I498">
        <v>1.0947368421052599</v>
      </c>
      <c r="J498">
        <v>15.2736842105263</v>
      </c>
      <c r="K498">
        <v>307</v>
      </c>
    </row>
    <row r="499" spans="1:11" ht="61.5">
      <c r="A499">
        <v>498</v>
      </c>
      <c r="B499" s="14" t="s">
        <v>495</v>
      </c>
      <c r="C499" t="s">
        <v>557</v>
      </c>
      <c r="D499" s="1" t="s">
        <v>20</v>
      </c>
      <c r="E499" s="1" t="str">
        <f>_xlfn.REGEXREPLACE(C499, "(.*)\/$", "https://extremismterms.adl.org\1")</f>
        <v>https://extremismterms.adl.org/glossary/lana-lokteff</v>
      </c>
      <c r="F499" s="1" t="str" cm="1">
        <f t="array" ref="F499">_xlfn.LET(_xlpm.rowNum,MATCH(E499,'glossaryterms-export'!C:C,0),
IF(AND(NOT(ISBLANK(INDEX('glossaryterms-export'!H:H,_xlpm.rowNum))),ISBLANK(INDEX('glossaryterms-export'!I:I,_xlpm.rowNum))),"Ready to Fix",""))</f>
        <v/>
      </c>
      <c r="G499">
        <v>103</v>
      </c>
      <c r="H499">
        <v>98</v>
      </c>
      <c r="I499">
        <v>1.0510204081632599</v>
      </c>
      <c r="J499">
        <v>29.3469387755102</v>
      </c>
      <c r="K499">
        <v>366</v>
      </c>
    </row>
    <row r="500" spans="1:11" ht="61.5">
      <c r="A500">
        <v>499</v>
      </c>
      <c r="B500" s="16"/>
      <c r="C500" t="s">
        <v>558</v>
      </c>
      <c r="D500" s="1"/>
      <c r="E500" s="1" t="str">
        <f>_xlfn.REGEXREPLACE(C500, "(.*)\/$", "https://extremismterms.adl.org\1")</f>
        <v>https://extremismterms.adl.org/glossary/united-white-circle</v>
      </c>
      <c r="F500" s="1" t="str" cm="1">
        <f t="array" ref="F500">_xlfn.LET(_xlpm.rowNum,MATCH(E500,'glossaryterms-export'!C:C,0),
IF(AND(NOT(ISBLANK(INDEX('glossaryterms-export'!H:H,_xlpm.rowNum))),ISBLANK(INDEX('glossaryterms-export'!I:I,_xlpm.rowNum))),"Ready to Fix",""))</f>
        <v/>
      </c>
      <c r="G500">
        <v>103</v>
      </c>
      <c r="H500">
        <v>82</v>
      </c>
      <c r="I500">
        <v>1.2560975609756</v>
      </c>
      <c r="J500">
        <v>52.902439024390198</v>
      </c>
      <c r="K500">
        <v>363</v>
      </c>
    </row>
    <row r="501" spans="1:11" ht="61.5">
      <c r="A501">
        <v>500</v>
      </c>
      <c r="B501" s="14" t="s">
        <v>36</v>
      </c>
      <c r="C501" t="s">
        <v>559</v>
      </c>
      <c r="D501" s="1" t="s">
        <v>20</v>
      </c>
      <c r="E501" s="1" t="str">
        <f>_xlfn.REGEXREPLACE(C501, "(.*)\/$", "https://extremismterms.adl.org\1")</f>
        <v>https://extremismterms.adl.org/glossary/enrique-tarrio</v>
      </c>
      <c r="F501" s="1" t="str" cm="1">
        <f t="array" ref="F501">_xlfn.LET(_xlpm.rowNum,MATCH(E501,'glossaryterms-export'!C:C,0),
IF(AND(NOT(ISBLANK(INDEX('glossaryterms-export'!H:H,_xlpm.rowNum))),ISBLANK(INDEX('glossaryterms-export'!I:I,_xlpm.rowNum))),"Ready to Fix",""))</f>
        <v/>
      </c>
      <c r="G501">
        <v>102</v>
      </c>
      <c r="H501">
        <v>99</v>
      </c>
      <c r="I501">
        <v>1.0303030303030301</v>
      </c>
      <c r="J501">
        <v>13.6262626262626</v>
      </c>
      <c r="K501">
        <v>243</v>
      </c>
    </row>
    <row r="502" spans="1:11" ht="77.25">
      <c r="A502">
        <v>501</v>
      </c>
      <c r="B502" s="16"/>
      <c r="C502" t="s">
        <v>560</v>
      </c>
      <c r="D502" s="1"/>
      <c r="E502" s="1" t="str">
        <f>_xlfn.REGEXREPLACE(C502, "(.*)\/$", "https://extremismterms.adl.org\1")</f>
        <v>https://extremismterms.adl.org/glossary/unforgiventhe-unforgiven</v>
      </c>
      <c r="F502" s="1" t="str" cm="1">
        <f t="array" ref="F502">_xlfn.LET(_xlpm.rowNum,MATCH(E502,'glossaryterms-export'!C:C,0),
IF(AND(NOT(ISBLANK(INDEX('glossaryterms-export'!H:H,_xlpm.rowNum))),ISBLANK(INDEX('glossaryterms-export'!I:I,_xlpm.rowNum))),"Ready to Fix",""))</f>
        <v/>
      </c>
      <c r="G502">
        <v>102</v>
      </c>
      <c r="H502">
        <v>82</v>
      </c>
      <c r="I502">
        <v>1.24390243902439</v>
      </c>
      <c r="J502">
        <v>22.951219512195099</v>
      </c>
      <c r="K502">
        <v>332</v>
      </c>
    </row>
    <row r="503" spans="1:11" ht="61.5">
      <c r="A503">
        <v>502</v>
      </c>
      <c r="B503" s="16"/>
      <c r="C503" t="s">
        <v>561</v>
      </c>
      <c r="D503" s="1"/>
      <c r="E503" s="1" t="str">
        <f>_xlfn.REGEXREPLACE(C503, "(.*)\/$", "https://extremismterms.adl.org\1")</f>
        <v>https://extremismterms.adl.org/glossary/far-right</v>
      </c>
      <c r="F503" s="1" t="str" cm="1">
        <f t="array" ref="F503">_xlfn.LET(_xlpm.rowNum,MATCH(E503,'glossaryterms-export'!C:C,0),
IF(AND(NOT(ISBLANK(INDEX('glossaryterms-export'!H:H,_xlpm.rowNum))),ISBLANK(INDEX('glossaryterms-export'!I:I,_xlpm.rowNum))),"Ready to Fix",""))</f>
        <v/>
      </c>
      <c r="G503">
        <v>101</v>
      </c>
      <c r="H503">
        <v>87</v>
      </c>
      <c r="I503">
        <v>1.16091954022988</v>
      </c>
      <c r="J503">
        <v>15.965517241379301</v>
      </c>
      <c r="K503">
        <v>328</v>
      </c>
    </row>
    <row r="504" spans="1:11" ht="77.25">
      <c r="A504">
        <v>503</v>
      </c>
      <c r="B504" s="16"/>
      <c r="C504" t="s">
        <v>562</v>
      </c>
      <c r="D504" s="1"/>
      <c r="E504" s="1" t="str">
        <f>_xlfn.REGEXREPLACE(C504, "(.*)\/$", "https://extremismterms.adl.org\1")</f>
        <v>https://extremismterms.adl.org/glossary/nationalist-social-club-nsc</v>
      </c>
      <c r="F504" s="1" t="str" cm="1">
        <f t="array" ref="F504">_xlfn.LET(_xlpm.rowNum,MATCH(E504,'glossaryterms-export'!C:C,0),
IF(AND(NOT(ISBLANK(INDEX('glossaryterms-export'!H:H,_xlpm.rowNum))),ISBLANK(INDEX('glossaryterms-export'!I:I,_xlpm.rowNum))),"Ready to Fix",""))</f>
        <v>Ready to Fix</v>
      </c>
      <c r="G504">
        <v>101</v>
      </c>
      <c r="H504">
        <v>88</v>
      </c>
      <c r="I504">
        <v>1.14772727272727</v>
      </c>
      <c r="J504">
        <v>13.272727272727201</v>
      </c>
      <c r="K504">
        <v>285</v>
      </c>
    </row>
    <row r="505" spans="1:11" ht="61.5">
      <c r="A505">
        <v>504</v>
      </c>
      <c r="B505" s="16"/>
      <c r="C505" t="s">
        <v>563</v>
      </c>
      <c r="D505" s="1"/>
      <c r="E505" s="1" t="str">
        <f>_xlfn.REGEXREPLACE(C505, "(.*)\/$", "https://extremismterms.adl.org\1")</f>
        <v>https://extremismterms.adl.org/glossary/robert-brannen</v>
      </c>
      <c r="F505" s="1" t="str" cm="1">
        <f t="array" ref="F505">_xlfn.LET(_xlpm.rowNum,MATCH(E505,'glossaryterms-export'!C:C,0),
IF(AND(NOT(ISBLANK(INDEX('glossaryterms-export'!H:H,_xlpm.rowNum))),ISBLANK(INDEX('glossaryterms-export'!I:I,_xlpm.rowNum))),"Ready to Fix",""))</f>
        <v>Ready to Fix</v>
      </c>
      <c r="G505">
        <v>101</v>
      </c>
      <c r="H505">
        <v>96</v>
      </c>
      <c r="I505">
        <v>1.0520833333333299</v>
      </c>
      <c r="J505">
        <v>9.625</v>
      </c>
      <c r="K505">
        <v>361</v>
      </c>
    </row>
    <row r="506" spans="1:11" ht="77.25">
      <c r="A506">
        <v>505</v>
      </c>
      <c r="B506" s="16"/>
      <c r="C506" t="s">
        <v>564</v>
      </c>
      <c r="D506" s="1"/>
      <c r="E506" s="1" t="str">
        <f>_xlfn.REGEXREPLACE(C506, "(.*)\/$", "https://extremismterms.adl.org\1")</f>
        <v>https://extremismterms.adl.org/glossary/rock-against-communism-rac</v>
      </c>
      <c r="F506" s="1" t="str" cm="1">
        <f t="array" ref="F506">_xlfn.LET(_xlpm.rowNum,MATCH(E506,'glossaryterms-export'!C:C,0),
IF(AND(NOT(ISBLANK(INDEX('glossaryterms-export'!H:H,_xlpm.rowNum))),ISBLANK(INDEX('glossaryterms-export'!I:I,_xlpm.rowNum))),"Ready to Fix",""))</f>
        <v>Ready to Fix</v>
      </c>
      <c r="G506">
        <v>101</v>
      </c>
      <c r="H506">
        <v>88</v>
      </c>
      <c r="I506">
        <v>1.14772727272727</v>
      </c>
      <c r="J506">
        <v>14.7045454545454</v>
      </c>
      <c r="K506">
        <v>263</v>
      </c>
    </row>
    <row r="507" spans="1:11" ht="61.5">
      <c r="A507">
        <v>506</v>
      </c>
      <c r="B507" s="14" t="s">
        <v>22</v>
      </c>
      <c r="C507" t="s">
        <v>565</v>
      </c>
      <c r="D507" s="1" t="s">
        <v>20</v>
      </c>
      <c r="E507" s="1" t="str">
        <f>_xlfn.REGEXREPLACE(C507, "(.*)\/$", "https://extremismterms.adl.org\1")</f>
        <v>https://extremismterms.adl.org/glossary/volcel</v>
      </c>
      <c r="F507" s="1" t="str" cm="1">
        <f t="array" ref="F507">_xlfn.LET(_xlpm.rowNum,MATCH(E507,'glossaryterms-export'!C:C,0),
IF(AND(NOT(ISBLANK(INDEX('glossaryterms-export'!H:H,_xlpm.rowNum))),ISBLANK(INDEX('glossaryterms-export'!I:I,_xlpm.rowNum))),"Ready to Fix",""))</f>
        <v/>
      </c>
      <c r="G507">
        <v>101</v>
      </c>
      <c r="H507">
        <v>91</v>
      </c>
      <c r="I507">
        <v>1.10989011</v>
      </c>
      <c r="J507">
        <v>9.5934065934065895</v>
      </c>
      <c r="K507">
        <v>329</v>
      </c>
    </row>
    <row r="508" spans="1:11" ht="77.25">
      <c r="A508">
        <v>507</v>
      </c>
      <c r="B508" s="16"/>
      <c r="C508" t="s">
        <v>566</v>
      </c>
      <c r="D508" s="1"/>
      <c r="E508" s="1" t="str">
        <f>_xlfn.REGEXREPLACE(C508, "(.*)\/$", "https://extremismterms.adl.org\1")</f>
        <v>https://extremismterms.adl.org/glossary/earth-liberation-front-elf</v>
      </c>
      <c r="F508" s="1" t="str" cm="1">
        <f t="array" ref="F508">_xlfn.LET(_xlpm.rowNum,MATCH(E508,'glossaryterms-export'!C:C,0),
IF(AND(NOT(ISBLANK(INDEX('glossaryterms-export'!H:H,_xlpm.rowNum))),ISBLANK(INDEX('glossaryterms-export'!I:I,_xlpm.rowNum))),"Ready to Fix",""))</f>
        <v>Ready to Fix</v>
      </c>
      <c r="G508">
        <v>100</v>
      </c>
      <c r="H508">
        <v>87</v>
      </c>
      <c r="I508">
        <v>1.14942528735632</v>
      </c>
      <c r="J508">
        <v>42.7701149425287</v>
      </c>
      <c r="K508">
        <v>387</v>
      </c>
    </row>
    <row r="509" spans="1:11" ht="61.5">
      <c r="A509">
        <v>508</v>
      </c>
      <c r="B509" s="16"/>
      <c r="C509" t="s">
        <v>567</v>
      </c>
      <c r="D509" s="1"/>
      <c r="E509" s="1" t="str">
        <f>_xlfn.REGEXREPLACE(C509, "(.*)\/$", "https://extremismterms.adl.org\1")</f>
        <v>https://extremismterms.adl.org/glossary/national-socialism</v>
      </c>
      <c r="F509" s="1" t="str" cm="1">
        <f t="array" ref="F509">_xlfn.LET(_xlpm.rowNum,MATCH(E509,'glossaryterms-export'!C:C,0),
IF(AND(NOT(ISBLANK(INDEX('glossaryterms-export'!H:H,_xlpm.rowNum))),ISBLANK(INDEX('glossaryterms-export'!I:I,_xlpm.rowNum))),"Ready to Fix",""))</f>
        <v/>
      </c>
      <c r="G509">
        <v>100</v>
      </c>
      <c r="H509">
        <v>91</v>
      </c>
      <c r="I509">
        <v>1.0989010989010899</v>
      </c>
      <c r="J509">
        <v>34.934065934065899</v>
      </c>
      <c r="K509">
        <v>286</v>
      </c>
    </row>
    <row r="510" spans="1:11" ht="61.5">
      <c r="A510">
        <v>509</v>
      </c>
      <c r="B510" s="16"/>
      <c r="C510" t="s">
        <v>568</v>
      </c>
      <c r="D510" s="1"/>
      <c r="E510" s="1" t="str">
        <f>_xlfn.REGEXREPLACE(C510, "(.*)\/$", "https://extremismterms.adl.org\1")</f>
        <v>https://extremismterms.adl.org/glossary/Y-cascadia</v>
      </c>
      <c r="F510" s="1" t="str" cm="1">
        <f t="array" ref="F510">_xlfn.LET(_xlpm.rowNum,MATCH(E510,'glossaryterms-export'!C:C,0),
IF(AND(NOT(ISBLANK(INDEX('glossaryterms-export'!H:H,_xlpm.rowNum))),ISBLANK(INDEX('glossaryterms-export'!I:I,_xlpm.rowNum))),"Ready to Fix",""))</f>
        <v/>
      </c>
      <c r="G510">
        <v>100</v>
      </c>
      <c r="H510">
        <v>91</v>
      </c>
      <c r="I510">
        <v>1.0989010989010899</v>
      </c>
      <c r="J510">
        <v>13.010989010989</v>
      </c>
      <c r="K510">
        <v>362</v>
      </c>
    </row>
    <row r="511" spans="1:11" ht="61.5">
      <c r="A511">
        <v>510</v>
      </c>
      <c r="B511" s="16"/>
      <c r="C511" t="s">
        <v>569</v>
      </c>
      <c r="D511" s="1"/>
      <c r="E511" s="1" t="str">
        <f>_xlfn.REGEXREPLACE(C511, "(.*)\/$", "https://extremismterms.adl.org\1")</f>
        <v>https://extremismterms.adl.org/glossary/americans-bulletin</v>
      </c>
      <c r="F511" s="1" t="str" cm="1">
        <f t="array" ref="F511">_xlfn.LET(_xlpm.rowNum,MATCH(E511,'glossaryterms-export'!C:C,0),
IF(AND(NOT(ISBLANK(INDEX('glossaryterms-export'!H:H,_xlpm.rowNum))),ISBLANK(INDEX('glossaryterms-export'!I:I,_xlpm.rowNum))),"Ready to Fix",""))</f>
        <v/>
      </c>
      <c r="G511">
        <v>99</v>
      </c>
      <c r="H511">
        <v>80</v>
      </c>
      <c r="I511">
        <v>1.2375</v>
      </c>
      <c r="J511">
        <v>28.1875</v>
      </c>
      <c r="K511">
        <v>427</v>
      </c>
    </row>
    <row r="512" spans="1:11" ht="61.5">
      <c r="A512">
        <v>511</v>
      </c>
      <c r="B512" s="16"/>
      <c r="C512" t="s">
        <v>570</v>
      </c>
      <c r="D512" s="1"/>
      <c r="E512" s="1" t="str">
        <f>_xlfn.REGEXREPLACE(C512, "(.*)\/$", "https://extremismterms.adl.org\1")</f>
        <v>https://extremismterms.adl.org/glossary/cleon-skousen</v>
      </c>
      <c r="F512" s="1" t="str" cm="1">
        <f t="array" ref="F512">_xlfn.LET(_xlpm.rowNum,MATCH(E512,'glossaryterms-export'!C:C,0),
IF(AND(NOT(ISBLANK(INDEX('glossaryterms-export'!H:H,_xlpm.rowNum))),ISBLANK(INDEX('glossaryterms-export'!I:I,_xlpm.rowNum))),"Ready to Fix",""))</f>
        <v/>
      </c>
      <c r="G512">
        <v>99</v>
      </c>
      <c r="H512">
        <v>86</v>
      </c>
      <c r="I512">
        <v>1.15116279069767</v>
      </c>
      <c r="J512">
        <v>13.1744186046511</v>
      </c>
      <c r="K512">
        <v>229</v>
      </c>
    </row>
    <row r="513" spans="1:11" ht="61.5">
      <c r="A513">
        <v>512</v>
      </c>
      <c r="B513" s="16"/>
      <c r="C513" t="s">
        <v>571</v>
      </c>
      <c r="D513" s="1"/>
      <c r="E513" s="1" t="str">
        <f>_xlfn.REGEXREPLACE(C513, "(.*)\/$", "https://extremismterms.adl.org\1")</f>
        <v>https://extremismterms.adl.org/glossary/green-birds</v>
      </c>
      <c r="F513" s="1" t="str" cm="1">
        <f t="array" ref="F513">_xlfn.LET(_xlpm.rowNum,MATCH(E513,'glossaryterms-export'!C:C,0),
IF(AND(NOT(ISBLANK(INDEX('glossaryterms-export'!H:H,_xlpm.rowNum))),ISBLANK(INDEX('glossaryterms-export'!I:I,_xlpm.rowNum))),"Ready to Fix",""))</f>
        <v/>
      </c>
      <c r="G513">
        <v>99</v>
      </c>
      <c r="H513">
        <v>83</v>
      </c>
      <c r="I513">
        <v>1.19277108433734</v>
      </c>
      <c r="J513">
        <v>24.879518072289098</v>
      </c>
      <c r="K513">
        <v>295</v>
      </c>
    </row>
    <row r="514" spans="1:11" ht="61.5">
      <c r="A514">
        <v>513</v>
      </c>
      <c r="B514" s="14" t="s">
        <v>22</v>
      </c>
      <c r="C514" t="s">
        <v>572</v>
      </c>
      <c r="D514" s="1" t="s">
        <v>20</v>
      </c>
      <c r="E514" s="1" t="str">
        <f>_xlfn.REGEXREPLACE(C514, "(.*)\/$", "https://extremismterms.adl.org\1")</f>
        <v>https://extremismterms.adl.org/glossary/hypergamy</v>
      </c>
      <c r="F514" s="1" t="str" cm="1">
        <f t="array" ref="F514">_xlfn.LET(_xlpm.rowNum,MATCH(E514,'glossaryterms-export'!C:C,0),
IF(AND(NOT(ISBLANK(INDEX('glossaryterms-export'!H:H,_xlpm.rowNum))),ISBLANK(INDEX('glossaryterms-export'!I:I,_xlpm.rowNum))),"Ready to Fix",""))</f>
        <v/>
      </c>
      <c r="G514">
        <v>99</v>
      </c>
      <c r="H514">
        <v>95</v>
      </c>
      <c r="I514">
        <v>1.04210526315789</v>
      </c>
      <c r="J514">
        <v>11.368421052631501</v>
      </c>
      <c r="K514">
        <v>269</v>
      </c>
    </row>
    <row r="515" spans="1:11" ht="61.5">
      <c r="A515">
        <v>514</v>
      </c>
      <c r="B515" s="16"/>
      <c r="C515" t="s">
        <v>573</v>
      </c>
      <c r="D515" s="1"/>
      <c r="E515" s="1" t="str">
        <f>_xlfn.REGEXREPLACE(C515, "(.*)\/$", "https://extremismterms.adl.org\1")</f>
        <v>https://extremismterms.adl.org/glossary/jera-rune-symbol</v>
      </c>
      <c r="F515" s="1" t="str" cm="1">
        <f t="array" ref="F515">_xlfn.LET(_xlpm.rowNum,MATCH(E515,'glossaryterms-export'!C:C,0),
IF(AND(NOT(ISBLANK(INDEX('glossaryterms-export'!H:H,_xlpm.rowNum))),ISBLANK(INDEX('glossaryterms-export'!I:I,_xlpm.rowNum))),"Ready to Fix",""))</f>
        <v>Ready to Fix</v>
      </c>
      <c r="G515">
        <v>99</v>
      </c>
      <c r="H515">
        <v>92</v>
      </c>
      <c r="I515">
        <v>1.0760869565217299</v>
      </c>
      <c r="J515">
        <v>9.7282608695652097</v>
      </c>
      <c r="K515">
        <v>255</v>
      </c>
    </row>
    <row r="516" spans="1:11" ht="77.25">
      <c r="A516">
        <v>515</v>
      </c>
      <c r="B516" s="16"/>
      <c r="C516" t="s">
        <v>574</v>
      </c>
      <c r="D516" s="1"/>
      <c r="E516" s="1" t="str">
        <f>_xlfn.REGEXREPLACE(C516, "(.*)\/$", "https://extremismterms.adl.org\1")</f>
        <v>https://extremismterms.adl.org/glossary/world-economic-forum-wef</v>
      </c>
      <c r="F516" s="1" t="str" cm="1">
        <f t="array" ref="F516">_xlfn.LET(_xlpm.rowNum,MATCH(E516,'glossaryterms-export'!C:C,0),
IF(AND(NOT(ISBLANK(INDEX('glossaryterms-export'!H:H,_xlpm.rowNum))),ISBLANK(INDEX('glossaryterms-export'!I:I,_xlpm.rowNum))),"Ready to Fix",""))</f>
        <v/>
      </c>
      <c r="G516">
        <v>99</v>
      </c>
      <c r="H516">
        <v>92</v>
      </c>
      <c r="I516">
        <v>1.0760869565217299</v>
      </c>
      <c r="J516">
        <v>12.9021739130434</v>
      </c>
      <c r="K516">
        <v>291</v>
      </c>
    </row>
    <row r="517" spans="1:11" ht="61.5">
      <c r="A517">
        <v>516</v>
      </c>
      <c r="B517" s="16"/>
      <c r="C517" t="s">
        <v>575</v>
      </c>
      <c r="D517" s="1"/>
      <c r="E517" s="1" t="str">
        <f>_xlfn.REGEXREPLACE(C517, "(.*)\/$", "https://extremismterms.adl.org\1")</f>
        <v>https://extremismterms.adl.org/glossary/dave-foreman</v>
      </c>
      <c r="F517" s="1" t="str" cm="1">
        <f t="array" ref="F517">_xlfn.LET(_xlpm.rowNum,MATCH(E517,'glossaryterms-export'!C:C,0),
IF(AND(NOT(ISBLANK(INDEX('glossaryterms-export'!H:H,_xlpm.rowNum))),ISBLANK(INDEX('glossaryterms-export'!I:I,_xlpm.rowNum))),"Ready to Fix",""))</f>
        <v/>
      </c>
      <c r="G517">
        <v>98</v>
      </c>
      <c r="H517">
        <v>92</v>
      </c>
      <c r="I517">
        <v>1.0652173913043399</v>
      </c>
      <c r="J517">
        <v>22</v>
      </c>
      <c r="K517">
        <v>213</v>
      </c>
    </row>
    <row r="518" spans="1:11" ht="108">
      <c r="A518">
        <v>517</v>
      </c>
      <c r="B518" s="14" t="s">
        <v>25</v>
      </c>
      <c r="C518" t="s">
        <v>576</v>
      </c>
      <c r="D518" s="1" t="s">
        <v>20</v>
      </c>
      <c r="E518" s="1" t="str">
        <f>_xlfn.REGEXREPLACE(C518, "(.*)\/$", "https://extremismterms.adl.org\1")</f>
        <v>https://extremismterms.adl.org/glossary/citizens-grand-jury-common-law-grand-jury-peoples-grand-jury</v>
      </c>
      <c r="F518" s="1" t="str" cm="1">
        <f t="array" ref="F518">_xlfn.LET(_xlpm.rowNum,MATCH(E518,'glossaryterms-export'!C:C,0),
IF(AND(NOT(ISBLANK(INDEX('glossaryterms-export'!H:H,_xlpm.rowNum))),ISBLANK(INDEX('glossaryterms-export'!I:I,_xlpm.rowNum))),"Ready to Fix",""))</f>
        <v/>
      </c>
      <c r="G518">
        <v>97</v>
      </c>
      <c r="H518">
        <v>91</v>
      </c>
      <c r="I518">
        <v>1.0659340659340599</v>
      </c>
      <c r="J518">
        <v>24.1648351648351</v>
      </c>
      <c r="K518">
        <v>257</v>
      </c>
    </row>
    <row r="519" spans="1:11" ht="77.25">
      <c r="A519">
        <v>518</v>
      </c>
      <c r="B519" s="16"/>
      <c r="C519" t="s">
        <v>577</v>
      </c>
      <c r="D519" s="1"/>
      <c r="E519" s="1" t="str">
        <f>_xlfn.REGEXREPLACE(C519, "(.*)\/$", "https://extremismterms.adl.org\1")</f>
        <v>https://extremismterms.adl.org/glossary/let-god-burn-them-quickly-lgbtq</v>
      </c>
      <c r="F519" s="1" t="str" cm="1">
        <f t="array" ref="F519">_xlfn.LET(_xlpm.rowNum,MATCH(E519,'glossaryterms-export'!C:C,0),
IF(AND(NOT(ISBLANK(INDEX('glossaryterms-export'!H:H,_xlpm.rowNum))),ISBLANK(INDEX('glossaryterms-export'!I:I,_xlpm.rowNum))),"Ready to Fix",""))</f>
        <v>Ready to Fix</v>
      </c>
      <c r="G519">
        <v>97</v>
      </c>
      <c r="H519">
        <v>87</v>
      </c>
      <c r="I519">
        <v>1.11494252873563</v>
      </c>
      <c r="J519">
        <v>15.689655172413699</v>
      </c>
      <c r="K519">
        <v>299</v>
      </c>
    </row>
    <row r="520" spans="1:11" ht="61.5">
      <c r="A520">
        <v>519</v>
      </c>
      <c r="B520" s="16"/>
      <c r="C520" t="s">
        <v>578</v>
      </c>
      <c r="D520" s="1"/>
      <c r="E520" s="1" t="str">
        <f>_xlfn.REGEXREPLACE(C520, "(.*)\/$", "https://extremismterms.adl.org\1")</f>
        <v>https://extremismterms.adl.org/glossary/nation-islam-noi</v>
      </c>
      <c r="F520" s="1" t="str" cm="1">
        <f t="array" ref="F520">_xlfn.LET(_xlpm.rowNum,MATCH(E520,'glossaryterms-export'!C:C,0),
IF(AND(NOT(ISBLANK(INDEX('glossaryterms-export'!H:H,_xlpm.rowNum))),ISBLANK(INDEX('glossaryterms-export'!I:I,_xlpm.rowNum))),"Ready to Fix",""))</f>
        <v>Ready to Fix</v>
      </c>
      <c r="G520">
        <v>97</v>
      </c>
      <c r="H520">
        <v>82</v>
      </c>
      <c r="I520">
        <v>1.18292682926829</v>
      </c>
      <c r="J520">
        <v>16.3170731707317</v>
      </c>
      <c r="K520">
        <v>255</v>
      </c>
    </row>
    <row r="521" spans="1:11" ht="61.5">
      <c r="A521">
        <v>520</v>
      </c>
      <c r="B521" s="16"/>
      <c r="C521" t="s">
        <v>579</v>
      </c>
      <c r="D521" s="1"/>
      <c r="E521" s="1" t="str">
        <f>_xlfn.REGEXREPLACE(C521, "(.*)\/$", "https://extremismterms.adl.org\1")</f>
        <v>https://extremismterms.adl.org/glossary/alt-right</v>
      </c>
      <c r="F521" s="1" t="str" cm="1">
        <f t="array" ref="F521">_xlfn.LET(_xlpm.rowNum,MATCH(E521,'glossaryterms-export'!C:C,0),
IF(AND(NOT(ISBLANK(INDEX('glossaryterms-export'!H:H,_xlpm.rowNum))),ISBLANK(INDEX('glossaryterms-export'!I:I,_xlpm.rowNum))),"Ready to Fix",""))</f>
        <v>Ready to Fix</v>
      </c>
      <c r="G521">
        <v>96</v>
      </c>
      <c r="H521">
        <v>86</v>
      </c>
      <c r="I521">
        <v>1.1162790697674401</v>
      </c>
      <c r="J521">
        <v>18.081395348837201</v>
      </c>
      <c r="K521">
        <v>270</v>
      </c>
    </row>
    <row r="522" spans="1:11" ht="77.25">
      <c r="A522">
        <v>521</v>
      </c>
      <c r="B522" s="16"/>
      <c r="C522" t="s">
        <v>580</v>
      </c>
      <c r="D522" s="1"/>
      <c r="E522" s="1" t="str">
        <f>_xlfn.REGEXREPLACE(C522, "(.*)\/$", "https://extremismterms.adl.org\1")</f>
        <v>https://extremismterms.adl.org/glossary/ku-klux-klan-hand-sign</v>
      </c>
      <c r="F522" s="1" t="str" cm="1">
        <f t="array" ref="F522">_xlfn.LET(_xlpm.rowNum,MATCH(E522,'glossaryterms-export'!C:C,0),
IF(AND(NOT(ISBLANK(INDEX('glossaryterms-export'!H:H,_xlpm.rowNum))),ISBLANK(INDEX('glossaryterms-export'!I:I,_xlpm.rowNum))),"Ready to Fix",""))</f>
        <v>Ready to Fix</v>
      </c>
      <c r="G522">
        <v>96</v>
      </c>
      <c r="H522">
        <v>86</v>
      </c>
      <c r="I522">
        <v>1.1162790697674401</v>
      </c>
      <c r="J522">
        <v>20.60465116</v>
      </c>
      <c r="K522">
        <v>288</v>
      </c>
    </row>
    <row r="523" spans="1:11" ht="61.5">
      <c r="A523">
        <v>522</v>
      </c>
      <c r="B523" s="16"/>
      <c r="C523" t="s">
        <v>581</v>
      </c>
      <c r="D523" s="1"/>
      <c r="E523" s="1" t="str">
        <f>_xlfn.REGEXREPLACE(C523, "(.*)\/$", "https://extremismterms.adl.org\1")</f>
        <v>https://extremismterms.adl.org/glossary/pot-plot</v>
      </c>
      <c r="F523" s="1" t="str" cm="1">
        <f t="array" ref="F523">_xlfn.LET(_xlpm.rowNum,MATCH(E523,'glossaryterms-export'!C:C,0),
IF(AND(NOT(ISBLANK(INDEX('glossaryterms-export'!H:H,_xlpm.rowNum))),ISBLANK(INDEX('glossaryterms-export'!I:I,_xlpm.rowNum))),"Ready to Fix",""))</f>
        <v/>
      </c>
      <c r="G523">
        <v>96</v>
      </c>
      <c r="H523">
        <v>95</v>
      </c>
      <c r="I523">
        <v>1.0105263157894699</v>
      </c>
      <c r="J523">
        <v>14.515789473684199</v>
      </c>
      <c r="K523">
        <v>186</v>
      </c>
    </row>
    <row r="524" spans="1:11" ht="92.25">
      <c r="A524">
        <v>523</v>
      </c>
      <c r="B524" s="16"/>
      <c r="C524" t="s">
        <v>582</v>
      </c>
      <c r="D524" s="1"/>
      <c r="E524" s="1" t="str">
        <f>_xlfn.REGEXREPLACE(C524, "(.*)\/$", "https://extremismterms.adl.org\1")</f>
        <v>https://extremismterms.adl.org/glossary/american-christian-dixie-knights</v>
      </c>
      <c r="F524" s="1" t="str" cm="1">
        <f t="array" ref="F524">_xlfn.LET(_xlpm.rowNum,MATCH(E524,'glossaryterms-export'!C:C,0),
IF(AND(NOT(ISBLANK(INDEX('glossaryterms-export'!H:H,_xlpm.rowNum))),ISBLANK(INDEX('glossaryterms-export'!I:I,_xlpm.rowNum))),"Ready to Fix",""))</f>
        <v>Ready to Fix</v>
      </c>
      <c r="G524">
        <v>95</v>
      </c>
      <c r="H524">
        <v>94</v>
      </c>
      <c r="I524">
        <v>1.0106382978723401</v>
      </c>
      <c r="J524">
        <v>7</v>
      </c>
      <c r="K524">
        <v>233</v>
      </c>
    </row>
    <row r="525" spans="1:11" ht="61.5">
      <c r="A525">
        <v>524</v>
      </c>
      <c r="B525" s="16"/>
      <c r="C525" t="s">
        <v>583</v>
      </c>
      <c r="D525" s="1"/>
      <c r="E525" s="1" t="str">
        <f>_xlfn.REGEXREPLACE(C525, "(.*)\/$", "https://extremismterms.adl.org\1")</f>
        <v>https://extremismterms.adl.org/glossary/hebrews-negroes</v>
      </c>
      <c r="F525" s="1" t="str" cm="1">
        <f t="array" ref="F525">_xlfn.LET(_xlpm.rowNum,MATCH(E525,'glossaryterms-export'!C:C,0),
IF(AND(NOT(ISBLANK(INDEX('glossaryterms-export'!H:H,_xlpm.rowNum))),ISBLANK(INDEX('glossaryterms-export'!I:I,_xlpm.rowNum))),"Ready to Fix",""))</f>
        <v>Ready to Fix</v>
      </c>
      <c r="G525">
        <v>95</v>
      </c>
      <c r="H525">
        <v>83</v>
      </c>
      <c r="I525">
        <v>1.1445783132530101</v>
      </c>
      <c r="J525">
        <v>36.831325301204799</v>
      </c>
      <c r="K525">
        <v>262</v>
      </c>
    </row>
    <row r="526" spans="1:11" ht="61.5">
      <c r="A526">
        <v>525</v>
      </c>
      <c r="B526" s="16"/>
      <c r="C526" t="s">
        <v>584</v>
      </c>
      <c r="D526" s="1"/>
      <c r="E526" s="1" t="str">
        <f>_xlfn.REGEXREPLACE(C526, "(.*)\/$", "https://extremismterms.adl.org\1")</f>
        <v>https://extremismterms.adl.org/glossary/rasmea-odeh</v>
      </c>
      <c r="F526" s="1" t="str" cm="1">
        <f t="array" ref="F526">_xlfn.LET(_xlpm.rowNum,MATCH(E526,'glossaryterms-export'!C:C,0),
IF(AND(NOT(ISBLANK(INDEX('glossaryterms-export'!H:H,_xlpm.rowNum))),ISBLANK(INDEX('glossaryterms-export'!I:I,_xlpm.rowNum))),"Ready to Fix",""))</f>
        <v>Ready to Fix</v>
      </c>
      <c r="G526">
        <v>95</v>
      </c>
      <c r="H526">
        <v>85</v>
      </c>
      <c r="I526">
        <v>1.1176470588235199</v>
      </c>
      <c r="J526">
        <v>22.223529411764702</v>
      </c>
      <c r="K526">
        <v>352</v>
      </c>
    </row>
    <row r="527" spans="1:11" ht="77.25">
      <c r="A527">
        <v>526</v>
      </c>
      <c r="B527" s="16"/>
      <c r="C527" t="s">
        <v>585</v>
      </c>
      <c r="D527" s="1"/>
      <c r="E527" s="1" t="str">
        <f>_xlfn.REGEXREPLACE(C527, "(.*)\/$", "https://extremismterms.adl.org\1")</f>
        <v>https://extremismterms.adl.org/glossary/cotswold-declaration</v>
      </c>
      <c r="F527" s="1" t="str" cm="1">
        <f t="array" ref="F527">_xlfn.LET(_xlpm.rowNum,MATCH(E527,'glossaryterms-export'!C:C,0),
IF(AND(NOT(ISBLANK(INDEX('glossaryterms-export'!H:H,_xlpm.rowNum))),ISBLANK(INDEX('glossaryterms-export'!I:I,_xlpm.rowNum))),"Ready to Fix",""))</f>
        <v/>
      </c>
      <c r="G527">
        <v>94</v>
      </c>
      <c r="H527">
        <v>80</v>
      </c>
      <c r="I527">
        <v>1.175</v>
      </c>
      <c r="J527">
        <v>16.5625</v>
      </c>
      <c r="K527">
        <v>320</v>
      </c>
    </row>
    <row r="528" spans="1:11" ht="77.25">
      <c r="A528">
        <v>527</v>
      </c>
      <c r="B528" s="16"/>
      <c r="C528" t="s">
        <v>586</v>
      </c>
      <c r="D528" s="1"/>
      <c r="E528" s="1" t="str">
        <f>_xlfn.REGEXREPLACE(C528, "(.*)\/$", "https://extremismterms.adl.org\1")</f>
        <v>https://extremismterms.adl.org/glossary/national-socialist-movement</v>
      </c>
      <c r="F528" s="1" t="str" cm="1">
        <f t="array" ref="F528">_xlfn.LET(_xlpm.rowNum,MATCH(E528,'glossaryterms-export'!C:C,0),
IF(AND(NOT(ISBLANK(INDEX('glossaryterms-export'!H:H,_xlpm.rowNum))),ISBLANK(INDEX('glossaryterms-export'!I:I,_xlpm.rowNum))),"Ready to Fix",""))</f>
        <v/>
      </c>
      <c r="G528">
        <v>94</v>
      </c>
      <c r="H528">
        <v>79</v>
      </c>
      <c r="I528">
        <v>1.18987341772151</v>
      </c>
      <c r="J528">
        <v>15.797468354430301</v>
      </c>
      <c r="K528">
        <v>234</v>
      </c>
    </row>
    <row r="529" spans="1:11" ht="61.5">
      <c r="A529">
        <v>528</v>
      </c>
      <c r="B529" s="14" t="s">
        <v>92</v>
      </c>
      <c r="C529" t="s">
        <v>587</v>
      </c>
      <c r="D529" s="1" t="s">
        <v>20</v>
      </c>
      <c r="E529" s="1" t="str">
        <f>_xlfn.REGEXREPLACE(C529, "(.*)\/$", "https://extremismterms.adl.org\1")</f>
        <v>https://extremismterms.adl.org/glossary/siege</v>
      </c>
      <c r="F529" s="1" t="str" cm="1">
        <f t="array" ref="F529">_xlfn.LET(_xlpm.rowNum,MATCH(E529,'glossaryterms-export'!C:C,0),
IF(AND(NOT(ISBLANK(INDEX('glossaryterms-export'!H:H,_xlpm.rowNum))),ISBLANK(INDEX('glossaryterms-export'!I:I,_xlpm.rowNum))),"Ready to Fix",""))</f>
        <v/>
      </c>
      <c r="G529">
        <v>94</v>
      </c>
      <c r="H529">
        <v>88</v>
      </c>
      <c r="I529">
        <v>1.0681818181818099</v>
      </c>
      <c r="J529">
        <v>15.443181818181801</v>
      </c>
      <c r="K529">
        <v>254</v>
      </c>
    </row>
    <row r="530" spans="1:11" ht="61.5">
      <c r="A530">
        <v>529</v>
      </c>
      <c r="B530" s="16"/>
      <c r="C530" t="s">
        <v>588</v>
      </c>
      <c r="D530" s="1"/>
      <c r="E530" s="1" t="str">
        <f>_xlfn.REGEXREPLACE(C530, "(.*)\/$", "https://extremismterms.adl.org\1")</f>
        <v>https://extremismterms.adl.org/glossary/alain-de-benoist</v>
      </c>
      <c r="F530" s="1" t="str" cm="1">
        <f t="array" ref="F530">_xlfn.LET(_xlpm.rowNum,MATCH(E530,'glossaryterms-export'!C:C,0),
IF(AND(NOT(ISBLANK(INDEX('glossaryterms-export'!H:H,_xlpm.rowNum))),ISBLANK(INDEX('glossaryterms-export'!I:I,_xlpm.rowNum))),"Ready to Fix",""))</f>
        <v/>
      </c>
      <c r="G530">
        <v>93</v>
      </c>
      <c r="H530">
        <v>90</v>
      </c>
      <c r="I530">
        <v>1.0333333333333301</v>
      </c>
      <c r="J530">
        <v>5.3333333333333304</v>
      </c>
      <c r="K530">
        <v>204</v>
      </c>
    </row>
    <row r="531" spans="1:11" ht="77.25">
      <c r="A531">
        <v>530</v>
      </c>
      <c r="B531" s="16"/>
      <c r="C531" t="s">
        <v>589</v>
      </c>
      <c r="D531" s="1"/>
      <c r="E531" s="1" t="str">
        <f>_xlfn.REGEXREPLACE(C531, "(.*)\/$", "https://extremismterms.adl.org\1")</f>
        <v>https://extremismterms.adl.org/glossary/animal-liberation-front-alf</v>
      </c>
      <c r="F531" s="1" t="str" cm="1">
        <f t="array" ref="F531">_xlfn.LET(_xlpm.rowNum,MATCH(E531,'glossaryterms-export'!C:C,0),
IF(AND(NOT(ISBLANK(INDEX('glossaryterms-export'!H:H,_xlpm.rowNum))),ISBLANK(INDEX('glossaryterms-export'!I:I,_xlpm.rowNum))),"Ready to Fix",""))</f>
        <v>Ready to Fix</v>
      </c>
      <c r="G531">
        <v>93</v>
      </c>
      <c r="H531">
        <v>84</v>
      </c>
      <c r="I531">
        <v>1.1071428571428501</v>
      </c>
      <c r="J531">
        <v>21.380952380952301</v>
      </c>
      <c r="K531">
        <v>332</v>
      </c>
    </row>
    <row r="532" spans="1:11" ht="61.5">
      <c r="A532">
        <v>531</v>
      </c>
      <c r="B532" s="16"/>
      <c r="C532" t="s">
        <v>590</v>
      </c>
      <c r="D532" s="1"/>
      <c r="E532" s="1" t="str">
        <f>_xlfn.REGEXREPLACE(C532, "(.*)\/$", "https://extremismterms.adl.org\1")</f>
        <v>https://extremismterms.adl.org/glossary/green-anarchy</v>
      </c>
      <c r="F532" s="1" t="str" cm="1">
        <f t="array" ref="F532">_xlfn.LET(_xlpm.rowNum,MATCH(E532,'glossaryterms-export'!C:C,0),
IF(AND(NOT(ISBLANK(INDEX('glossaryterms-export'!H:H,_xlpm.rowNum))),ISBLANK(INDEX('glossaryterms-export'!I:I,_xlpm.rowNum))),"Ready to Fix",""))</f>
        <v/>
      </c>
      <c r="G532">
        <v>93</v>
      </c>
      <c r="H532">
        <v>91</v>
      </c>
      <c r="I532">
        <v>1.0219780219780199</v>
      </c>
      <c r="J532">
        <v>16.032967032967001</v>
      </c>
      <c r="K532">
        <v>219</v>
      </c>
    </row>
    <row r="533" spans="1:11" ht="61.5">
      <c r="A533">
        <v>532</v>
      </c>
      <c r="B533" s="16"/>
      <c r="C533" t="s">
        <v>591</v>
      </c>
      <c r="D533" s="1"/>
      <c r="E533" s="1" t="str">
        <f>_xlfn.REGEXREPLACE(C533, "(.*)\/$", "https://extremismterms.adl.org\1")</f>
        <v>https://extremismterms.adl.org/glossary/saviours-day</v>
      </c>
      <c r="F533" s="1" t="str" cm="1">
        <f t="array" ref="F533">_xlfn.LET(_xlpm.rowNum,MATCH(E533,'glossaryterms-export'!C:C,0),
IF(AND(NOT(ISBLANK(INDEX('glossaryterms-export'!H:H,_xlpm.rowNum))),ISBLANK(INDEX('glossaryterms-export'!I:I,_xlpm.rowNum))),"Ready to Fix",""))</f>
        <v/>
      </c>
      <c r="G533">
        <v>93</v>
      </c>
      <c r="H533">
        <v>70</v>
      </c>
      <c r="I533">
        <v>1.3285714285714201</v>
      </c>
      <c r="J533">
        <v>18.357142857142801</v>
      </c>
      <c r="K533">
        <v>243</v>
      </c>
    </row>
    <row r="534" spans="1:11" ht="61.5">
      <c r="A534">
        <v>533</v>
      </c>
      <c r="B534" s="16"/>
      <c r="C534" t="s">
        <v>592</v>
      </c>
      <c r="D534" s="1"/>
      <c r="E534" s="1" t="str">
        <f>_xlfn.REGEXREPLACE(C534, "(.*)\/$", "https://extremismterms.adl.org\1")</f>
        <v>https://extremismterms.adl.org/glossary/skinhead</v>
      </c>
      <c r="F534" s="1" t="str" cm="1">
        <f t="array" ref="F534">_xlfn.LET(_xlpm.rowNum,MATCH(E534,'glossaryterms-export'!C:C,0),
IF(AND(NOT(ISBLANK(INDEX('glossaryterms-export'!H:H,_xlpm.rowNum))),ISBLANK(INDEX('glossaryterms-export'!I:I,_xlpm.rowNum))),"Ready to Fix",""))</f>
        <v/>
      </c>
      <c r="G534">
        <v>93</v>
      </c>
      <c r="H534">
        <v>84</v>
      </c>
      <c r="I534">
        <v>1.1071428571428501</v>
      </c>
      <c r="J534">
        <v>20.4761904761904</v>
      </c>
      <c r="K534">
        <v>274</v>
      </c>
    </row>
    <row r="535" spans="1:11" ht="61.5">
      <c r="A535">
        <v>534</v>
      </c>
      <c r="B535" s="16"/>
      <c r="C535" t="s">
        <v>593</v>
      </c>
      <c r="D535" s="1"/>
      <c r="E535" s="1" t="str">
        <f>_xlfn.REGEXREPLACE(C535, "(.*)\/$", "https://extremismterms.adl.org\1")</f>
        <v>https://extremismterms.adl.org/glossary/abdel-aziz-rantisi</v>
      </c>
      <c r="F535" s="1" t="str" cm="1">
        <f t="array" ref="F535">_xlfn.LET(_xlpm.rowNum,MATCH(E535,'glossaryterms-export'!C:C,0),
IF(AND(NOT(ISBLANK(INDEX('glossaryterms-export'!H:H,_xlpm.rowNum))),ISBLANK(INDEX('glossaryterms-export'!I:I,_xlpm.rowNum))),"Ready to Fix",""))</f>
        <v/>
      </c>
      <c r="G535">
        <v>92</v>
      </c>
      <c r="H535">
        <v>89</v>
      </c>
      <c r="I535">
        <v>1.0337078651685301</v>
      </c>
      <c r="J535">
        <v>9.7977528089887596</v>
      </c>
      <c r="K535">
        <v>191</v>
      </c>
    </row>
    <row r="536" spans="1:11" ht="61.5">
      <c r="A536">
        <v>535</v>
      </c>
      <c r="B536" s="16"/>
      <c r="C536" t="s">
        <v>594</v>
      </c>
      <c r="D536" s="1"/>
      <c r="E536" s="1" t="str">
        <f>_xlfn.REGEXREPLACE(C536, "(.*)\/$", "https://extremismterms.adl.org\1")</f>
        <v>https://extremismterms.adl.org/glossary/american-guard</v>
      </c>
      <c r="F536" s="1" t="str" cm="1">
        <f t="array" ref="F536">_xlfn.LET(_xlpm.rowNum,MATCH(E536,'glossaryterms-export'!C:C,0),
IF(AND(NOT(ISBLANK(INDEX('glossaryterms-export'!H:H,_xlpm.rowNum))),ISBLANK(INDEX('glossaryterms-export'!I:I,_xlpm.rowNum))),"Ready to Fix",""))</f>
        <v>Ready to Fix</v>
      </c>
      <c r="G536">
        <v>92</v>
      </c>
      <c r="H536">
        <v>83</v>
      </c>
      <c r="I536">
        <v>1.1084337349397499</v>
      </c>
      <c r="J536">
        <v>13.277108433734901</v>
      </c>
      <c r="K536">
        <v>221</v>
      </c>
    </row>
    <row r="537" spans="1:11" ht="61.5">
      <c r="A537">
        <v>536</v>
      </c>
      <c r="B537" s="14" t="s">
        <v>22</v>
      </c>
      <c r="C537" t="s">
        <v>595</v>
      </c>
      <c r="D537" s="1" t="s">
        <v>20</v>
      </c>
      <c r="E537" s="1" t="str">
        <f>_xlfn.REGEXREPLACE(C537, "(.*)\/$", "https://extremismterms.adl.org\1")</f>
        <v>https://extremismterms.adl.org/glossary/ascend</v>
      </c>
      <c r="F537" s="1" t="str" cm="1">
        <f t="array" ref="F537">_xlfn.LET(_xlpm.rowNum,MATCH(E537,'glossaryterms-export'!C:C,0),
IF(AND(NOT(ISBLANK(INDEX('glossaryterms-export'!H:H,_xlpm.rowNum))),ISBLANK(INDEX('glossaryterms-export'!I:I,_xlpm.rowNum))),"Ready to Fix",""))</f>
        <v/>
      </c>
      <c r="G537">
        <v>92</v>
      </c>
      <c r="H537">
        <v>90</v>
      </c>
      <c r="I537">
        <v>1.0222222222222199</v>
      </c>
      <c r="J537">
        <v>10.3333333333333</v>
      </c>
      <c r="K537">
        <v>206</v>
      </c>
    </row>
    <row r="538" spans="1:11" ht="61.5">
      <c r="A538">
        <v>537</v>
      </c>
      <c r="B538" s="16"/>
      <c r="C538" t="s">
        <v>596</v>
      </c>
      <c r="D538" s="1"/>
      <c r="E538" s="1" t="str">
        <f>_xlfn.REGEXREPLACE(C538, "(.*)\/$", "https://extremismterms.adl.org\1")</f>
        <v>https://extremismterms.adl.org/glossary/kevin-kjonaas</v>
      </c>
      <c r="F538" s="1" t="str" cm="1">
        <f t="array" ref="F538">_xlfn.LET(_xlpm.rowNum,MATCH(E538,'glossaryterms-export'!C:C,0),
IF(AND(NOT(ISBLANK(INDEX('glossaryterms-export'!H:H,_xlpm.rowNum))),ISBLANK(INDEX('glossaryterms-export'!I:I,_xlpm.rowNum))),"Ready to Fix",""))</f>
        <v/>
      </c>
      <c r="G538">
        <v>92</v>
      </c>
      <c r="H538">
        <v>81</v>
      </c>
      <c r="I538">
        <v>1.1358024691358</v>
      </c>
      <c r="J538">
        <v>15.061728395061699</v>
      </c>
      <c r="K538">
        <v>308</v>
      </c>
    </row>
    <row r="539" spans="1:11" ht="77.25">
      <c r="A539">
        <v>538</v>
      </c>
      <c r="B539" s="16"/>
      <c r="C539" t="s">
        <v>597</v>
      </c>
      <c r="D539" s="1"/>
      <c r="E539" s="1" t="str">
        <f>_xlfn.REGEXREPLACE(C539, "(.*)\/$", "https://extremismterms.adl.org\1")</f>
        <v>https://extremismterms.adl.org/glossary/proud-your-boy-poyb</v>
      </c>
      <c r="F539" s="1" t="str" cm="1">
        <f t="array" ref="F539">_xlfn.LET(_xlpm.rowNum,MATCH(E539,'glossaryterms-export'!C:C,0),
IF(AND(NOT(ISBLANK(INDEX('glossaryterms-export'!H:H,_xlpm.rowNum))),ISBLANK(INDEX('glossaryterms-export'!I:I,_xlpm.rowNum))),"Ready to Fix",""))</f>
        <v/>
      </c>
      <c r="G539">
        <v>92</v>
      </c>
      <c r="H539">
        <v>81</v>
      </c>
      <c r="I539">
        <v>1.1358024691358</v>
      </c>
      <c r="J539">
        <v>20.703703703703699</v>
      </c>
      <c r="K539">
        <v>324</v>
      </c>
    </row>
    <row r="540" spans="1:11" ht="61.5">
      <c r="A540">
        <v>539</v>
      </c>
      <c r="B540" s="14" t="s">
        <v>92</v>
      </c>
      <c r="C540" t="s">
        <v>598</v>
      </c>
      <c r="D540" s="1" t="s">
        <v>20</v>
      </c>
      <c r="E540" s="1" t="str">
        <f>_xlfn.REGEXREPLACE(C540, "(.*)\/$", "https://extremismterms.adl.org\1")</f>
        <v>https://extremismterms.adl.org/glossary/siegeculture</v>
      </c>
      <c r="F540" s="1" t="str" cm="1">
        <f t="array" ref="F540">_xlfn.LET(_xlpm.rowNum,MATCH(E540,'glossaryterms-export'!C:C,0),
IF(AND(NOT(ISBLANK(INDEX('glossaryterms-export'!H:H,_xlpm.rowNum))),ISBLANK(INDEX('glossaryterms-export'!I:I,_xlpm.rowNum))),"Ready to Fix",""))</f>
        <v/>
      </c>
      <c r="G540">
        <v>92</v>
      </c>
      <c r="H540">
        <v>79</v>
      </c>
      <c r="I540">
        <v>1.16455696202531</v>
      </c>
      <c r="J540">
        <v>14.4556962025316</v>
      </c>
      <c r="K540">
        <v>270</v>
      </c>
    </row>
    <row r="541" spans="1:11" ht="61.5">
      <c r="A541">
        <v>540</v>
      </c>
      <c r="B541" s="16"/>
      <c r="C541" t="s">
        <v>599</v>
      </c>
      <c r="D541" s="1"/>
      <c r="E541" s="1" t="str">
        <f>_xlfn.REGEXREPLACE(C541, "(.*)\/$", "https://extremismterms.adl.org\1")</f>
        <v>https://extremismterms.adl.org/glossary/white-separatism</v>
      </c>
      <c r="F541" s="1" t="str" cm="1">
        <f t="array" ref="F541">_xlfn.LET(_xlpm.rowNum,MATCH(E541,'glossaryterms-export'!C:C,0),
IF(AND(NOT(ISBLANK(INDEX('glossaryterms-export'!H:H,_xlpm.rowNum))),ISBLANK(INDEX('glossaryterms-export'!I:I,_xlpm.rowNum))),"Ready to Fix",""))</f>
        <v/>
      </c>
      <c r="G541">
        <v>92</v>
      </c>
      <c r="H541">
        <v>83</v>
      </c>
      <c r="I541">
        <v>1.1084337349397499</v>
      </c>
      <c r="J541">
        <v>19.7590361445783</v>
      </c>
      <c r="K541">
        <v>301</v>
      </c>
    </row>
    <row r="542" spans="1:11" ht="61.5">
      <c r="A542">
        <v>541</v>
      </c>
      <c r="B542" s="16"/>
      <c r="C542" t="s">
        <v>600</v>
      </c>
      <c r="D542" s="1"/>
      <c r="E542" s="1" t="str">
        <f>_xlfn.REGEXREPLACE(C542, "(.*)\/$", "https://extremismterms.adl.org\1")</f>
        <v>https://extremismterms.adl.org/glossary/don-black</v>
      </c>
      <c r="F542" s="1" t="str" cm="1">
        <f t="array" ref="F542">_xlfn.LET(_xlpm.rowNum,MATCH(E542,'glossaryterms-export'!C:C,0),
IF(AND(NOT(ISBLANK(INDEX('glossaryterms-export'!H:H,_xlpm.rowNum))),ISBLANK(INDEX('glossaryterms-export'!I:I,_xlpm.rowNum))),"Ready to Fix",""))</f>
        <v>Ready to Fix</v>
      </c>
      <c r="G542">
        <v>91</v>
      </c>
      <c r="H542">
        <v>87</v>
      </c>
      <c r="I542">
        <v>1.0459770114942499</v>
      </c>
      <c r="J542">
        <v>12.5977011494252</v>
      </c>
      <c r="K542">
        <v>219</v>
      </c>
    </row>
    <row r="543" spans="1:11" ht="61.5">
      <c r="A543">
        <v>542</v>
      </c>
      <c r="B543" s="16"/>
      <c r="C543" t="s">
        <v>601</v>
      </c>
      <c r="D543" s="1"/>
      <c r="E543" s="1" t="str">
        <f>_xlfn.REGEXREPLACE(C543, "(.*)\/$", "https://extremismterms.adl.org\1")</f>
        <v>https://extremismterms.adl.org/glossary/patriot-prayer</v>
      </c>
      <c r="F543" s="1" t="str" cm="1">
        <f t="array" ref="F543">_xlfn.LET(_xlpm.rowNum,MATCH(E543,'glossaryterms-export'!C:C,0),
IF(AND(NOT(ISBLANK(INDEX('glossaryterms-export'!H:H,_xlpm.rowNum))),ISBLANK(INDEX('glossaryterms-export'!I:I,_xlpm.rowNum))),"Ready to Fix",""))</f>
        <v/>
      </c>
      <c r="G543">
        <v>91</v>
      </c>
      <c r="H543">
        <v>66</v>
      </c>
      <c r="I543">
        <v>1.37878787878787</v>
      </c>
      <c r="J543">
        <v>29.2878787878787</v>
      </c>
      <c r="K543">
        <v>243</v>
      </c>
    </row>
    <row r="544" spans="1:11" ht="61.5">
      <c r="A544">
        <v>543</v>
      </c>
      <c r="B544" s="16"/>
      <c r="C544" t="s">
        <v>602</v>
      </c>
      <c r="D544" s="1"/>
      <c r="E544" s="1" t="str">
        <f>_xlfn.REGEXREPLACE(C544, "(.*)\/$", "https://extremismterms.adl.org\1")</f>
        <v>https://extremismterms.adl.org/glossary/gtkrwn</v>
      </c>
      <c r="F544" s="1" t="str" cm="1">
        <f t="array" ref="F544">_xlfn.LET(_xlpm.rowNum,MATCH(E544,'glossaryterms-export'!C:C,0),
IF(AND(NOT(ISBLANK(INDEX('glossaryterms-export'!H:H,_xlpm.rowNum))),ISBLANK(INDEX('glossaryterms-export'!I:I,_xlpm.rowNum))),"Ready to Fix",""))</f>
        <v>Ready to Fix</v>
      </c>
      <c r="G544">
        <v>90</v>
      </c>
      <c r="H544">
        <v>78</v>
      </c>
      <c r="I544">
        <v>1.15384615384615</v>
      </c>
      <c r="J544">
        <v>16.705128205128201</v>
      </c>
      <c r="K544">
        <v>226</v>
      </c>
    </row>
    <row r="545" spans="1:11" ht="61.5">
      <c r="A545">
        <v>544</v>
      </c>
      <c r="B545" s="16"/>
      <c r="C545" t="s">
        <v>603</v>
      </c>
      <c r="D545" s="1"/>
      <c r="E545" s="1" t="str">
        <f>_xlfn.REGEXREPLACE(C545, "(.*)\/$", "https://extremismterms.adl.org\1")</f>
        <v>https://extremismterms.adl.org/glossary/john-trochmann</v>
      </c>
      <c r="F545" s="1" t="str" cm="1">
        <f t="array" ref="F545">_xlfn.LET(_xlpm.rowNum,MATCH(E545,'glossaryterms-export'!C:C,0),
IF(AND(NOT(ISBLANK(INDEX('glossaryterms-export'!H:H,_xlpm.rowNum))),ISBLANK(INDEX('glossaryterms-export'!I:I,_xlpm.rowNum))),"Ready to Fix",""))</f>
        <v/>
      </c>
      <c r="G545">
        <v>90</v>
      </c>
      <c r="H545">
        <v>73</v>
      </c>
      <c r="I545">
        <v>1.2328767123287601</v>
      </c>
      <c r="J545">
        <v>25.7534246575342</v>
      </c>
      <c r="K545">
        <v>307</v>
      </c>
    </row>
    <row r="546" spans="1:11" ht="61.5">
      <c r="A546">
        <v>545</v>
      </c>
      <c r="B546" s="16"/>
      <c r="C546" t="s">
        <v>604</v>
      </c>
      <c r="D546" s="1"/>
      <c r="E546" s="1" t="str">
        <f>_xlfn.REGEXREPLACE(C546, "(.*)\/$", "https://extremismterms.adl.org\1")</f>
        <v>https://extremismterms.adl.org/glossary/steven-anderson</v>
      </c>
      <c r="F546" s="1" t="str" cm="1">
        <f t="array" ref="F546">_xlfn.LET(_xlpm.rowNum,MATCH(E546,'glossaryterms-export'!C:C,0),
IF(AND(NOT(ISBLANK(INDEX('glossaryterms-export'!H:H,_xlpm.rowNum))),ISBLANK(INDEX('glossaryterms-export'!I:I,_xlpm.rowNum))),"Ready to Fix",""))</f>
        <v/>
      </c>
      <c r="G546">
        <v>90</v>
      </c>
      <c r="H546">
        <v>83</v>
      </c>
      <c r="I546">
        <v>1.0843373493975901</v>
      </c>
      <c r="J546">
        <v>13.9638554216867</v>
      </c>
      <c r="K546">
        <v>282</v>
      </c>
    </row>
    <row r="547" spans="1:11" ht="61.5">
      <c r="A547">
        <v>546</v>
      </c>
      <c r="B547" s="16"/>
      <c r="C547" t="s">
        <v>605</v>
      </c>
      <c r="D547" s="1"/>
      <c r="E547" s="1" t="str">
        <f>_xlfn.REGEXREPLACE(C547, "(.*)\/$", "https://extremismterms.adl.org\1")</f>
        <v>https://extremismterms.adl.org/glossary/thomas-rousseau</v>
      </c>
      <c r="F547" s="1" t="str" cm="1">
        <f t="array" ref="F547">_xlfn.LET(_xlpm.rowNum,MATCH(E547,'glossaryterms-export'!C:C,0),
IF(AND(NOT(ISBLANK(INDEX('glossaryterms-export'!H:H,_xlpm.rowNum))),ISBLANK(INDEX('glossaryterms-export'!I:I,_xlpm.rowNum))),"Ready to Fix",""))</f>
        <v>Ready to Fix</v>
      </c>
      <c r="G547">
        <v>90</v>
      </c>
      <c r="H547">
        <v>81</v>
      </c>
      <c r="I547">
        <v>1.1111111111111101</v>
      </c>
      <c r="J547">
        <v>14.5555555555555</v>
      </c>
      <c r="K547">
        <v>267</v>
      </c>
    </row>
    <row r="548" spans="1:11" ht="77.25">
      <c r="A548">
        <v>547</v>
      </c>
      <c r="B548" s="16"/>
      <c r="C548" t="s">
        <v>606</v>
      </c>
      <c r="D548" s="1"/>
      <c r="E548" s="1" t="str">
        <f>_xlfn.REGEXREPLACE(C548, "(.*)\/$", "https://extremismterms.adl.org\1")</f>
        <v>https://extremismterms.adl.org/glossary/afghan-mujahideen</v>
      </c>
      <c r="F548" s="1" t="str" cm="1">
        <f t="array" ref="F548">_xlfn.LET(_xlpm.rowNum,MATCH(E548,'glossaryterms-export'!C:C,0),
IF(AND(NOT(ISBLANK(INDEX('glossaryterms-export'!H:H,_xlpm.rowNum))),ISBLANK(INDEX('glossaryterms-export'!I:I,_xlpm.rowNum))),"Ready to Fix",""))</f>
        <v/>
      </c>
      <c r="G548">
        <v>89</v>
      </c>
      <c r="H548">
        <v>88</v>
      </c>
      <c r="I548">
        <v>1.01136363636363</v>
      </c>
      <c r="J548">
        <v>11.795454545454501</v>
      </c>
      <c r="K548">
        <v>185</v>
      </c>
    </row>
    <row r="549" spans="1:11" ht="77.25">
      <c r="A549">
        <v>548</v>
      </c>
      <c r="B549" s="14" t="s">
        <v>495</v>
      </c>
      <c r="C549" t="s">
        <v>607</v>
      </c>
      <c r="D549" s="1" t="s">
        <v>20</v>
      </c>
      <c r="E549" s="1" t="str">
        <f>_xlfn.REGEXREPLACE(C549, "(.*)\/$", "https://extremismterms.adl.org\1")</f>
        <v>https://extremismterms.adl.org/glossary/christopher-cantwell</v>
      </c>
      <c r="F549" s="1" t="str" cm="1">
        <f t="array" ref="F549">_xlfn.LET(_xlpm.rowNum,MATCH(E549,'glossaryterms-export'!C:C,0),
IF(AND(NOT(ISBLANK(INDEX('glossaryterms-export'!H:H,_xlpm.rowNum))),ISBLANK(INDEX('glossaryterms-export'!I:I,_xlpm.rowNum))),"Ready to Fix",""))</f>
        <v/>
      </c>
      <c r="G549">
        <v>89</v>
      </c>
      <c r="H549">
        <v>84</v>
      </c>
      <c r="I549">
        <v>1.0595238095238</v>
      </c>
      <c r="J549">
        <v>15.035714285714199</v>
      </c>
      <c r="K549">
        <v>212</v>
      </c>
    </row>
    <row r="550" spans="1:11" ht="61.5">
      <c r="A550">
        <v>549</v>
      </c>
      <c r="B550" s="16"/>
      <c r="C550" t="s">
        <v>608</v>
      </c>
      <c r="D550" s="1"/>
      <c r="E550" s="1" t="str">
        <f>_xlfn.REGEXREPLACE(C550, "(.*)\/$", "https://extremismterms.adl.org\1")</f>
        <v>https://extremismterms.adl.org/glossary/enjoy-show</v>
      </c>
      <c r="F550" s="1" t="str" cm="1">
        <f t="array" ref="F550">_xlfn.LET(_xlpm.rowNum,MATCH(E550,'glossaryterms-export'!C:C,0),
IF(AND(NOT(ISBLANK(INDEX('glossaryterms-export'!H:H,_xlpm.rowNum))),ISBLANK(INDEX('glossaryterms-export'!I:I,_xlpm.rowNum))),"Ready to Fix",""))</f>
        <v/>
      </c>
      <c r="G550">
        <v>89</v>
      </c>
      <c r="H550">
        <v>80</v>
      </c>
      <c r="I550">
        <v>1.1125</v>
      </c>
      <c r="J550">
        <v>7.0374999999999996</v>
      </c>
      <c r="K550">
        <v>338</v>
      </c>
    </row>
    <row r="551" spans="1:11" ht="61.5">
      <c r="A551">
        <v>550</v>
      </c>
      <c r="B551" s="16"/>
      <c r="C551" t="s">
        <v>609</v>
      </c>
      <c r="D551" s="1"/>
      <c r="E551" s="1" t="str">
        <f>_xlfn.REGEXREPLACE(C551, "(.*)\/$", "https://extremismterms.adl.org\1")</f>
        <v>https://extremismterms.adl.org/glossary/patrick-crusius</v>
      </c>
      <c r="F551" s="1" t="str" cm="1">
        <f t="array" ref="F551">_xlfn.LET(_xlpm.rowNum,MATCH(E551,'glossaryterms-export'!C:C,0),
IF(AND(NOT(ISBLANK(INDEX('glossaryterms-export'!H:H,_xlpm.rowNum))),ISBLANK(INDEX('glossaryterms-export'!I:I,_xlpm.rowNum))),"Ready to Fix",""))</f>
        <v>Ready to Fix</v>
      </c>
      <c r="G551">
        <v>89</v>
      </c>
      <c r="H551">
        <v>75</v>
      </c>
      <c r="I551">
        <v>1.1866666666666601</v>
      </c>
      <c r="J551">
        <v>13.96</v>
      </c>
      <c r="K551">
        <v>199</v>
      </c>
    </row>
    <row r="552" spans="1:11" ht="61.5">
      <c r="A552">
        <v>551</v>
      </c>
      <c r="B552" s="16"/>
      <c r="C552" t="s">
        <v>610</v>
      </c>
      <c r="D552" s="1"/>
      <c r="E552" s="1" t="str">
        <f>_xlfn.REGEXREPLACE(C552, "(.*)\/$", "https://extremismterms.adl.org\1")</f>
        <v>https://extremismterms.adl.org/glossary/syringe-swastika-1</v>
      </c>
      <c r="F552" s="1" t="str" cm="1">
        <f t="array" ref="F552">_xlfn.LET(_xlpm.rowNum,MATCH(E552,'glossaryterms-export'!C:C,0),
IF(AND(NOT(ISBLANK(INDEX('glossaryterms-export'!H:H,_xlpm.rowNum))),ISBLANK(INDEX('glossaryterms-export'!I:I,_xlpm.rowNum))),"Ready to Fix",""))</f>
        <v/>
      </c>
      <c r="G552">
        <v>89</v>
      </c>
      <c r="H552">
        <v>86</v>
      </c>
      <c r="I552">
        <v>1.03488372093023</v>
      </c>
      <c r="J552">
        <v>15.2093023255813</v>
      </c>
      <c r="K552">
        <v>235</v>
      </c>
    </row>
    <row r="553" spans="1:11" ht="61.5">
      <c r="A553">
        <v>552</v>
      </c>
      <c r="B553" s="16"/>
      <c r="C553" t="s">
        <v>611</v>
      </c>
      <c r="D553" s="1"/>
      <c r="E553" s="1" t="str">
        <f>_xlfn.REGEXREPLACE(C553, "(.*)\/$", "https://extremismterms.adl.org\1")</f>
        <v>https://extremismterms.adl.org/glossary/tawhid-emoji</v>
      </c>
      <c r="F553" s="1" t="str" cm="1">
        <f t="array" ref="F553">_xlfn.LET(_xlpm.rowNum,MATCH(E553,'glossaryterms-export'!C:C,0),
IF(AND(NOT(ISBLANK(INDEX('glossaryterms-export'!H:H,_xlpm.rowNum))),ISBLANK(INDEX('glossaryterms-export'!I:I,_xlpm.rowNum))),"Ready to Fix",""))</f>
        <v/>
      </c>
      <c r="G553">
        <v>89</v>
      </c>
      <c r="H553">
        <v>81</v>
      </c>
      <c r="I553">
        <v>1.0987654320987601</v>
      </c>
      <c r="J553">
        <v>13.2962962962962</v>
      </c>
      <c r="K553">
        <v>265</v>
      </c>
    </row>
    <row r="554" spans="1:11" ht="61.5">
      <c r="A554">
        <v>553</v>
      </c>
      <c r="B554" s="16"/>
      <c r="C554" t="s">
        <v>612</v>
      </c>
      <c r="D554" s="1"/>
      <c r="E554" s="1" t="str">
        <f>_xlfn.REGEXREPLACE(C554, "(.*)\/$", "https://extremismterms.adl.org\1")</f>
        <v>https://extremismterms.adl.org/glossary/runic-writing</v>
      </c>
      <c r="F554" s="1" t="str" cm="1">
        <f t="array" ref="F554">_xlfn.LET(_xlpm.rowNum,MATCH(E554,'glossaryterms-export'!C:C,0),
IF(AND(NOT(ISBLANK(INDEX('glossaryterms-export'!H:H,_xlpm.rowNum))),ISBLANK(INDEX('glossaryterms-export'!I:I,_xlpm.rowNum))),"Ready to Fix",""))</f>
        <v>Ready to Fix</v>
      </c>
      <c r="G554">
        <v>88</v>
      </c>
      <c r="H554">
        <v>83</v>
      </c>
      <c r="I554">
        <v>1.06024096385542</v>
      </c>
      <c r="J554">
        <v>19.397590361445701</v>
      </c>
      <c r="K554">
        <v>238</v>
      </c>
    </row>
    <row r="555" spans="1:11" ht="77.25">
      <c r="A555">
        <v>554</v>
      </c>
      <c r="B555" s="16"/>
      <c r="C555" t="s">
        <v>613</v>
      </c>
      <c r="D555" s="1"/>
      <c r="E555" s="1" t="str">
        <f>_xlfn.REGEXREPLACE(C555, "(.*)\/$", "https://extremismterms.adl.org\1")</f>
        <v>https://extremismterms.adl.org/glossary/islamist-extremism</v>
      </c>
      <c r="F555" s="1" t="str" cm="1">
        <f t="array" ref="F555">_xlfn.LET(_xlpm.rowNum,MATCH(E555,'glossaryterms-export'!C:C,0),
IF(AND(NOT(ISBLANK(INDEX('glossaryterms-export'!H:H,_xlpm.rowNum))),ISBLANK(INDEX('glossaryterms-export'!I:I,_xlpm.rowNum))),"Ready to Fix",""))</f>
        <v/>
      </c>
      <c r="G555">
        <v>87</v>
      </c>
      <c r="H555">
        <v>81</v>
      </c>
      <c r="I555">
        <v>1.07407407407407</v>
      </c>
      <c r="J555">
        <v>29.703703703703699</v>
      </c>
      <c r="K555">
        <v>239</v>
      </c>
    </row>
    <row r="556" spans="1:11" ht="61.5">
      <c r="A556">
        <v>555</v>
      </c>
      <c r="B556" s="16"/>
      <c r="C556" t="s">
        <v>614</v>
      </c>
      <c r="D556" s="1"/>
      <c r="E556" s="1" t="str">
        <f>_xlfn.REGEXREPLACE(C556, "(.*)\/$", "https://extremismterms.adl.org\1")</f>
        <v>https://extremismterms.adl.org/glossary/we-media</v>
      </c>
      <c r="F556" s="1" t="str" cm="1">
        <f t="array" ref="F556">_xlfn.LET(_xlpm.rowNum,MATCH(E556,'glossaryterms-export'!C:C,0),
IF(AND(NOT(ISBLANK(INDEX('glossaryterms-export'!H:H,_xlpm.rowNum))),ISBLANK(INDEX('glossaryterms-export'!I:I,_xlpm.rowNum))),"Ready to Fix",""))</f>
        <v/>
      </c>
      <c r="G556">
        <v>87</v>
      </c>
      <c r="H556">
        <v>77</v>
      </c>
      <c r="I556">
        <v>1.12987013</v>
      </c>
      <c r="J556">
        <v>21.324675324675301</v>
      </c>
      <c r="K556">
        <v>310</v>
      </c>
    </row>
    <row r="557" spans="1:11" ht="108">
      <c r="A557">
        <v>556</v>
      </c>
      <c r="B557" s="16"/>
      <c r="C557" t="s">
        <v>615</v>
      </c>
      <c r="D557" s="1"/>
      <c r="E557" s="1" t="str">
        <f>_xlfn.REGEXREPLACE(C557, "(.*)\/$", "https://extremismterms.adl.org\1")</f>
        <v>https://extremismterms.adl.org/glossary/abdul-malik-sayyid-muhammad-aka-tony-muhammad</v>
      </c>
      <c r="F557" s="1" t="str" cm="1">
        <f t="array" ref="F557">_xlfn.LET(_xlpm.rowNum,MATCH(E557,'glossaryterms-export'!C:C,0),
IF(AND(NOT(ISBLANK(INDEX('glossaryterms-export'!H:H,_xlpm.rowNum))),ISBLANK(INDEX('glossaryterms-export'!I:I,_xlpm.rowNum))),"Ready to Fix",""))</f>
        <v>Ready to Fix</v>
      </c>
      <c r="G557">
        <v>86</v>
      </c>
      <c r="H557">
        <v>77</v>
      </c>
      <c r="I557">
        <v>1.1168831168831099</v>
      </c>
      <c r="J557">
        <v>21.415584415584402</v>
      </c>
      <c r="K557">
        <v>309</v>
      </c>
    </row>
    <row r="558" spans="1:11" ht="61.5">
      <c r="A558">
        <v>557</v>
      </c>
      <c r="B558" s="11" t="s">
        <v>223</v>
      </c>
      <c r="C558" t="s">
        <v>616</v>
      </c>
      <c r="D558" s="1" t="s">
        <v>20</v>
      </c>
      <c r="E558" s="1" t="str">
        <f>_xlfn.REGEXREPLACE(C558, "(.*)\/$", "https://extremismterms.adl.org\1")</f>
        <v>https://extremismterms.adl.org/glossary/siege-pill</v>
      </c>
      <c r="F558" s="1" t="str" cm="1">
        <f t="array" ref="F558">_xlfn.LET(_xlpm.rowNum,MATCH(E558,'glossaryterms-export'!C:C,0),
IF(AND(NOT(ISBLANK(INDEX('glossaryterms-export'!H:H,_xlpm.rowNum))),ISBLANK(INDEX('glossaryterms-export'!I:I,_xlpm.rowNum))),"Ready to Fix",""))</f>
        <v/>
      </c>
      <c r="G558">
        <v>86</v>
      </c>
      <c r="H558">
        <v>73</v>
      </c>
      <c r="I558">
        <v>1.17808219178082</v>
      </c>
      <c r="J558">
        <v>12.301369863013599</v>
      </c>
      <c r="K558">
        <v>275</v>
      </c>
    </row>
    <row r="559" spans="1:11" ht="61.5">
      <c r="A559">
        <v>558</v>
      </c>
      <c r="B559" s="16"/>
      <c r="C559" t="s">
        <v>617</v>
      </c>
      <c r="D559" s="1"/>
      <c r="E559" s="1" t="str">
        <f>_xlfn.REGEXREPLACE(C559, "(.*)\/$", "https://extremismterms.adl.org\1")</f>
        <v>https://extremismterms.adl.org/glossary/black-flags</v>
      </c>
      <c r="F559" s="1" t="str" cm="1">
        <f t="array" ref="F559">_xlfn.LET(_xlpm.rowNum,MATCH(E559,'glossaryterms-export'!C:C,0),
IF(AND(NOT(ISBLANK(INDEX('glossaryterms-export'!H:H,_xlpm.rowNum))),ISBLANK(INDEX('glossaryterms-export'!I:I,_xlpm.rowNum))),"Ready to Fix",""))</f>
        <v/>
      </c>
      <c r="G559">
        <v>85</v>
      </c>
      <c r="H559">
        <v>80</v>
      </c>
      <c r="I559">
        <v>1.0625</v>
      </c>
      <c r="J559">
        <v>16.237500000000001</v>
      </c>
      <c r="K559">
        <v>199</v>
      </c>
    </row>
    <row r="560" spans="1:11" ht="61.5">
      <c r="A560">
        <v>559</v>
      </c>
      <c r="B560" s="16"/>
      <c r="C560" t="s">
        <v>618</v>
      </c>
      <c r="D560" s="1"/>
      <c r="E560" s="1" t="str">
        <f>_xlfn.REGEXREPLACE(C560, "(.*)\/$", "https://extremismterms.adl.org\1")</f>
        <v>https://extremismterms.adl.org/glossary/elijah-muhammad</v>
      </c>
      <c r="F560" s="1" t="str" cm="1">
        <f t="array" ref="F560">_xlfn.LET(_xlpm.rowNum,MATCH(E560,'glossaryterms-export'!C:C,0),
IF(AND(NOT(ISBLANK(INDEX('glossaryterms-export'!H:H,_xlpm.rowNum))),ISBLANK(INDEX('glossaryterms-export'!I:I,_xlpm.rowNum))),"Ready to Fix",""))</f>
        <v>Ready to Fix</v>
      </c>
      <c r="G560">
        <v>85</v>
      </c>
      <c r="H560">
        <v>84</v>
      </c>
      <c r="I560">
        <v>1.0119047619047601</v>
      </c>
      <c r="J560">
        <v>14.761904761904701</v>
      </c>
      <c r="K560">
        <v>229</v>
      </c>
    </row>
    <row r="561" spans="1:11" ht="61.5">
      <c r="A561">
        <v>560</v>
      </c>
      <c r="B561" s="14" t="s">
        <v>495</v>
      </c>
      <c r="C561" t="s">
        <v>619</v>
      </c>
      <c r="D561" s="1" t="s">
        <v>20</v>
      </c>
      <c r="E561" s="1" t="str">
        <f>_xlfn.REGEXREPLACE(C561, "(.*)\/$", "https://extremismterms.adl.org\1")</f>
        <v>https://extremismterms.adl.org/glossary/mike-peinovich</v>
      </c>
      <c r="F561" s="1" t="str" cm="1">
        <f t="array" ref="F561">_xlfn.LET(_xlpm.rowNum,MATCH(E561,'glossaryterms-export'!C:C,0),
IF(AND(NOT(ISBLANK(INDEX('glossaryterms-export'!H:H,_xlpm.rowNum))),ISBLANK(INDEX('glossaryterms-export'!I:I,_xlpm.rowNum))),"Ready to Fix",""))</f>
        <v/>
      </c>
      <c r="G561">
        <v>85</v>
      </c>
      <c r="H561">
        <v>70</v>
      </c>
      <c r="I561">
        <v>1.21428571428571</v>
      </c>
      <c r="J561">
        <v>12.328571428571401</v>
      </c>
      <c r="K561">
        <v>243</v>
      </c>
    </row>
    <row r="562" spans="1:11" ht="61.5">
      <c r="A562">
        <v>561</v>
      </c>
      <c r="B562" s="16"/>
      <c r="C562" t="s">
        <v>620</v>
      </c>
      <c r="D562" s="1"/>
      <c r="E562" s="1" t="str">
        <f>_xlfn.REGEXREPLACE(C562, "(.*)\/$", "https://extremismterms.adl.org\1")</f>
        <v>https://extremismterms.adl.org/glossary/thors-hammer</v>
      </c>
      <c r="F562" s="1" t="str" cm="1">
        <f t="array" ref="F562">_xlfn.LET(_xlpm.rowNum,MATCH(E562,'glossaryterms-export'!C:C,0),
IF(AND(NOT(ISBLANK(INDEX('glossaryterms-export'!H:H,_xlpm.rowNum))),ISBLANK(INDEX('glossaryterms-export'!I:I,_xlpm.rowNum))),"Ready to Fix",""))</f>
        <v>Ready to Fix</v>
      </c>
      <c r="G562">
        <v>85</v>
      </c>
      <c r="H562">
        <v>79</v>
      </c>
      <c r="I562">
        <v>1.0759493670886</v>
      </c>
      <c r="J562">
        <v>19.481012658227801</v>
      </c>
      <c r="K562">
        <v>216</v>
      </c>
    </row>
    <row r="563" spans="1:11" ht="61.5">
      <c r="A563">
        <v>562</v>
      </c>
      <c r="B563" s="16"/>
      <c r="C563" t="s">
        <v>621</v>
      </c>
      <c r="D563" s="1"/>
      <c r="E563" s="1" t="str">
        <f>_xlfn.REGEXREPLACE(C563, "(.*)\/$", "https://extremismterms.adl.org\1")</f>
        <v>https://extremismterms.adl.org/glossary/211-crew</v>
      </c>
      <c r="F563" s="1" t="str" cm="1">
        <f t="array" ref="F563">_xlfn.LET(_xlpm.rowNum,MATCH(E563,'glossaryterms-export'!C:C,0),
IF(AND(NOT(ISBLANK(INDEX('glossaryterms-export'!H:H,_xlpm.rowNum))),ISBLANK(INDEX('glossaryterms-export'!I:I,_xlpm.rowNum))),"Ready to Fix",""))</f>
        <v>Ready to Fix</v>
      </c>
      <c r="G563">
        <v>84</v>
      </c>
      <c r="H563">
        <v>79</v>
      </c>
      <c r="I563">
        <v>1.0632911392405</v>
      </c>
      <c r="J563">
        <v>28.582278481012601</v>
      </c>
      <c r="K563">
        <v>209</v>
      </c>
    </row>
    <row r="564" spans="1:11" ht="61.5">
      <c r="A564">
        <v>563</v>
      </c>
      <c r="B564" s="16"/>
      <c r="C564" t="s">
        <v>622</v>
      </c>
      <c r="D564" s="1"/>
      <c r="E564" s="1" t="str">
        <f>_xlfn.REGEXREPLACE(C564, "(.*)\/$", "https://extremismterms.adl.org\1")</f>
        <v>https://extremismterms.adl.org/glossary/act-america</v>
      </c>
      <c r="F564" s="1" t="str" cm="1">
        <f t="array" ref="F564">_xlfn.LET(_xlpm.rowNum,MATCH(E564,'glossaryterms-export'!C:C,0),
IF(AND(NOT(ISBLANK(INDEX('glossaryterms-export'!H:H,_xlpm.rowNum))),ISBLANK(INDEX('glossaryterms-export'!I:I,_xlpm.rowNum))),"Ready to Fix",""))</f>
        <v>Ready to Fix</v>
      </c>
      <c r="G564">
        <v>84</v>
      </c>
      <c r="H564">
        <v>75</v>
      </c>
      <c r="I564">
        <v>1.1200000000000001</v>
      </c>
      <c r="J564">
        <v>13.8266666666666</v>
      </c>
      <c r="K564">
        <v>228</v>
      </c>
    </row>
    <row r="565" spans="1:11" ht="77.25">
      <c r="A565">
        <v>564</v>
      </c>
      <c r="B565" s="16"/>
      <c r="C565" t="s">
        <v>623</v>
      </c>
      <c r="D565" s="1"/>
      <c r="E565" s="1" t="str">
        <f>_xlfn.REGEXREPLACE(C565, "(.*)\/$", "https://extremismterms.adl.org\1")</f>
        <v>https://extremismterms.adl.org/glossary/michael-brian-vanderboegh</v>
      </c>
      <c r="F565" s="1" t="str" cm="1">
        <f t="array" ref="F565">_xlfn.LET(_xlpm.rowNum,MATCH(E565,'glossaryterms-export'!C:C,0),
IF(AND(NOT(ISBLANK(INDEX('glossaryterms-export'!H:H,_xlpm.rowNum))),ISBLANK(INDEX('glossaryterms-export'!I:I,_xlpm.rowNum))),"Ready to Fix",""))</f>
        <v>Ready to Fix</v>
      </c>
      <c r="G565">
        <v>84</v>
      </c>
      <c r="H565">
        <v>78</v>
      </c>
      <c r="I565">
        <v>1.07692307692307</v>
      </c>
      <c r="J565">
        <v>24.846153846153801</v>
      </c>
      <c r="K565">
        <v>351</v>
      </c>
    </row>
    <row r="566" spans="1:11" ht="77.25">
      <c r="A566">
        <v>565</v>
      </c>
      <c r="B566" s="14" t="s">
        <v>25</v>
      </c>
      <c r="C566" t="s">
        <v>624</v>
      </c>
      <c r="D566" s="1" t="s">
        <v>20</v>
      </c>
      <c r="E566" s="1" t="str">
        <f>_xlfn.REGEXREPLACE(C566, "(.*)\/$", "https://extremismterms.adl.org\1")</f>
        <v>https://extremismterms.adl.org/glossary/missing-13th-amendment</v>
      </c>
      <c r="F566" s="1" t="str" cm="1">
        <f t="array" ref="F566">_xlfn.LET(_xlpm.rowNum,MATCH(E566,'glossaryterms-export'!C:C,0),
IF(AND(NOT(ISBLANK(INDEX('glossaryterms-export'!H:H,_xlpm.rowNum))),ISBLANK(INDEX('glossaryterms-export'!I:I,_xlpm.rowNum))),"Ready to Fix",""))</f>
        <v>Ready to Fix</v>
      </c>
      <c r="G566">
        <v>84</v>
      </c>
      <c r="H566">
        <v>80</v>
      </c>
      <c r="I566">
        <v>1.05</v>
      </c>
      <c r="J566">
        <v>22.25</v>
      </c>
      <c r="K566">
        <v>244</v>
      </c>
    </row>
    <row r="567" spans="1:11" ht="77.25">
      <c r="A567">
        <v>566</v>
      </c>
      <c r="B567" s="16"/>
      <c r="C567" t="s">
        <v>625</v>
      </c>
      <c r="D567" s="1"/>
      <c r="E567" s="1" t="str">
        <f>_xlfn.REGEXREPLACE(C567, "(.*)\/$", "https://extremismterms.adl.org\1")</f>
        <v>https://extremismterms.adl.org/glossary/atlantic-city-skinheads</v>
      </c>
      <c r="F567" s="1" t="str" cm="1">
        <f t="array" ref="F567">_xlfn.LET(_xlpm.rowNum,MATCH(E567,'glossaryterms-export'!C:C,0),
IF(AND(NOT(ISBLANK(INDEX('glossaryterms-export'!H:H,_xlpm.rowNum))),ISBLANK(INDEX('glossaryterms-export'!I:I,_xlpm.rowNum))),"Ready to Fix",""))</f>
        <v>Ready to Fix</v>
      </c>
      <c r="G567">
        <v>83</v>
      </c>
      <c r="H567">
        <v>67</v>
      </c>
      <c r="I567">
        <v>1.23880597014925</v>
      </c>
      <c r="J567">
        <v>19.328358208955201</v>
      </c>
      <c r="K567">
        <v>243</v>
      </c>
    </row>
    <row r="568" spans="1:11" ht="61.5">
      <c r="A568">
        <v>567</v>
      </c>
      <c r="B568" s="16"/>
      <c r="C568" t="s">
        <v>626</v>
      </c>
      <c r="D568" s="1"/>
      <c r="E568" s="1" t="str">
        <f>_xlfn.REGEXREPLACE(C568, "(.*)\/$", "https://extremismterms.adl.org\1")</f>
        <v>https://extremismterms.adl.org/glossary/blood-drop-cross</v>
      </c>
      <c r="F568" s="1" t="str" cm="1">
        <f t="array" ref="F568">_xlfn.LET(_xlpm.rowNum,MATCH(E568,'glossaryterms-export'!C:C,0),
IF(AND(NOT(ISBLANK(INDEX('glossaryterms-export'!H:H,_xlpm.rowNum))),ISBLANK(INDEX('glossaryterms-export'!I:I,_xlpm.rowNum))),"Ready to Fix",""))</f>
        <v>Ready to Fix</v>
      </c>
      <c r="G568">
        <v>83</v>
      </c>
      <c r="H568">
        <v>71</v>
      </c>
      <c r="I568">
        <v>1.16901408450704</v>
      </c>
      <c r="J568">
        <v>46.830985915492903</v>
      </c>
      <c r="K568">
        <v>236</v>
      </c>
    </row>
    <row r="569" spans="1:11" ht="61.5">
      <c r="A569">
        <v>568</v>
      </c>
      <c r="B569" s="16"/>
      <c r="C569" t="s">
        <v>627</v>
      </c>
      <c r="D569" s="1"/>
      <c r="E569" s="1" t="str">
        <f>_xlfn.REGEXREPLACE(C569, "(.*)\/$", "https://extremismterms.adl.org\1")</f>
        <v>https://extremismterms.adl.org/glossary/jogger</v>
      </c>
      <c r="F569" s="1" t="str" cm="1">
        <f t="array" ref="F569">_xlfn.LET(_xlpm.rowNum,MATCH(E569,'glossaryterms-export'!C:C,0),
IF(AND(NOT(ISBLANK(INDEX('glossaryterms-export'!H:H,_xlpm.rowNum))),ISBLANK(INDEX('glossaryterms-export'!I:I,_xlpm.rowNum))),"Ready to Fix",""))</f>
        <v/>
      </c>
      <c r="G569">
        <v>83</v>
      </c>
      <c r="H569">
        <v>66</v>
      </c>
      <c r="I569">
        <v>1.25757575757575</v>
      </c>
      <c r="J569">
        <v>12</v>
      </c>
      <c r="K569">
        <v>242</v>
      </c>
    </row>
    <row r="570" spans="1:11" ht="61.5">
      <c r="A570">
        <v>569</v>
      </c>
      <c r="B570" s="16"/>
      <c r="C570" t="s">
        <v>628</v>
      </c>
      <c r="D570" s="1"/>
      <c r="E570" s="1" t="str">
        <f>_xlfn.REGEXREPLACE(C570, "(.*)\/$", "https://extremismterms.adl.org\1")</f>
        <v>https://extremismterms.adl.org/glossary/plandemic</v>
      </c>
      <c r="F570" s="1" t="str" cm="1">
        <f t="array" ref="F570">_xlfn.LET(_xlpm.rowNum,MATCH(E570,'glossaryterms-export'!C:C,0),
IF(AND(NOT(ISBLANK(INDEX('glossaryterms-export'!H:H,_xlpm.rowNum))),ISBLANK(INDEX('glossaryterms-export'!I:I,_xlpm.rowNum))),"Ready to Fix",""))</f>
        <v/>
      </c>
      <c r="G570">
        <v>83</v>
      </c>
      <c r="H570">
        <v>77</v>
      </c>
      <c r="I570">
        <v>1.07792207792207</v>
      </c>
      <c r="J570">
        <v>13.467532467532401</v>
      </c>
      <c r="K570">
        <v>189</v>
      </c>
    </row>
    <row r="571" spans="1:11" ht="61.5">
      <c r="A571">
        <v>570</v>
      </c>
      <c r="B571" s="16"/>
      <c r="C571" t="s">
        <v>629</v>
      </c>
      <c r="D571" s="1"/>
      <c r="E571" s="1" t="str">
        <f>_xlfn.REGEXREPLACE(C571, "(.*)\/$", "https://extremismterms.adl.org\1")</f>
        <v>https://extremismterms.adl.org/glossary/robert-spencer</v>
      </c>
      <c r="F571" s="1" t="str" cm="1">
        <f t="array" ref="F571">_xlfn.LET(_xlpm.rowNum,MATCH(E571,'glossaryterms-export'!C:C,0),
IF(AND(NOT(ISBLANK(INDEX('glossaryterms-export'!H:H,_xlpm.rowNum))),ISBLANK(INDEX('glossaryterms-export'!I:I,_xlpm.rowNum))),"Ready to Fix",""))</f>
        <v/>
      </c>
      <c r="G571">
        <v>83</v>
      </c>
      <c r="H571">
        <v>70</v>
      </c>
      <c r="I571">
        <v>1.1857142857142799</v>
      </c>
      <c r="J571">
        <v>19.885714285714201</v>
      </c>
      <c r="K571">
        <v>250</v>
      </c>
    </row>
    <row r="572" spans="1:11" ht="77.25">
      <c r="A572">
        <v>571</v>
      </c>
      <c r="B572" s="16"/>
      <c r="C572" t="s">
        <v>630</v>
      </c>
      <c r="D572" s="1"/>
      <c r="E572" s="1" t="str">
        <f>_xlfn.REGEXREPLACE(C572, "(.*)\/$", "https://extremismterms.adl.org\1")</f>
        <v>https://extremismterms.adl.org/glossary/good-habits-bad-boys</v>
      </c>
      <c r="F572" s="1" t="str" cm="1">
        <f t="array" ref="F572">_xlfn.LET(_xlpm.rowNum,MATCH(E572,'glossaryterms-export'!C:C,0),
IF(AND(NOT(ISBLANK(INDEX('glossaryterms-export'!H:H,_xlpm.rowNum))),ISBLANK(INDEX('glossaryterms-export'!I:I,_xlpm.rowNum))),"Ready to Fix",""))</f>
        <v/>
      </c>
      <c r="G572">
        <v>82</v>
      </c>
      <c r="H572">
        <v>72</v>
      </c>
      <c r="I572">
        <v>1.13888888888888</v>
      </c>
      <c r="J572">
        <v>15.125</v>
      </c>
      <c r="K572">
        <v>283</v>
      </c>
    </row>
    <row r="573" spans="1:11" ht="92.25">
      <c r="A573">
        <v>572</v>
      </c>
      <c r="B573" s="16"/>
      <c r="C573" t="s">
        <v>631</v>
      </c>
      <c r="D573" s="1"/>
      <c r="E573" s="1" t="str">
        <f>_xlfn.REGEXREPLACE(C573, "(.*)\/$", "https://extremismterms.adl.org\1")</f>
        <v>https://extremismterms.adl.org/glossary/islamic-revolutionary-guard-corps-irgc</v>
      </c>
      <c r="F573" s="1" t="str" cm="1">
        <f t="array" ref="F573">_xlfn.LET(_xlpm.rowNum,MATCH(E573,'glossaryterms-export'!C:C,0),
IF(AND(NOT(ISBLANK(INDEX('glossaryterms-export'!H:H,_xlpm.rowNum))),ISBLANK(INDEX('glossaryterms-export'!I:I,_xlpm.rowNum))),"Ready to Fix",""))</f>
        <v/>
      </c>
      <c r="G573">
        <v>82</v>
      </c>
      <c r="H573">
        <v>77</v>
      </c>
      <c r="I573">
        <v>1.06493506493506</v>
      </c>
      <c r="J573">
        <v>22.194805194805099</v>
      </c>
      <c r="K573">
        <v>245</v>
      </c>
    </row>
    <row r="574" spans="1:11" ht="77.25">
      <c r="A574">
        <v>573</v>
      </c>
      <c r="B574" s="16"/>
      <c r="C574" t="s">
        <v>632</v>
      </c>
      <c r="D574" s="1"/>
      <c r="E574" s="1" t="str">
        <f>_xlfn.REGEXREPLACE(C574, "(.*)\/$", "https://extremismterms.adl.org\1")</f>
        <v>https://extremismterms.adl.org/glossary/protocols-elders-zion</v>
      </c>
      <c r="F574" s="1" t="str" cm="1">
        <f t="array" ref="F574">_xlfn.LET(_xlpm.rowNum,MATCH(E574,'glossaryterms-export'!C:C,0),
IF(AND(NOT(ISBLANK(INDEX('glossaryterms-export'!H:H,_xlpm.rowNum))),ISBLANK(INDEX('glossaryterms-export'!I:I,_xlpm.rowNum))),"Ready to Fix",""))</f>
        <v>Ready to Fix</v>
      </c>
      <c r="G574">
        <v>82</v>
      </c>
      <c r="H574">
        <v>71</v>
      </c>
      <c r="I574">
        <v>1.1549295774647801</v>
      </c>
      <c r="J574">
        <v>21.943661971830899</v>
      </c>
      <c r="K574">
        <v>235</v>
      </c>
    </row>
    <row r="575" spans="1:11" ht="61.5">
      <c r="A575">
        <v>574</v>
      </c>
      <c r="B575" s="16"/>
      <c r="C575" t="s">
        <v>633</v>
      </c>
      <c r="D575" s="1"/>
      <c r="E575" s="1" t="str">
        <f>_xlfn.REGEXREPLACE(C575, "(.*)\/$", "https://extremismterms.adl.org\1")</f>
        <v>https://extremismterms.adl.org/glossary/robert-warren-ray</v>
      </c>
      <c r="F575" s="1" t="str" cm="1">
        <f t="array" ref="F575">_xlfn.LET(_xlpm.rowNum,MATCH(E575,'glossaryterms-export'!C:C,0),
IF(AND(NOT(ISBLANK(INDEX('glossaryterms-export'!H:H,_xlpm.rowNum))),ISBLANK(INDEX('glossaryterms-export'!I:I,_xlpm.rowNum))),"Ready to Fix",""))</f>
        <v/>
      </c>
      <c r="G575">
        <v>82</v>
      </c>
      <c r="H575">
        <v>74</v>
      </c>
      <c r="I575">
        <v>1.1081081081080999</v>
      </c>
      <c r="J575">
        <v>18.445945945945901</v>
      </c>
      <c r="K575">
        <v>298</v>
      </c>
    </row>
    <row r="576" spans="1:11" ht="77.25">
      <c r="A576">
        <v>575</v>
      </c>
      <c r="B576" s="16"/>
      <c r="C576" t="s">
        <v>634</v>
      </c>
      <c r="D576" s="1"/>
      <c r="E576" s="1" t="str">
        <f>_xlfn.REGEXREPLACE(C576, "(.*)\/$", "https://extremismterms.adl.org\1")</f>
        <v>https://extremismterms.adl.org/glossary/united-nations-turtle-island-unoti</v>
      </c>
      <c r="F576" s="1" t="str" cm="1">
        <f t="array" ref="F576">_xlfn.LET(_xlpm.rowNum,MATCH(E576,'glossaryterms-export'!C:C,0),
IF(AND(NOT(ISBLANK(INDEX('glossaryterms-export'!H:H,_xlpm.rowNum))),ISBLANK(INDEX('glossaryterms-export'!I:I,_xlpm.rowNum))),"Ready to Fix",""))</f>
        <v/>
      </c>
      <c r="G576">
        <v>82</v>
      </c>
      <c r="H576">
        <v>64</v>
      </c>
      <c r="I576">
        <v>1.28125</v>
      </c>
      <c r="J576">
        <v>33.15625</v>
      </c>
      <c r="K576">
        <v>313</v>
      </c>
    </row>
    <row r="577" spans="1:11" ht="77.25">
      <c r="A577">
        <v>576</v>
      </c>
      <c r="B577" s="14" t="s">
        <v>15</v>
      </c>
      <c r="C577" t="s">
        <v>635</v>
      </c>
      <c r="D577" s="1" t="s">
        <v>20</v>
      </c>
      <c r="E577" s="1" t="str">
        <f>_xlfn.REGEXREPLACE(C577, "(.*)\/$", "https://extremismterms.adl.org\1")</f>
        <v>https://extremismterms.adl.org/glossary/sealed-indictments</v>
      </c>
      <c r="F577" s="1" t="str" cm="1">
        <f t="array" ref="F577">_xlfn.LET(_xlpm.rowNum,MATCH(E577,'glossaryterms-export'!C:C,0),
IF(AND(NOT(ISBLANK(INDEX('glossaryterms-export'!H:H,_xlpm.rowNum))),ISBLANK(INDEX('glossaryterms-export'!I:I,_xlpm.rowNum))),"Ready to Fix",""))</f>
        <v/>
      </c>
      <c r="G577">
        <v>81</v>
      </c>
      <c r="H577">
        <v>75</v>
      </c>
      <c r="I577">
        <v>1.08</v>
      </c>
      <c r="J577">
        <v>15.88</v>
      </c>
      <c r="K577">
        <v>198</v>
      </c>
    </row>
    <row r="578" spans="1:11" ht="77.25">
      <c r="A578">
        <v>577</v>
      </c>
      <c r="B578" s="16"/>
      <c r="C578" t="s">
        <v>636</v>
      </c>
      <c r="D578" s="1"/>
      <c r="E578" s="1" t="str">
        <f>_xlfn.REGEXREPLACE(C578, "(.*)\/$", "https://extremismterms.adl.org\1")</f>
        <v>https://extremismterms.adl.org/glossary/anti-racist-code-anti-white</v>
      </c>
      <c r="F578" s="1" t="str" cm="1">
        <f t="array" ref="F578">_xlfn.LET(_xlpm.rowNum,MATCH(E578,'glossaryterms-export'!C:C,0),
IF(AND(NOT(ISBLANK(INDEX('glossaryterms-export'!H:H,_xlpm.rowNum))),ISBLANK(INDEX('glossaryterms-export'!I:I,_xlpm.rowNum))),"Ready to Fix",""))</f>
        <v>Ready to Fix</v>
      </c>
      <c r="G578">
        <v>80</v>
      </c>
      <c r="H578">
        <v>78</v>
      </c>
      <c r="I578">
        <v>1.02564102564102</v>
      </c>
      <c r="J578">
        <v>15.205128205128201</v>
      </c>
      <c r="K578">
        <v>212</v>
      </c>
    </row>
    <row r="579" spans="1:11" ht="77.25">
      <c r="A579">
        <v>578</v>
      </c>
      <c r="B579" s="16"/>
      <c r="C579" t="s">
        <v>637</v>
      </c>
      <c r="D579" s="1"/>
      <c r="E579" s="1" t="str">
        <f>_xlfn.REGEXREPLACE(C579, "(.*)\/$", "https://extremismterms.adl.org\1")</f>
        <v>https://extremismterms.adl.org/glossary/hakenkreuz-skinheads</v>
      </c>
      <c r="F579" s="1" t="str" cm="1">
        <f t="array" ref="F579">_xlfn.LET(_xlpm.rowNum,MATCH(E579,'glossaryterms-export'!C:C,0),
IF(AND(NOT(ISBLANK(INDEX('glossaryterms-export'!H:H,_xlpm.rowNum))),ISBLANK(INDEX('glossaryterms-export'!I:I,_xlpm.rowNum))),"Ready to Fix",""))</f>
        <v>Ready to Fix</v>
      </c>
      <c r="G579">
        <v>80</v>
      </c>
      <c r="H579">
        <v>71</v>
      </c>
      <c r="I579">
        <v>1.12676056338028</v>
      </c>
      <c r="J579">
        <v>23.0704225352112</v>
      </c>
      <c r="K579">
        <v>226</v>
      </c>
    </row>
    <row r="580" spans="1:11" ht="61.5">
      <c r="A580">
        <v>579</v>
      </c>
      <c r="B580" s="16"/>
      <c r="C580" t="s">
        <v>638</v>
      </c>
      <c r="D580" s="1"/>
      <c r="E580" s="1" t="str">
        <f>_xlfn.REGEXREPLACE(C580, "(.*)\/$", "https://extremismterms.adl.org\1")</f>
        <v>https://extremismterms.adl.org/glossary/ian-stuart-donaldson</v>
      </c>
      <c r="F580" s="1" t="str" cm="1">
        <f t="array" ref="F580">_xlfn.LET(_xlpm.rowNum,MATCH(E580,'glossaryterms-export'!C:C,0),
IF(AND(NOT(ISBLANK(INDEX('glossaryterms-export'!H:H,_xlpm.rowNum))),ISBLANK(INDEX('glossaryterms-export'!I:I,_xlpm.rowNum))),"Ready to Fix",""))</f>
        <v>Ready to Fix</v>
      </c>
      <c r="G580">
        <v>80</v>
      </c>
      <c r="H580">
        <v>71</v>
      </c>
      <c r="I580">
        <v>1.12676056338028</v>
      </c>
      <c r="J580">
        <v>15.225352112675999</v>
      </c>
      <c r="K580">
        <v>275</v>
      </c>
    </row>
    <row r="581" spans="1:11" ht="77.25">
      <c r="A581">
        <v>580</v>
      </c>
      <c r="B581" s="16"/>
      <c r="C581" t="s">
        <v>639</v>
      </c>
      <c r="D581" s="1"/>
      <c r="E581" s="1" t="str">
        <f>_xlfn.REGEXREPLACE(C581, "(.*)\/$", "https://extremismterms.adl.org\1")</f>
        <v>https://extremismterms.adl.org/glossary/jean-francois-gariepy-0</v>
      </c>
      <c r="F581" s="1" t="str" cm="1">
        <f t="array" ref="F581">_xlfn.LET(_xlpm.rowNum,MATCH(E581,'glossaryterms-export'!C:C,0),
IF(AND(NOT(ISBLANK(INDEX('glossaryterms-export'!H:H,_xlpm.rowNum))),ISBLANK(INDEX('glossaryterms-export'!I:I,_xlpm.rowNum))),"Ready to Fix",""))</f>
        <v/>
      </c>
      <c r="G581">
        <v>80</v>
      </c>
      <c r="H581">
        <v>70</v>
      </c>
      <c r="I581">
        <v>1.1428571428571399</v>
      </c>
      <c r="J581">
        <v>9.5714285714285694</v>
      </c>
      <c r="K581">
        <v>284</v>
      </c>
    </row>
    <row r="582" spans="1:11" ht="61.5">
      <c r="A582">
        <v>581</v>
      </c>
      <c r="B582" s="14" t="s">
        <v>92</v>
      </c>
      <c r="C582" t="s">
        <v>640</v>
      </c>
      <c r="D582" s="1" t="s">
        <v>20</v>
      </c>
      <c r="E582" s="1" t="str">
        <f>_xlfn.REGEXREPLACE(C582, "(.*)\/$", "https://extremismterms.adl.org\1")</f>
        <v>https://extremismterms.adl.org/glossary/no-political-solution</v>
      </c>
      <c r="F582" s="1" t="str" cm="1">
        <f t="array" ref="F582">_xlfn.LET(_xlpm.rowNum,MATCH(E582,'glossaryterms-export'!C:C,0),
IF(AND(NOT(ISBLANK(INDEX('glossaryterms-export'!H:H,_xlpm.rowNum))),ISBLANK(INDEX('glossaryterms-export'!I:I,_xlpm.rowNum))),"Ready to Fix",""))</f>
        <v/>
      </c>
      <c r="G582">
        <v>80</v>
      </c>
      <c r="H582">
        <v>68</v>
      </c>
      <c r="I582">
        <v>1.1764705882352899</v>
      </c>
      <c r="J582">
        <v>26.323529411764699</v>
      </c>
      <c r="K582">
        <v>278</v>
      </c>
    </row>
    <row r="583" spans="1:11" ht="77.25">
      <c r="A583">
        <v>582</v>
      </c>
      <c r="B583" s="16"/>
      <c r="C583" t="s">
        <v>641</v>
      </c>
      <c r="D583" s="1"/>
      <c r="E583" s="1" t="str">
        <f>_xlfn.REGEXREPLACE(C583, "(.*)\/$", "https://extremismterms.adl.org\1")</f>
        <v>https://extremismterms.adl.org/glossary/anti-lgbtq-extremism</v>
      </c>
      <c r="F583" s="1" t="str" cm="1">
        <f t="array" ref="F583">_xlfn.LET(_xlpm.rowNum,MATCH(E583,'glossaryterms-export'!C:C,0),
IF(AND(NOT(ISBLANK(INDEX('glossaryterms-export'!H:H,_xlpm.rowNum))),ISBLANK(INDEX('glossaryterms-export'!I:I,_xlpm.rowNum))),"Ready to Fix",""))</f>
        <v/>
      </c>
      <c r="G583">
        <v>79</v>
      </c>
      <c r="H583">
        <v>72</v>
      </c>
      <c r="I583">
        <v>1.0972222222222201</v>
      </c>
      <c r="J583">
        <v>31.4166666666666</v>
      </c>
      <c r="K583">
        <v>307</v>
      </c>
    </row>
    <row r="584" spans="1:11" ht="77.25">
      <c r="A584">
        <v>583</v>
      </c>
      <c r="B584" s="16"/>
      <c r="C584" t="s">
        <v>642</v>
      </c>
      <c r="D584" s="1"/>
      <c r="E584" s="1" t="str">
        <f>_xlfn.REGEXREPLACE(C584, "(.*)\/$", "https://extremismterms.adl.org\1")</f>
        <v>https://extremismterms.adl.org/glossary/baqiya-wa-tatamadad</v>
      </c>
      <c r="F584" s="1" t="str" cm="1">
        <f t="array" ref="F584">_xlfn.LET(_xlpm.rowNum,MATCH(E584,'glossaryterms-export'!C:C,0),
IF(AND(NOT(ISBLANK(INDEX('glossaryterms-export'!H:H,_xlpm.rowNum))),ISBLANK(INDEX('glossaryterms-export'!I:I,_xlpm.rowNum))),"Ready to Fix",""))</f>
        <v/>
      </c>
      <c r="G584">
        <v>79</v>
      </c>
      <c r="H584">
        <v>67</v>
      </c>
      <c r="I584">
        <v>1.1791044776119399</v>
      </c>
      <c r="J584">
        <v>21.208955223880501</v>
      </c>
      <c r="K584">
        <v>269</v>
      </c>
    </row>
    <row r="585" spans="1:11" ht="77.25">
      <c r="A585">
        <v>584</v>
      </c>
      <c r="B585" s="14" t="s">
        <v>25</v>
      </c>
      <c r="C585" t="s">
        <v>643</v>
      </c>
      <c r="D585" s="1" t="s">
        <v>20</v>
      </c>
      <c r="E585" s="1" t="str">
        <f>_xlfn.REGEXREPLACE(C585, "(.*)\/$", "https://extremismterms.adl.org\1")</f>
        <v>https://extremismterms.adl.org/glossary/de-facto-vs-de-jure-government</v>
      </c>
      <c r="F585" s="1" t="str" cm="1">
        <f t="array" ref="F585">_xlfn.LET(_xlpm.rowNum,MATCH(E585,'glossaryterms-export'!C:C,0),
IF(AND(NOT(ISBLANK(INDEX('glossaryterms-export'!H:H,_xlpm.rowNum))),ISBLANK(INDEX('glossaryterms-export'!I:I,_xlpm.rowNum))),"Ready to Fix",""))</f>
        <v/>
      </c>
      <c r="G585">
        <v>79</v>
      </c>
      <c r="H585">
        <v>74</v>
      </c>
      <c r="I585">
        <v>1.06756756756756</v>
      </c>
      <c r="J585">
        <v>20.229729729729701</v>
      </c>
      <c r="K585">
        <v>173</v>
      </c>
    </row>
    <row r="586" spans="1:11" ht="61.5">
      <c r="A586">
        <v>585</v>
      </c>
      <c r="B586" s="16"/>
      <c r="C586" t="s">
        <v>644</v>
      </c>
      <c r="D586" s="1"/>
      <c r="E586" s="1" t="str">
        <f>_xlfn.REGEXREPLACE(C586, "(.*)\/$", "https://extremismterms.adl.org\1")</f>
        <v>https://extremismterms.adl.org/glossary/fasces-symbol</v>
      </c>
      <c r="F586" s="1" t="str" cm="1">
        <f t="array" ref="F586">_xlfn.LET(_xlpm.rowNum,MATCH(E586,'glossaryterms-export'!C:C,0),
IF(AND(NOT(ISBLANK(INDEX('glossaryterms-export'!H:H,_xlpm.rowNum))),ISBLANK(INDEX('glossaryterms-export'!I:I,_xlpm.rowNum))),"Ready to Fix",""))</f>
        <v>Ready to Fix</v>
      </c>
      <c r="G586">
        <v>79</v>
      </c>
      <c r="H586">
        <v>76</v>
      </c>
      <c r="I586">
        <v>1.0394736842105201</v>
      </c>
      <c r="J586">
        <v>13.1973684210526</v>
      </c>
      <c r="K586">
        <v>193</v>
      </c>
    </row>
    <row r="587" spans="1:11" ht="77.25">
      <c r="A587">
        <v>586</v>
      </c>
      <c r="B587" s="16"/>
      <c r="C587" t="s">
        <v>645</v>
      </c>
      <c r="D587" s="1"/>
      <c r="E587" s="1" t="str">
        <f>_xlfn.REGEXREPLACE(C587, "(.*)\/$", "https://extremismterms.adl.org\1")</f>
        <v>https://extremismterms.adl.org/glossary/directed-energy-weapons-dews</v>
      </c>
      <c r="F587" s="1" t="str" cm="1">
        <f t="array" ref="F587">_xlfn.LET(_xlpm.rowNum,MATCH(E587,'glossaryterms-export'!C:C,0),
IF(AND(NOT(ISBLANK(INDEX('glossaryterms-export'!H:H,_xlpm.rowNum))),ISBLANK(INDEX('glossaryterms-export'!I:I,_xlpm.rowNum))),"Ready to Fix",""))</f>
        <v/>
      </c>
      <c r="G587">
        <v>78</v>
      </c>
      <c r="H587">
        <v>71</v>
      </c>
      <c r="I587">
        <v>1.0985915492957701</v>
      </c>
      <c r="J587">
        <v>15.0422535211267</v>
      </c>
      <c r="K587">
        <v>212</v>
      </c>
    </row>
    <row r="588" spans="1:11" ht="61.5">
      <c r="A588">
        <v>587</v>
      </c>
      <c r="B588" s="16"/>
      <c r="C588" t="s">
        <v>646</v>
      </c>
      <c r="D588" s="1"/>
      <c r="E588" s="1" t="str">
        <f>_xlfn.REGEXREPLACE(C588, "(.*)\/$", "https://extremismterms.adl.org\1")</f>
        <v>https://extremismterms.adl.org/glossary/faith-goldy</v>
      </c>
      <c r="F588" s="1" t="str" cm="1">
        <f t="array" ref="F588">_xlfn.LET(_xlpm.rowNum,MATCH(E588,'glossaryterms-export'!C:C,0),
IF(AND(NOT(ISBLANK(INDEX('glossaryterms-export'!H:H,_xlpm.rowNum))),ISBLANK(INDEX('glossaryterms-export'!I:I,_xlpm.rowNum))),"Ready to Fix",""))</f>
        <v>Ready to Fix</v>
      </c>
      <c r="G588">
        <v>78</v>
      </c>
      <c r="H588">
        <v>77</v>
      </c>
      <c r="I588">
        <v>1.01298701298701</v>
      </c>
      <c r="J588">
        <v>17.077922077922</v>
      </c>
      <c r="K588">
        <v>213</v>
      </c>
    </row>
    <row r="589" spans="1:11" ht="77.25">
      <c r="A589">
        <v>588</v>
      </c>
      <c r="B589" s="16"/>
      <c r="C589" t="s">
        <v>647</v>
      </c>
      <c r="D589" s="1"/>
      <c r="E589" s="1" t="str">
        <f>_xlfn.REGEXREPLACE(C589, "(.*)\/$", "https://extremismterms.adl.org\1")</f>
        <v>https://extremismterms.adl.org/glossary/feuerkrieg-division-fkd</v>
      </c>
      <c r="F589" s="1" t="str" cm="1">
        <f t="array" ref="F589">_xlfn.LET(_xlpm.rowNum,MATCH(E589,'glossaryterms-export'!C:C,0),
IF(AND(NOT(ISBLANK(INDEX('glossaryterms-export'!H:H,_xlpm.rowNum))),ISBLANK(INDEX('glossaryterms-export'!I:I,_xlpm.rowNum))),"Ready to Fix",""))</f>
        <v>Ready to Fix</v>
      </c>
      <c r="G589">
        <v>78</v>
      </c>
      <c r="H589">
        <v>69</v>
      </c>
      <c r="I589">
        <v>1.13043478260869</v>
      </c>
      <c r="J589">
        <v>18.8840579710144</v>
      </c>
      <c r="K589">
        <v>211</v>
      </c>
    </row>
    <row r="590" spans="1:11" ht="61.5">
      <c r="A590">
        <v>589</v>
      </c>
      <c r="B590" s="16"/>
      <c r="C590" t="s">
        <v>648</v>
      </c>
      <c r="D590" s="1"/>
      <c r="E590" s="1" t="str">
        <f>_xlfn.REGEXREPLACE(C590, "(.*)\/$", "https://extremismterms.adl.org\1")</f>
        <v>https://extremismterms.adl.org/glossary/overton-window</v>
      </c>
      <c r="F590" s="1" t="str" cm="1">
        <f t="array" ref="F590">_xlfn.LET(_xlpm.rowNum,MATCH(E590,'glossaryterms-export'!C:C,0),
IF(AND(NOT(ISBLANK(INDEX('glossaryterms-export'!H:H,_xlpm.rowNum))),ISBLANK(INDEX('glossaryterms-export'!I:I,_xlpm.rowNum))),"Ready to Fix",""))</f>
        <v/>
      </c>
      <c r="G590">
        <v>78</v>
      </c>
      <c r="H590">
        <v>73</v>
      </c>
      <c r="I590">
        <v>1.06849315068493</v>
      </c>
      <c r="J590">
        <v>20.2191780821917</v>
      </c>
      <c r="K590">
        <v>280</v>
      </c>
    </row>
    <row r="591" spans="1:11" ht="77.25">
      <c r="A591">
        <v>590</v>
      </c>
      <c r="B591" s="16"/>
      <c r="C591" t="s">
        <v>649</v>
      </c>
      <c r="D591" s="1"/>
      <c r="E591" s="1" t="str">
        <f>_xlfn.REGEXREPLACE(C591, "(.*)\/$", "https://extremismterms.adl.org\1")</f>
        <v>https://extremismterms.adl.org/glossary/american-free-press</v>
      </c>
      <c r="F591" s="1" t="str" cm="1">
        <f t="array" ref="F591">_xlfn.LET(_xlpm.rowNum,MATCH(E591,'glossaryterms-export'!C:C,0),
IF(AND(NOT(ISBLANK(INDEX('glossaryterms-export'!H:H,_xlpm.rowNum))),ISBLANK(INDEX('glossaryterms-export'!I:I,_xlpm.rowNum))),"Ready to Fix",""))</f>
        <v/>
      </c>
      <c r="G591">
        <v>77</v>
      </c>
      <c r="H591">
        <v>69</v>
      </c>
      <c r="I591">
        <v>1.1159420289855</v>
      </c>
      <c r="J591">
        <v>15.840579710144899</v>
      </c>
      <c r="K591">
        <v>233</v>
      </c>
    </row>
    <row r="592" spans="1:11" ht="77.25">
      <c r="A592">
        <v>591</v>
      </c>
      <c r="B592" s="16"/>
      <c r="C592" t="s">
        <v>650</v>
      </c>
      <c r="D592" s="1"/>
      <c r="E592" s="1" t="str">
        <f>_xlfn.REGEXREPLACE(C592, "(.*)\/$", "https://extremismterms.adl.org\1")</f>
        <v>https://extremismterms.adl.org/glossary/aryan-terror-brigade</v>
      </c>
      <c r="F592" s="1" t="str" cm="1">
        <f t="array" ref="F592">_xlfn.LET(_xlpm.rowNum,MATCH(E592,'glossaryterms-export'!C:C,0),
IF(AND(NOT(ISBLANK(INDEX('glossaryterms-export'!H:H,_xlpm.rowNum))),ISBLANK(INDEX('glossaryterms-export'!I:I,_xlpm.rowNum))),"Ready to Fix",""))</f>
        <v>Ready to Fix</v>
      </c>
      <c r="G592">
        <v>77</v>
      </c>
      <c r="H592">
        <v>70</v>
      </c>
      <c r="I592">
        <v>1.1000000000000001</v>
      </c>
      <c r="J592">
        <v>15.9142857142857</v>
      </c>
      <c r="K592">
        <v>192</v>
      </c>
    </row>
    <row r="593" spans="1:11" ht="77.25">
      <c r="A593">
        <v>592</v>
      </c>
      <c r="B593" s="16"/>
      <c r="C593" t="s">
        <v>651</v>
      </c>
      <c r="D593" s="1"/>
      <c r="E593" s="1" t="str">
        <f>_xlfn.REGEXREPLACE(C593, "(.*)\/$", "https://extremismterms.adl.org\1")</f>
        <v>https://extremismterms.adl.org/glossary/diversity-white-genocide-symbol</v>
      </c>
      <c r="F593" s="1" t="str" cm="1">
        <f t="array" ref="F593">_xlfn.LET(_xlpm.rowNum,MATCH(E593,'glossaryterms-export'!C:C,0),
IF(AND(NOT(ISBLANK(INDEX('glossaryterms-export'!H:H,_xlpm.rowNum))),ISBLANK(INDEX('glossaryterms-export'!I:I,_xlpm.rowNum))),"Ready to Fix",""))</f>
        <v/>
      </c>
      <c r="G593">
        <v>77</v>
      </c>
      <c r="H593">
        <v>74</v>
      </c>
      <c r="I593">
        <v>1.0405405405405399</v>
      </c>
      <c r="J593">
        <v>7.0675675675675604</v>
      </c>
      <c r="K593">
        <v>154</v>
      </c>
    </row>
    <row r="594" spans="1:11" ht="61.5">
      <c r="A594">
        <v>593</v>
      </c>
      <c r="B594" s="16"/>
      <c r="C594" t="s">
        <v>652</v>
      </c>
      <c r="D594" s="1"/>
      <c r="E594" s="1" t="str">
        <f>_xlfn.REGEXREPLACE(C594, "(.*)\/$", "https://extremismterms.adl.org\1")</f>
        <v>https://extremismterms.adl.org/glossary/haarp</v>
      </c>
      <c r="F594" s="1" t="str" cm="1">
        <f t="array" ref="F594">_xlfn.LET(_xlpm.rowNum,MATCH(E594,'glossaryterms-export'!C:C,0),
IF(AND(NOT(ISBLANK(INDEX('glossaryterms-export'!H:H,_xlpm.rowNum))),ISBLANK(INDEX('glossaryterms-export'!I:I,_xlpm.rowNum))),"Ready to Fix",""))</f>
        <v/>
      </c>
      <c r="G594">
        <v>77</v>
      </c>
      <c r="H594">
        <v>74</v>
      </c>
      <c r="I594">
        <v>1.0405405405405399</v>
      </c>
      <c r="J594">
        <v>17.324324324324301</v>
      </c>
      <c r="K594">
        <v>185</v>
      </c>
    </row>
    <row r="595" spans="1:11" ht="61.5">
      <c r="A595">
        <v>594</v>
      </c>
      <c r="B595" s="16"/>
      <c r="C595" t="s">
        <v>653</v>
      </c>
      <c r="D595" s="1"/>
      <c r="E595" s="1" t="str">
        <f>_xlfn.REGEXREPLACE(C595, "(.*)\/$", "https://extremismterms.adl.org\1")</f>
        <v>https://extremismterms.adl.org/glossary/inevitable-et-or-iet</v>
      </c>
      <c r="F595" s="1" t="str" cm="1">
        <f t="array" ref="F595">_xlfn.LET(_xlpm.rowNum,MATCH(E595,'glossaryterms-export'!C:C,0),
IF(AND(NOT(ISBLANK(INDEX('glossaryterms-export'!H:H,_xlpm.rowNum))),ISBLANK(INDEX('glossaryterms-export'!I:I,_xlpm.rowNum))),"Ready to Fix",""))</f>
        <v/>
      </c>
      <c r="G595">
        <v>77</v>
      </c>
      <c r="H595">
        <v>67</v>
      </c>
      <c r="I595">
        <v>1.14925373134328</v>
      </c>
      <c r="J595">
        <v>19.955223880597</v>
      </c>
      <c r="K595">
        <v>261</v>
      </c>
    </row>
    <row r="596" spans="1:11" ht="77.25">
      <c r="A596">
        <v>595</v>
      </c>
      <c r="B596" s="16"/>
      <c r="C596" t="s">
        <v>654</v>
      </c>
      <c r="D596" s="1"/>
      <c r="E596" s="1" t="str">
        <f>_xlfn.REGEXREPLACE(C596, "(.*)\/$", "https://extremismterms.adl.org\1")</f>
        <v>https://extremismterms.adl.org/glossary/jewish-revolutionary-spirit</v>
      </c>
      <c r="F596" s="1" t="str" cm="1">
        <f t="array" ref="F596">_xlfn.LET(_xlpm.rowNum,MATCH(E596,'glossaryterms-export'!C:C,0),
IF(AND(NOT(ISBLANK(INDEX('glossaryterms-export'!H:H,_xlpm.rowNum))),ISBLANK(INDEX('glossaryterms-export'!I:I,_xlpm.rowNum))),"Ready to Fix",""))</f>
        <v>Ready to Fix</v>
      </c>
      <c r="G596">
        <v>77</v>
      </c>
      <c r="H596">
        <v>68</v>
      </c>
      <c r="I596">
        <v>1.1323529411764699</v>
      </c>
      <c r="J596">
        <v>13.3529411764705</v>
      </c>
      <c r="K596">
        <v>241</v>
      </c>
    </row>
    <row r="597" spans="1:11" ht="108">
      <c r="A597">
        <v>596</v>
      </c>
      <c r="B597" s="16"/>
      <c r="C597" t="s">
        <v>655</v>
      </c>
      <c r="D597" s="1"/>
      <c r="E597" s="1" t="str">
        <f>_xlfn.REGEXREPLACE(C597, "(.*)\/$", "https://extremismterms.adl.org\1")</f>
        <v>https://extremismterms.adl.org/glossary/jewish-supremacism-my-awakening-jewish-question</v>
      </c>
      <c r="F597" s="1" t="str" cm="1">
        <f t="array" ref="F597">_xlfn.LET(_xlpm.rowNum,MATCH(E597,'glossaryterms-export'!C:C,0),
IF(AND(NOT(ISBLANK(INDEX('glossaryterms-export'!H:H,_xlpm.rowNum))),ISBLANK(INDEX('glossaryterms-export'!I:I,_xlpm.rowNum))),"Ready to Fix",""))</f>
        <v>Ready to Fix</v>
      </c>
      <c r="G597">
        <v>77</v>
      </c>
      <c r="H597">
        <v>72</v>
      </c>
      <c r="I597">
        <v>1.06944444444444</v>
      </c>
      <c r="J597">
        <v>18.4444444444444</v>
      </c>
      <c r="K597">
        <v>201</v>
      </c>
    </row>
    <row r="598" spans="1:11" ht="61.5">
      <c r="A598">
        <v>597</v>
      </c>
      <c r="B598" s="16"/>
      <c r="C598" t="s">
        <v>656</v>
      </c>
      <c r="D598" s="1"/>
      <c r="E598" s="1" t="str">
        <f>_xlfn.REGEXREPLACE(C598, "(.*)\/$", "https://extremismterms.adl.org\1")</f>
        <v>https://extremismterms.adl.org/glossary/jihad-watch</v>
      </c>
      <c r="F598" s="1" t="str" cm="1">
        <f t="array" ref="F598">_xlfn.LET(_xlpm.rowNum,MATCH(E598,'glossaryterms-export'!C:C,0),
IF(AND(NOT(ISBLANK(INDEX('glossaryterms-export'!H:H,_xlpm.rowNum))),ISBLANK(INDEX('glossaryterms-export'!I:I,_xlpm.rowNum))),"Ready to Fix",""))</f>
        <v/>
      </c>
      <c r="G598">
        <v>77</v>
      </c>
      <c r="H598">
        <v>71</v>
      </c>
      <c r="I598">
        <v>1.0845070422535199</v>
      </c>
      <c r="J598">
        <v>12.0704225352112</v>
      </c>
      <c r="K598">
        <v>281</v>
      </c>
    </row>
    <row r="599" spans="1:11" ht="61.5">
      <c r="A599">
        <v>598</v>
      </c>
      <c r="B599" s="16"/>
      <c r="C599" t="s">
        <v>657</v>
      </c>
      <c r="D599" s="1"/>
      <c r="E599" s="1" t="str">
        <f>_xlfn.REGEXREPLACE(C599, "(.*)\/$", "https://extremismterms.adl.org\1")</f>
        <v>https://extremismterms.adl.org/glossary/rinaldo-nazzaro</v>
      </c>
      <c r="F599" s="1" t="str" cm="1">
        <f t="array" ref="F599">_xlfn.LET(_xlpm.rowNum,MATCH(E599,'glossaryterms-export'!C:C,0),
IF(AND(NOT(ISBLANK(INDEX('glossaryterms-export'!H:H,_xlpm.rowNum))),ISBLANK(INDEX('glossaryterms-export'!I:I,_xlpm.rowNum))),"Ready to Fix",""))</f>
        <v>Ready to Fix</v>
      </c>
      <c r="G599">
        <v>77</v>
      </c>
      <c r="H599">
        <v>72</v>
      </c>
      <c r="I599">
        <v>1.06944444444444</v>
      </c>
      <c r="J599">
        <v>19.2916666666666</v>
      </c>
      <c r="K599">
        <v>277</v>
      </c>
    </row>
    <row r="600" spans="1:11" ht="61.5">
      <c r="A600">
        <v>599</v>
      </c>
      <c r="B600" s="16"/>
      <c r="C600" t="s">
        <v>658</v>
      </c>
      <c r="D600" s="1"/>
      <c r="E600" s="1" t="str">
        <f>_xlfn.REGEXREPLACE(C600, "(.*)\/$", "https://extremismterms.adl.org\1")</f>
        <v>https://extremismterms.adl.org/glossary/robert-j-mathews</v>
      </c>
      <c r="F600" s="1" t="str" cm="1">
        <f t="array" ref="F600">_xlfn.LET(_xlpm.rowNum,MATCH(E600,'glossaryterms-export'!C:C,0),
IF(AND(NOT(ISBLANK(INDEX('glossaryterms-export'!H:H,_xlpm.rowNum))),ISBLANK(INDEX('glossaryterms-export'!I:I,_xlpm.rowNum))),"Ready to Fix",""))</f>
        <v>Ready to Fix</v>
      </c>
      <c r="G600">
        <v>77</v>
      </c>
      <c r="H600">
        <v>68</v>
      </c>
      <c r="I600">
        <v>1.1323529411764699</v>
      </c>
      <c r="J600">
        <v>21.308823529411701</v>
      </c>
      <c r="K600">
        <v>208</v>
      </c>
    </row>
    <row r="601" spans="1:11" ht="61.5">
      <c r="A601">
        <v>600</v>
      </c>
      <c r="B601" s="16"/>
      <c r="C601" t="s">
        <v>659</v>
      </c>
      <c r="D601" s="1"/>
      <c r="E601" s="1" t="str">
        <f>_xlfn.REGEXREPLACE(C601, "(.*)\/$", "https://extremismterms.adl.org\1")</f>
        <v>https://extremismterms.adl.org/glossary/wolfsangel</v>
      </c>
      <c r="F601" s="1" t="str" cm="1">
        <f t="array" ref="F601">_xlfn.LET(_xlpm.rowNum,MATCH(E601,'glossaryterms-export'!C:C,0),
IF(AND(NOT(ISBLANK(INDEX('glossaryterms-export'!H:H,_xlpm.rowNum))),ISBLANK(INDEX('glossaryterms-export'!I:I,_xlpm.rowNum))),"Ready to Fix",""))</f>
        <v/>
      </c>
      <c r="G601">
        <v>77</v>
      </c>
      <c r="H601">
        <v>75</v>
      </c>
      <c r="I601">
        <v>1.02666666666666</v>
      </c>
      <c r="J601">
        <v>21.3466666666666</v>
      </c>
      <c r="K601">
        <v>206</v>
      </c>
    </row>
    <row r="602" spans="1:11" ht="77.25">
      <c r="A602">
        <v>601</v>
      </c>
      <c r="B602" s="16"/>
      <c r="C602" t="s">
        <v>660</v>
      </c>
      <c r="D602" s="1"/>
      <c r="E602" s="1" t="str">
        <f>_xlfn.REGEXREPLACE(C602, "(.*)\/$", "https://extremismterms.adl.org\1")</f>
        <v>https://extremismterms.adl.org/resources/blog/qanon-glossary</v>
      </c>
      <c r="F602" s="1" t="str" cm="1">
        <f t="array" ref="F602">_xlfn.LET(_xlpm.rowNum,MATCH(E602,'glossaryterms-export'!C:C,0),
IF(AND(NOT(ISBLANK(INDEX('glossaryterms-export'!H:H,_xlpm.rowNum))),ISBLANK(INDEX('glossaryterms-export'!I:I,_xlpm.rowNum))),"Ready to Fix",""))</f>
        <v/>
      </c>
      <c r="G602">
        <v>77</v>
      </c>
      <c r="H602">
        <v>67</v>
      </c>
      <c r="I602">
        <v>1.14925373134328</v>
      </c>
      <c r="J602">
        <v>100.626865671641</v>
      </c>
      <c r="K602">
        <v>589</v>
      </c>
    </row>
    <row r="603" spans="1:11" ht="108">
      <c r="A603">
        <v>602</v>
      </c>
      <c r="B603" s="16"/>
      <c r="C603" t="s">
        <v>661</v>
      </c>
      <c r="D603" s="1"/>
      <c r="E603" s="1" t="str">
        <f>_xlfn.REGEXREPLACE(C603, "(.*)\/$", "https://extremismterms.adl.org\1")</f>
        <v>https://extremismterms.adl.org/resources/news/glossary-key-terms-and-events-israels-history-founding-israel</v>
      </c>
      <c r="F603" s="1" t="str" cm="1">
        <f t="array" ref="F603">_xlfn.LET(_xlpm.rowNum,MATCH(E603,'glossaryterms-export'!C:C,0),
IF(AND(NOT(ISBLANK(INDEX('glossaryterms-export'!H:H,_xlpm.rowNum))),ISBLANK(INDEX('glossaryterms-export'!I:I,_xlpm.rowNum))),"Ready to Fix",""))</f>
        <v/>
      </c>
      <c r="G603">
        <v>77</v>
      </c>
      <c r="H603">
        <v>66</v>
      </c>
      <c r="I603">
        <v>1.1666666666666601</v>
      </c>
      <c r="J603">
        <v>45.878787878787797</v>
      </c>
      <c r="K603">
        <v>587</v>
      </c>
    </row>
    <row r="604" spans="1:11" ht="61.5">
      <c r="A604">
        <v>603</v>
      </c>
      <c r="B604" s="16"/>
      <c r="C604" t="s">
        <v>662</v>
      </c>
      <c r="D604" s="1"/>
      <c r="E604" s="1" t="str">
        <f>_xlfn.REGEXREPLACE(C604, "(.*)\/$", "https://extremismterms.adl.org\1")</f>
        <v>https://extremismterms.adl.org/glossary/alex-linder</v>
      </c>
      <c r="F604" s="1" t="str" cm="1">
        <f t="array" ref="F604">_xlfn.LET(_xlpm.rowNum,MATCH(E604,'glossaryterms-export'!C:C,0),
IF(AND(NOT(ISBLANK(INDEX('glossaryterms-export'!H:H,_xlpm.rowNum))),ISBLANK(INDEX('glossaryterms-export'!I:I,_xlpm.rowNum))),"Ready to Fix",""))</f>
        <v>Ready to Fix</v>
      </c>
      <c r="G604">
        <v>76</v>
      </c>
      <c r="H604">
        <v>62</v>
      </c>
      <c r="I604">
        <v>1.2258064516128999</v>
      </c>
      <c r="J604">
        <v>15.467741935483801</v>
      </c>
      <c r="K604">
        <v>251</v>
      </c>
    </row>
    <row r="605" spans="1:11" ht="77.25">
      <c r="A605">
        <v>604</v>
      </c>
      <c r="B605" s="16"/>
      <c r="C605" t="s">
        <v>663</v>
      </c>
      <c r="D605" s="1"/>
      <c r="E605" s="1" t="str">
        <f>_xlfn.REGEXREPLACE(C605, "(.*)\/$", "https://extremismterms.adl.org\1")</f>
        <v>https://extremismterms.adl.org/glossary/aryan-brotherhood-texas</v>
      </c>
      <c r="F605" s="1" t="str" cm="1">
        <f t="array" ref="F605">_xlfn.LET(_xlpm.rowNum,MATCH(E605,'glossaryterms-export'!C:C,0),
IF(AND(NOT(ISBLANK(INDEX('glossaryterms-export'!H:H,_xlpm.rowNum))),ISBLANK(INDEX('glossaryterms-export'!I:I,_xlpm.rowNum))),"Ready to Fix",""))</f>
        <v>Ready to Fix</v>
      </c>
      <c r="G605">
        <v>76</v>
      </c>
      <c r="H605">
        <v>63</v>
      </c>
      <c r="I605">
        <v>1.2063492063492001</v>
      </c>
      <c r="J605">
        <v>24.2222222222222</v>
      </c>
      <c r="K605">
        <v>188</v>
      </c>
    </row>
    <row r="606" spans="1:11" ht="61.5">
      <c r="A606">
        <v>605</v>
      </c>
      <c r="B606" s="16"/>
      <c r="C606" t="s">
        <v>664</v>
      </c>
      <c r="D606" s="1"/>
      <c r="E606" s="1" t="str">
        <f>_xlfn.REGEXREPLACE(C606, "(.*)\/$", "https://extremismterms.adl.org\1")</f>
        <v>https://extremismterms.adl.org/glossary/david-lane</v>
      </c>
      <c r="F606" s="1" t="str" cm="1">
        <f t="array" ref="F606">_xlfn.LET(_xlpm.rowNum,MATCH(E606,'glossaryterms-export'!C:C,0),
IF(AND(NOT(ISBLANK(INDEX('glossaryterms-export'!H:H,_xlpm.rowNum))),ISBLANK(INDEX('glossaryterms-export'!I:I,_xlpm.rowNum))),"Ready to Fix",""))</f>
        <v>Ready to Fix</v>
      </c>
      <c r="G606">
        <v>76</v>
      </c>
      <c r="H606">
        <v>74</v>
      </c>
      <c r="I606">
        <v>1.0270270270270201</v>
      </c>
      <c r="J606">
        <v>16.067567567567501</v>
      </c>
      <c r="K606">
        <v>184</v>
      </c>
    </row>
    <row r="607" spans="1:11" ht="61.5">
      <c r="A607">
        <v>606</v>
      </c>
      <c r="B607" s="16"/>
      <c r="C607" t="s">
        <v>665</v>
      </c>
      <c r="D607" s="1"/>
      <c r="E607" s="1" t="str">
        <f>_xlfn.REGEXREPLACE(C607, "(.*)\/$", "https://extremismterms.adl.org\1")</f>
        <v>https://extremismterms.adl.org/glossary/michelle-malkin</v>
      </c>
      <c r="F607" s="1" t="str" cm="1">
        <f t="array" ref="F607">_xlfn.LET(_xlpm.rowNum,MATCH(E607,'glossaryterms-export'!C:C,0),
IF(AND(NOT(ISBLANK(INDEX('glossaryterms-export'!H:H,_xlpm.rowNum))),ISBLANK(INDEX('glossaryterms-export'!I:I,_xlpm.rowNum))),"Ready to Fix",""))</f>
        <v/>
      </c>
      <c r="G607">
        <v>76</v>
      </c>
      <c r="H607">
        <v>71</v>
      </c>
      <c r="I607">
        <v>1.07042253521126</v>
      </c>
      <c r="J607">
        <v>11.056338028169</v>
      </c>
      <c r="K607">
        <v>172</v>
      </c>
    </row>
    <row r="608" spans="1:11" ht="108">
      <c r="A608">
        <v>607</v>
      </c>
      <c r="B608" s="16"/>
      <c r="C608" t="s">
        <v>666</v>
      </c>
      <c r="D608" s="1"/>
      <c r="E608" s="1" t="str">
        <f>_xlfn.REGEXREPLACE(C608, "(.*)\/$", "https://extremismterms.adl.org\1")</f>
        <v>https://extremismterms.adl.org/glossary/new-independent-fundamental-baptist-new-ifb-movement</v>
      </c>
      <c r="F608" s="1" t="str" cm="1">
        <f t="array" ref="F608">_xlfn.LET(_xlpm.rowNum,MATCH(E608,'glossaryterms-export'!C:C,0),
IF(AND(NOT(ISBLANK(INDEX('glossaryterms-export'!H:H,_xlpm.rowNum))),ISBLANK(INDEX('glossaryterms-export'!I:I,_xlpm.rowNum))),"Ready to Fix",""))</f>
        <v>Ready to Fix</v>
      </c>
      <c r="G608">
        <v>76</v>
      </c>
      <c r="H608">
        <v>57</v>
      </c>
      <c r="I608">
        <v>1.3333333333333299</v>
      </c>
      <c r="J608">
        <v>28.1929824561403</v>
      </c>
      <c r="K608">
        <v>245</v>
      </c>
    </row>
    <row r="609" spans="1:11" ht="77.25">
      <c r="A609">
        <v>608</v>
      </c>
      <c r="B609" s="16"/>
      <c r="C609" t="s">
        <v>667</v>
      </c>
      <c r="D609" s="1"/>
      <c r="E609" s="1" t="str">
        <f>_xlfn.REGEXREPLACE(C609, "(.*)\/$", "https://extremismterms.adl.org\1")</f>
        <v>https://extremismterms.adl.org/glossary/domestic-extremism</v>
      </c>
      <c r="F609" s="1" t="str" cm="1">
        <f t="array" ref="F609">_xlfn.LET(_xlpm.rowNum,MATCH(E609,'glossaryterms-export'!C:C,0),
IF(AND(NOT(ISBLANK(INDEX('glossaryterms-export'!H:H,_xlpm.rowNum))),ISBLANK(INDEX('glossaryterms-export'!I:I,_xlpm.rowNum))),"Ready to Fix",""))</f>
        <v/>
      </c>
      <c r="G609">
        <v>75</v>
      </c>
      <c r="H609">
        <v>64</v>
      </c>
      <c r="I609">
        <v>1.171875</v>
      </c>
      <c r="J609">
        <v>17.46875</v>
      </c>
      <c r="K609">
        <v>225</v>
      </c>
    </row>
    <row r="610" spans="1:11" ht="61.5">
      <c r="A610">
        <v>609</v>
      </c>
      <c r="B610" s="16"/>
      <c r="C610" t="s">
        <v>668</v>
      </c>
      <c r="D610" s="1"/>
      <c r="E610" s="1" t="str">
        <f>_xlfn.REGEXREPLACE(C610, "(.*)\/$", "https://extremismterms.adl.org\1")</f>
        <v>https://extremismterms.adl.org/glossary/gilad-atzmon</v>
      </c>
      <c r="F610" s="1" t="str" cm="1">
        <f t="array" ref="F610">_xlfn.LET(_xlpm.rowNum,MATCH(E610,'glossaryterms-export'!C:C,0),
IF(AND(NOT(ISBLANK(INDEX('glossaryterms-export'!H:H,_xlpm.rowNum))),ISBLANK(INDEX('glossaryterms-export'!I:I,_xlpm.rowNum))),"Ready to Fix",""))</f>
        <v>Ready to Fix</v>
      </c>
      <c r="G610">
        <v>75</v>
      </c>
      <c r="H610">
        <v>73</v>
      </c>
      <c r="I610">
        <v>1.02739726027397</v>
      </c>
      <c r="J610">
        <v>35.753424657534197</v>
      </c>
      <c r="K610">
        <v>271</v>
      </c>
    </row>
    <row r="611" spans="1:11" ht="61.5">
      <c r="A611">
        <v>610</v>
      </c>
      <c r="B611" s="16"/>
      <c r="C611" t="s">
        <v>669</v>
      </c>
      <c r="D611" s="1"/>
      <c r="E611" s="1" t="str">
        <f>_xlfn.REGEXREPLACE(C611, "(.*)\/$", "https://extremismterms.adl.org\1")</f>
        <v>https://extremismterms.adl.org/glossary/louis-farrakhan</v>
      </c>
      <c r="F611" s="1" t="str" cm="1">
        <f t="array" ref="F611">_xlfn.LET(_xlpm.rowNum,MATCH(E611,'glossaryterms-export'!C:C,0),
IF(AND(NOT(ISBLANK(INDEX('glossaryterms-export'!H:H,_xlpm.rowNum))),ISBLANK(INDEX('glossaryterms-export'!I:I,_xlpm.rowNum))),"Ready to Fix",""))</f>
        <v/>
      </c>
      <c r="G611">
        <v>75</v>
      </c>
      <c r="H611">
        <v>67</v>
      </c>
      <c r="I611">
        <v>1.1194029850746201</v>
      </c>
      <c r="J611">
        <v>23.955223880597</v>
      </c>
      <c r="K611">
        <v>196</v>
      </c>
    </row>
    <row r="612" spans="1:11" ht="61.5">
      <c r="A612">
        <v>611</v>
      </c>
      <c r="B612" s="16"/>
      <c r="C612" t="s">
        <v>670</v>
      </c>
      <c r="D612" s="1"/>
      <c r="E612" s="1" t="str">
        <f>_xlfn.REGEXREPLACE(C612, "(.*)\/$", "https://extremismterms.adl.org\1")</f>
        <v>https://extremismterms.adl.org/glossary/turner-diaries</v>
      </c>
      <c r="F612" s="1" t="str" cm="1">
        <f t="array" ref="F612">_xlfn.LET(_xlpm.rowNum,MATCH(E612,'glossaryterms-export'!C:C,0),
IF(AND(NOT(ISBLANK(INDEX('glossaryterms-export'!H:H,_xlpm.rowNum))),ISBLANK(INDEX('glossaryterms-export'!I:I,_xlpm.rowNum))),"Ready to Fix",""))</f>
        <v>Ready to Fix</v>
      </c>
      <c r="G612">
        <v>75</v>
      </c>
      <c r="H612">
        <v>69</v>
      </c>
      <c r="I612">
        <v>1.0869565217391299</v>
      </c>
      <c r="J612">
        <v>19.5797101449275</v>
      </c>
      <c r="K612">
        <v>224</v>
      </c>
    </row>
    <row r="613" spans="1:11" ht="61.5">
      <c r="A613">
        <v>612</v>
      </c>
      <c r="B613" s="14" t="s">
        <v>92</v>
      </c>
      <c r="C613" t="s">
        <v>671</v>
      </c>
      <c r="D613" s="1" t="s">
        <v>20</v>
      </c>
      <c r="E613" s="1" t="str">
        <f>_xlfn.REGEXREPLACE(C613, "(.*)\/$", "https://extremismterms.adl.org\1")</f>
        <v>https://extremismterms.adl.org/glossary/brandon-russell</v>
      </c>
      <c r="F613" s="1" t="str" cm="1">
        <f t="array" ref="F613">_xlfn.LET(_xlpm.rowNum,MATCH(E613,'glossaryterms-export'!C:C,0),
IF(AND(NOT(ISBLANK(INDEX('glossaryterms-export'!H:H,_xlpm.rowNum))),ISBLANK(INDEX('glossaryterms-export'!I:I,_xlpm.rowNum))),"Ready to Fix",""))</f>
        <v/>
      </c>
      <c r="G613">
        <v>74</v>
      </c>
      <c r="H613">
        <v>71</v>
      </c>
      <c r="I613">
        <v>1.0422535211267601</v>
      </c>
      <c r="J613">
        <v>12.4507042253521</v>
      </c>
      <c r="K613">
        <v>177</v>
      </c>
    </row>
    <row r="614" spans="1:11" ht="61.5">
      <c r="A614">
        <v>613</v>
      </c>
      <c r="B614" s="14" t="s">
        <v>495</v>
      </c>
      <c r="C614" t="s">
        <v>672</v>
      </c>
      <c r="D614" s="1" t="s">
        <v>20</v>
      </c>
      <c r="E614" s="1" t="str">
        <f>_xlfn.REGEXREPLACE(C614, "(.*)\/$", "https://extremismterms.adl.org\1")</f>
        <v>https://extremismterms.adl.org/glossary/kyle-chapman</v>
      </c>
      <c r="F614" s="1" t="str" cm="1">
        <f t="array" ref="F614">_xlfn.LET(_xlpm.rowNum,MATCH(E614,'glossaryterms-export'!C:C,0),
IF(AND(NOT(ISBLANK(INDEX('glossaryterms-export'!H:H,_xlpm.rowNum))),ISBLANK(INDEX('glossaryterms-export'!I:I,_xlpm.rowNum))),"Ready to Fix",""))</f>
        <v/>
      </c>
      <c r="G614">
        <v>74</v>
      </c>
      <c r="H614">
        <v>73</v>
      </c>
      <c r="I614">
        <v>1.0136986301369799</v>
      </c>
      <c r="J614">
        <v>26.342465753424602</v>
      </c>
      <c r="K614">
        <v>191</v>
      </c>
    </row>
    <row r="615" spans="1:11" ht="61.5">
      <c r="A615">
        <v>614</v>
      </c>
      <c r="B615" s="16"/>
      <c r="C615" t="s">
        <v>673</v>
      </c>
      <c r="D615" s="1"/>
      <c r="E615" s="1" t="str">
        <f>_xlfn.REGEXREPLACE(C615, "(.*)\/$", "https://extremismterms.adl.org\1")</f>
        <v>https://extremismterms.adl.org/glossary/triskele</v>
      </c>
      <c r="F615" s="1" t="str" cm="1">
        <f t="array" ref="F615">_xlfn.LET(_xlpm.rowNum,MATCH(E615,'glossaryterms-export'!C:C,0),
IF(AND(NOT(ISBLANK(INDEX('glossaryterms-export'!H:H,_xlpm.rowNum))),ISBLANK(INDEX('glossaryterms-export'!I:I,_xlpm.rowNum))),"Ready to Fix",""))</f>
        <v/>
      </c>
      <c r="G615">
        <v>74</v>
      </c>
      <c r="H615">
        <v>52</v>
      </c>
      <c r="I615">
        <v>1.42307692307692</v>
      </c>
      <c r="J615">
        <v>11.057692307692299</v>
      </c>
      <c r="K615">
        <v>206</v>
      </c>
    </row>
    <row r="616" spans="1:11" ht="77.25">
      <c r="A616">
        <v>615</v>
      </c>
      <c r="B616" s="16"/>
      <c r="C616" t="s">
        <v>674</v>
      </c>
      <c r="D616" s="1"/>
      <c r="E616" s="1" t="str">
        <f>_xlfn.REGEXREPLACE(C616, "(.*)\/$", "https://extremismterms.adl.org\1")</f>
        <v>https://extremismterms.adl.org/glossary/wolverine-watchmen</v>
      </c>
      <c r="F616" s="1" t="str" cm="1">
        <f t="array" ref="F616">_xlfn.LET(_xlpm.rowNum,MATCH(E616,'glossaryterms-export'!C:C,0),
IF(AND(NOT(ISBLANK(INDEX('glossaryterms-export'!H:H,_xlpm.rowNum))),ISBLANK(INDEX('glossaryterms-export'!I:I,_xlpm.rowNum))),"Ready to Fix",""))</f>
        <v/>
      </c>
      <c r="G616">
        <v>74</v>
      </c>
      <c r="H616">
        <v>65</v>
      </c>
      <c r="I616">
        <v>1.13846153846153</v>
      </c>
      <c r="J616">
        <v>22.276923076923001</v>
      </c>
      <c r="K616">
        <v>226</v>
      </c>
    </row>
    <row r="617" spans="1:11" ht="77.25">
      <c r="A617">
        <v>616</v>
      </c>
      <c r="B617" s="16"/>
      <c r="C617" t="s">
        <v>675</v>
      </c>
      <c r="D617" s="1"/>
      <c r="E617" s="1" t="str">
        <f>_xlfn.REGEXREPLACE(C617, "(.*)\/$", "https://extremismterms.adl.org\1")</f>
        <v>https://extremismterms.adl.org/glossary/boston-marathon-bombing</v>
      </c>
      <c r="F617" s="1" t="str" cm="1">
        <f t="array" ref="F617">_xlfn.LET(_xlpm.rowNum,MATCH(E617,'glossaryterms-export'!C:C,0),
IF(AND(NOT(ISBLANK(INDEX('glossaryterms-export'!H:H,_xlpm.rowNum))),ISBLANK(INDEX('glossaryterms-export'!I:I,_xlpm.rowNum))),"Ready to Fix",""))</f>
        <v/>
      </c>
      <c r="G617">
        <v>73</v>
      </c>
      <c r="H617">
        <v>70</v>
      </c>
      <c r="I617">
        <v>1.04285714285714</v>
      </c>
      <c r="J617">
        <v>16.514285714285698</v>
      </c>
      <c r="K617">
        <v>159</v>
      </c>
    </row>
    <row r="618" spans="1:11" ht="77.25">
      <c r="A618">
        <v>617</v>
      </c>
      <c r="B618" s="16"/>
      <c r="C618" t="s">
        <v>676</v>
      </c>
      <c r="D618" s="1"/>
      <c r="E618" s="1" t="str">
        <f>_xlfn.REGEXREPLACE(C618, "(.*)\/$", "https://extremismterms.adl.org\1")</f>
        <v>https://extremismterms.adl.org/glossary/domestic-terrorism</v>
      </c>
      <c r="F618" s="1" t="str" cm="1">
        <f t="array" ref="F618">_xlfn.LET(_xlpm.rowNum,MATCH(E618,'glossaryterms-export'!C:C,0),
IF(AND(NOT(ISBLANK(INDEX('glossaryterms-export'!H:H,_xlpm.rowNum))),ISBLANK(INDEX('glossaryterms-export'!I:I,_xlpm.rowNum))),"Ready to Fix",""))</f>
        <v/>
      </c>
      <c r="G618">
        <v>73</v>
      </c>
      <c r="H618">
        <v>67</v>
      </c>
      <c r="I618">
        <v>1.08955223880597</v>
      </c>
      <c r="J618">
        <v>11.641791044776101</v>
      </c>
      <c r="K618">
        <v>187</v>
      </c>
    </row>
    <row r="619" spans="1:11" ht="61.5">
      <c r="A619">
        <v>618</v>
      </c>
      <c r="B619" s="11" t="s">
        <v>223</v>
      </c>
      <c r="C619" t="s">
        <v>677</v>
      </c>
      <c r="D619" s="1" t="s">
        <v>20</v>
      </c>
      <c r="E619" s="1" t="str">
        <f>_xlfn.REGEXREPLACE(C619, "(.*)\/$", "https://extremismterms.adl.org\1")</f>
        <v>https://extremismterms.adl.org/glossary/jb-pill</v>
      </c>
      <c r="F619" s="1" t="str" cm="1">
        <f t="array" ref="F619">_xlfn.LET(_xlpm.rowNum,MATCH(E619,'glossaryterms-export'!C:C,0),
IF(AND(NOT(ISBLANK(INDEX('glossaryterms-export'!H:H,_xlpm.rowNum))),ISBLANK(INDEX('glossaryterms-export'!I:I,_xlpm.rowNum))),"Ready to Fix",""))</f>
        <v/>
      </c>
      <c r="G619">
        <v>73</v>
      </c>
      <c r="H619">
        <v>65</v>
      </c>
      <c r="I619">
        <v>1.12307692307692</v>
      </c>
      <c r="J619">
        <v>5.9076923076923</v>
      </c>
      <c r="K619">
        <v>209</v>
      </c>
    </row>
    <row r="620" spans="1:11" ht="77.25">
      <c r="A620">
        <v>619</v>
      </c>
      <c r="B620" s="14" t="s">
        <v>15</v>
      </c>
      <c r="C620" t="s">
        <v>678</v>
      </c>
      <c r="D620" s="1" t="s">
        <v>20</v>
      </c>
      <c r="E620" s="1" t="str">
        <f>_xlfn.REGEXREPLACE(C620, "(.*)\/$", "https://extremismterms.adl.org\1")</f>
        <v>https://extremismterms.adl.org/glossary/save-theour-children</v>
      </c>
      <c r="F620" s="1" t="str" cm="1">
        <f t="array" ref="F620">_xlfn.LET(_xlpm.rowNum,MATCH(E620,'glossaryterms-export'!C:C,0),
IF(AND(NOT(ISBLANK(INDEX('glossaryterms-export'!H:H,_xlpm.rowNum))),ISBLANK(INDEX('glossaryterms-export'!I:I,_xlpm.rowNum))),"Ready to Fix",""))</f>
        <v/>
      </c>
      <c r="G620">
        <v>73</v>
      </c>
      <c r="H620">
        <v>69</v>
      </c>
      <c r="I620">
        <v>1.0579710144927501</v>
      </c>
      <c r="J620">
        <v>13.231884057971</v>
      </c>
      <c r="K620">
        <v>173</v>
      </c>
    </row>
    <row r="621" spans="1:11" ht="61.5">
      <c r="A621">
        <v>620</v>
      </c>
      <c r="B621" s="16"/>
      <c r="C621" t="s">
        <v>679</v>
      </c>
      <c r="D621" s="1"/>
      <c r="E621" s="1" t="str">
        <f>_xlfn.REGEXREPLACE(C621, "(.*)\/$", "https://extremismterms.adl.org\1")</f>
        <v>https://extremismterms.adl.org/glossary/simon-roche</v>
      </c>
      <c r="F621" s="1" t="str" cm="1">
        <f t="array" ref="F621">_xlfn.LET(_xlpm.rowNum,MATCH(E621,'glossaryterms-export'!C:C,0),
IF(AND(NOT(ISBLANK(INDEX('glossaryterms-export'!H:H,_xlpm.rowNum))),ISBLANK(INDEX('glossaryterms-export'!I:I,_xlpm.rowNum))),"Ready to Fix",""))</f>
        <v/>
      </c>
      <c r="G621">
        <v>73</v>
      </c>
      <c r="H621">
        <v>65</v>
      </c>
      <c r="I621">
        <v>1.12307692307692</v>
      </c>
      <c r="J621">
        <v>21.969230769230698</v>
      </c>
      <c r="K621">
        <v>292</v>
      </c>
    </row>
    <row r="622" spans="1:11" ht="92.25">
      <c r="A622">
        <v>621</v>
      </c>
      <c r="B622" s="16"/>
      <c r="C622" t="s">
        <v>680</v>
      </c>
      <c r="D622" s="1"/>
      <c r="E622" s="1" t="str">
        <f>_xlfn.REGEXREPLACE(C622, "(.*)\/$", "https://extremismterms.adl.org\1")</f>
        <v>https://extremismterms.adl.org/glossary/traditionalist-american-knights-tak</v>
      </c>
      <c r="F622" s="1" t="str" cm="1">
        <f t="array" ref="F622">_xlfn.LET(_xlpm.rowNum,MATCH(E622,'glossaryterms-export'!C:C,0),
IF(AND(NOT(ISBLANK(INDEX('glossaryterms-export'!H:H,_xlpm.rowNum))),ISBLANK(INDEX('glossaryterms-export'!I:I,_xlpm.rowNum))),"Ready to Fix",""))</f>
        <v>Ready to Fix</v>
      </c>
      <c r="G622">
        <v>73</v>
      </c>
      <c r="H622">
        <v>66</v>
      </c>
      <c r="I622">
        <v>1.1060606060606</v>
      </c>
      <c r="J622">
        <v>20.060606060605998</v>
      </c>
      <c r="K622">
        <v>270</v>
      </c>
    </row>
    <row r="623" spans="1:11" ht="61.5">
      <c r="A623">
        <v>622</v>
      </c>
      <c r="B623" s="16"/>
      <c r="C623" t="s">
        <v>681</v>
      </c>
      <c r="D623" s="1"/>
      <c r="E623" s="1" t="str">
        <f>_xlfn.REGEXREPLACE(C623, "(.*)\/$", "https://extremismterms.adl.org\1")</f>
        <v>https://extremismterms.adl.org/glossary/east-coast-knights</v>
      </c>
      <c r="F623" s="1" t="str" cm="1">
        <f t="array" ref="F623">_xlfn.LET(_xlpm.rowNum,MATCH(E623,'glossaryterms-export'!C:C,0),
IF(AND(NOT(ISBLANK(INDEX('glossaryterms-export'!H:H,_xlpm.rowNum))),ISBLANK(INDEX('glossaryterms-export'!I:I,_xlpm.rowNum))),"Ready to Fix",""))</f>
        <v/>
      </c>
      <c r="G623">
        <v>72</v>
      </c>
      <c r="H623">
        <v>62</v>
      </c>
      <c r="I623">
        <v>1.1612903225806399</v>
      </c>
      <c r="J623">
        <v>15.5483870967741</v>
      </c>
      <c r="K623">
        <v>211</v>
      </c>
    </row>
    <row r="624" spans="1:11" ht="61.5">
      <c r="A624">
        <v>623</v>
      </c>
      <c r="B624" s="16"/>
      <c r="C624" t="s">
        <v>682</v>
      </c>
      <c r="D624" s="1"/>
      <c r="E624" s="1" t="str">
        <f>_xlfn.REGEXREPLACE(C624, "(.*)\/$", "https://extremismterms.adl.org\1")</f>
        <v>https://extremismterms.adl.org/glossary/race-traitor</v>
      </c>
      <c r="F624" s="1" t="str" cm="1">
        <f t="array" ref="F624">_xlfn.LET(_xlpm.rowNum,MATCH(E624,'glossaryterms-export'!C:C,0),
IF(AND(NOT(ISBLANK(INDEX('glossaryterms-export'!H:H,_xlpm.rowNum))),ISBLANK(INDEX('glossaryterms-export'!I:I,_xlpm.rowNum))),"Ready to Fix",""))</f>
        <v/>
      </c>
      <c r="G624">
        <v>72</v>
      </c>
      <c r="H624">
        <v>67</v>
      </c>
      <c r="I624">
        <v>1.07462686567164</v>
      </c>
      <c r="J624">
        <v>13.701492537313399</v>
      </c>
      <c r="K624">
        <v>209</v>
      </c>
    </row>
    <row r="625" spans="1:11" ht="61.5">
      <c r="A625">
        <v>624</v>
      </c>
      <c r="B625" s="16"/>
      <c r="C625" t="s">
        <v>683</v>
      </c>
      <c r="D625" s="1"/>
      <c r="E625" s="1" t="str">
        <f>_xlfn.REGEXREPLACE(C625, "(.*)\/$", "https://extremismterms.adl.org\1")</f>
        <v>https://extremismterms.adl.org/glossary/ahmed-yassin</v>
      </c>
      <c r="F625" s="1" t="str" cm="1">
        <f t="array" ref="F625">_xlfn.LET(_xlpm.rowNum,MATCH(E625,'glossaryterms-export'!C:C,0),
IF(AND(NOT(ISBLANK(INDEX('glossaryterms-export'!H:H,_xlpm.rowNum))),ISBLANK(INDEX('glossaryterms-export'!I:I,_xlpm.rowNum))),"Ready to Fix",""))</f>
        <v/>
      </c>
      <c r="G625">
        <v>71</v>
      </c>
      <c r="H625">
        <v>65</v>
      </c>
      <c r="I625">
        <v>1.09230769230769</v>
      </c>
      <c r="J625">
        <v>15.646153846153799</v>
      </c>
      <c r="K625">
        <v>158</v>
      </c>
    </row>
    <row r="626" spans="1:11" ht="61.5">
      <c r="A626">
        <v>625</v>
      </c>
      <c r="B626" s="16"/>
      <c r="C626" t="s">
        <v>684</v>
      </c>
      <c r="D626" s="1"/>
      <c r="E626" s="1" t="str">
        <f>_xlfn.REGEXREPLACE(C626, "(.*)\/$", "https://extremismterms.adl.org\1")</f>
        <v>https://extremismterms.adl.org/glossary/brien-james</v>
      </c>
      <c r="F626" s="1" t="str" cm="1">
        <f t="array" ref="F626">_xlfn.LET(_xlpm.rowNum,MATCH(E626,'glossaryterms-export'!C:C,0),
IF(AND(NOT(ISBLANK(INDEX('glossaryterms-export'!H:H,_xlpm.rowNum))),ISBLANK(INDEX('glossaryterms-export'!I:I,_xlpm.rowNum))),"Ready to Fix",""))</f>
        <v>Ready to Fix</v>
      </c>
      <c r="G626">
        <v>71</v>
      </c>
      <c r="H626">
        <v>65</v>
      </c>
      <c r="I626">
        <v>1.09230769230769</v>
      </c>
      <c r="J626">
        <v>31.030769230769199</v>
      </c>
      <c r="K626">
        <v>229</v>
      </c>
    </row>
    <row r="627" spans="1:11" ht="61.5">
      <c r="A627">
        <v>626</v>
      </c>
      <c r="B627" s="14" t="s">
        <v>22</v>
      </c>
      <c r="C627" t="s">
        <v>685</v>
      </c>
      <c r="D627" s="1" t="s">
        <v>20</v>
      </c>
      <c r="E627" s="1" t="str">
        <f>_xlfn.REGEXREPLACE(C627, "(.*)\/$", "https://extremismterms.adl.org\1")</f>
        <v>https://extremismterms.adl.org/glossary/ragefuel</v>
      </c>
      <c r="F627" s="1" t="str" cm="1">
        <f t="array" ref="F627">_xlfn.LET(_xlpm.rowNum,MATCH(E627,'glossaryterms-export'!C:C,0),
IF(AND(NOT(ISBLANK(INDEX('glossaryterms-export'!H:H,_xlpm.rowNum))),ISBLANK(INDEX('glossaryterms-export'!I:I,_xlpm.rowNum))),"Ready to Fix",""))</f>
        <v/>
      </c>
      <c r="G627">
        <v>71</v>
      </c>
      <c r="H627">
        <v>67</v>
      </c>
      <c r="I627">
        <v>1.0597014925373101</v>
      </c>
      <c r="J627">
        <v>14.3880597014925</v>
      </c>
      <c r="K627">
        <v>256</v>
      </c>
    </row>
    <row r="628" spans="1:11" ht="61.5">
      <c r="A628">
        <v>627</v>
      </c>
      <c r="B628" s="16"/>
      <c r="C628" t="s">
        <v>686</v>
      </c>
      <c r="D628" s="1"/>
      <c r="E628" s="1" t="str">
        <f>_xlfn.REGEXREPLACE(C628, "(.*)\/$", "https://extremismterms.adl.org\1")</f>
        <v>https://extremismterms.adl.org/glossary/robert-rundo</v>
      </c>
      <c r="F628" s="1" t="str" cm="1">
        <f t="array" ref="F628">_xlfn.LET(_xlpm.rowNum,MATCH(E628,'glossaryterms-export'!C:C,0),
IF(AND(NOT(ISBLANK(INDEX('glossaryterms-export'!H:H,_xlpm.rowNum))),ISBLANK(INDEX('glossaryterms-export'!I:I,_xlpm.rowNum))),"Ready to Fix",""))</f>
        <v/>
      </c>
      <c r="G628">
        <v>71</v>
      </c>
      <c r="H628">
        <v>65</v>
      </c>
      <c r="I628">
        <v>1.09230769230769</v>
      </c>
      <c r="J628">
        <v>8.7538461538461494</v>
      </c>
      <c r="K628">
        <v>215</v>
      </c>
    </row>
    <row r="629" spans="1:11" ht="46.5">
      <c r="A629">
        <v>628</v>
      </c>
      <c r="B629" s="16"/>
      <c r="C629" t="s">
        <v>687</v>
      </c>
      <c r="D629" s="1"/>
      <c r="E629" s="1" t="str">
        <f>_xlfn.REGEXREPLACE(C629, "(.*)\/$", "https://extremismterms.adl.org\1")</f>
        <v>https://extremismterms.adl.org/glossary/14</v>
      </c>
      <c r="F629" s="1" t="str" cm="1">
        <f t="array" ref="F629">_xlfn.LET(_xlpm.rowNum,MATCH(E629,'glossaryterms-export'!C:C,0),
IF(AND(NOT(ISBLANK(INDEX('glossaryterms-export'!H:H,_xlpm.rowNum))),ISBLANK(INDEX('glossaryterms-export'!I:I,_xlpm.rowNum))),"Ready to Fix",""))</f>
        <v>Ready to Fix</v>
      </c>
      <c r="G629">
        <v>70</v>
      </c>
      <c r="H629">
        <v>65</v>
      </c>
      <c r="I629">
        <v>1.07692307692307</v>
      </c>
      <c r="J629">
        <v>14.138461538461501</v>
      </c>
      <c r="K629">
        <v>172</v>
      </c>
    </row>
    <row r="630" spans="1:11" ht="61.5">
      <c r="A630">
        <v>629</v>
      </c>
      <c r="B630" s="32" t="s">
        <v>124</v>
      </c>
      <c r="C630" t="s">
        <v>688</v>
      </c>
      <c r="D630" s="1" t="s">
        <v>20</v>
      </c>
      <c r="E630" s="1" t="str">
        <f>_xlfn.REGEXREPLACE(C630, "(.*)\/$", "https://extremismterms.adl.org\1")</f>
        <v>https://extremismterms.adl.org/glossary/alfred-adask</v>
      </c>
      <c r="F630" s="1" t="str" cm="1">
        <f t="array" ref="F630">_xlfn.LET(_xlpm.rowNum,MATCH(E630,'glossaryterms-export'!C:C,0),
IF(AND(NOT(ISBLANK(INDEX('glossaryterms-export'!H:H,_xlpm.rowNum))),ISBLANK(INDEX('glossaryterms-export'!I:I,_xlpm.rowNum))),"Ready to Fix",""))</f>
        <v/>
      </c>
      <c r="G630">
        <v>70</v>
      </c>
      <c r="H630">
        <v>65</v>
      </c>
      <c r="I630">
        <v>1.07692307692307</v>
      </c>
      <c r="J630">
        <v>21.2</v>
      </c>
      <c r="K630">
        <v>284</v>
      </c>
    </row>
    <row r="631" spans="1:11" ht="77.25">
      <c r="A631">
        <v>630</v>
      </c>
      <c r="B631" s="16"/>
      <c r="C631" t="s">
        <v>689</v>
      </c>
      <c r="D631" s="1"/>
      <c r="E631" s="1" t="str">
        <f>_xlfn.REGEXREPLACE(C631, "(.*)\/$", "https://extremismterms.adl.org\1")</f>
        <v>https://extremismterms.adl.org/glossary/european-paganism</v>
      </c>
      <c r="F631" s="1" t="str" cm="1">
        <f t="array" ref="F631">_xlfn.LET(_xlpm.rowNum,MATCH(E631,'glossaryterms-export'!C:C,0),
IF(AND(NOT(ISBLANK(INDEX('glossaryterms-export'!H:H,_xlpm.rowNum))),ISBLANK(INDEX('glossaryterms-export'!I:I,_xlpm.rowNum))),"Ready to Fix",""))</f>
        <v/>
      </c>
      <c r="G631">
        <v>70</v>
      </c>
      <c r="H631">
        <v>62</v>
      </c>
      <c r="I631">
        <v>1.12903225806451</v>
      </c>
      <c r="J631">
        <v>22.758064516129</v>
      </c>
      <c r="K631">
        <v>163</v>
      </c>
    </row>
    <row r="632" spans="1:11" ht="61.5">
      <c r="A632">
        <v>631</v>
      </c>
      <c r="B632" s="16"/>
      <c r="C632" t="s">
        <v>690</v>
      </c>
      <c r="D632" s="1"/>
      <c r="E632" s="1" t="str">
        <f>_xlfn.REGEXREPLACE(C632, "(.*)\/$", "https://extremismterms.adl.org\1")</f>
        <v>https://extremismterms.adl.org/glossary/identity-dixie</v>
      </c>
      <c r="F632" s="1" t="str" cm="1">
        <f t="array" ref="F632">_xlfn.LET(_xlpm.rowNum,MATCH(E632,'glossaryterms-export'!C:C,0),
IF(AND(NOT(ISBLANK(INDEX('glossaryterms-export'!H:H,_xlpm.rowNum))),ISBLANK(INDEX('glossaryterms-export'!I:I,_xlpm.rowNum))),"Ready to Fix",""))</f>
        <v/>
      </c>
      <c r="G632">
        <v>70</v>
      </c>
      <c r="H632">
        <v>63</v>
      </c>
      <c r="I632">
        <v>1.1111111111111101</v>
      </c>
      <c r="J632">
        <v>15.7936507936507</v>
      </c>
      <c r="K632">
        <v>229</v>
      </c>
    </row>
    <row r="633" spans="1:11" ht="61.5">
      <c r="A633">
        <v>632</v>
      </c>
      <c r="B633" s="16"/>
      <c r="C633" t="s">
        <v>691</v>
      </c>
      <c r="D633" s="1"/>
      <c r="E633" s="1" t="str">
        <f>_xlfn.REGEXREPLACE(C633, "(.*)\/$", "https://extremismterms.adl.org\1")</f>
        <v>https://extremismterms.adl.org/glossary/jerry-vlasak</v>
      </c>
      <c r="F633" s="1" t="str" cm="1">
        <f t="array" ref="F633">_xlfn.LET(_xlpm.rowNum,MATCH(E633,'glossaryterms-export'!C:C,0),
IF(AND(NOT(ISBLANK(INDEX('glossaryterms-export'!H:H,_xlpm.rowNum))),ISBLANK(INDEX('glossaryterms-export'!I:I,_xlpm.rowNum))),"Ready to Fix",""))</f>
        <v/>
      </c>
      <c r="G633">
        <v>70</v>
      </c>
      <c r="H633">
        <v>69</v>
      </c>
      <c r="I633">
        <v>1.01449275362318</v>
      </c>
      <c r="J633">
        <v>17.956521739130402</v>
      </c>
      <c r="K633">
        <v>179</v>
      </c>
    </row>
    <row r="634" spans="1:11" ht="61.5">
      <c r="A634">
        <v>633</v>
      </c>
      <c r="B634" s="16"/>
      <c r="C634" t="s">
        <v>692</v>
      </c>
      <c r="D634" s="1"/>
      <c r="E634" s="1" t="str">
        <f>_xlfn.REGEXREPLACE(C634, "(.*)\/$", "https://extremismterms.adl.org\1")</f>
        <v>https://extremismterms.adl.org/glossary/league-south-los</v>
      </c>
      <c r="F634" s="1" t="str" cm="1">
        <f t="array" ref="F634">_xlfn.LET(_xlpm.rowNum,MATCH(E634,'glossaryterms-export'!C:C,0),
IF(AND(NOT(ISBLANK(INDEX('glossaryterms-export'!H:H,_xlpm.rowNum))),ISBLANK(INDEX('glossaryterms-export'!I:I,_xlpm.rowNum))),"Ready to Fix",""))</f>
        <v>Ready to Fix</v>
      </c>
      <c r="G634">
        <v>70</v>
      </c>
      <c r="H634">
        <v>57</v>
      </c>
      <c r="I634">
        <v>1.2280701754385901</v>
      </c>
      <c r="J634">
        <v>34.350877192982402</v>
      </c>
      <c r="K634">
        <v>165</v>
      </c>
    </row>
    <row r="635" spans="1:11" ht="61.5">
      <c r="A635">
        <v>634</v>
      </c>
      <c r="B635" s="16"/>
      <c r="C635" t="s">
        <v>693</v>
      </c>
      <c r="D635" s="1"/>
      <c r="E635" s="1" t="str">
        <f>_xlfn.REGEXREPLACE(C635, "(.*)\/$", "https://extremismterms.adl.org\1")</f>
        <v>https://extremismterms.adl.org/glossary/martial-law</v>
      </c>
      <c r="F635" s="1" t="str" cm="1">
        <f t="array" ref="F635">_xlfn.LET(_xlpm.rowNum,MATCH(E635,'glossaryterms-export'!C:C,0),
IF(AND(NOT(ISBLANK(INDEX('glossaryterms-export'!H:H,_xlpm.rowNum))),ISBLANK(INDEX('glossaryterms-export'!I:I,_xlpm.rowNum))),"Ready to Fix",""))</f>
        <v/>
      </c>
      <c r="G635">
        <v>70</v>
      </c>
      <c r="H635">
        <v>65</v>
      </c>
      <c r="I635">
        <v>1.07692307692307</v>
      </c>
      <c r="J635">
        <v>20.9384615384615</v>
      </c>
      <c r="K635">
        <v>176</v>
      </c>
    </row>
    <row r="636" spans="1:11" ht="77.25">
      <c r="A636">
        <v>635</v>
      </c>
      <c r="B636" s="16"/>
      <c r="C636" t="s">
        <v>694</v>
      </c>
      <c r="D636" s="1"/>
      <c r="E636" s="1" t="str">
        <f>_xlfn.REGEXREPLACE(C636, "(.*)\/$", "https://extremismterms.adl.org\1")</f>
        <v>https://extremismterms.adl.org/glossary/vinlanders-social-club</v>
      </c>
      <c r="F636" s="1" t="str" cm="1">
        <f t="array" ref="F636">_xlfn.LET(_xlpm.rowNum,MATCH(E636,'glossaryterms-export'!C:C,0),
IF(AND(NOT(ISBLANK(INDEX('glossaryterms-export'!H:H,_xlpm.rowNum))),ISBLANK(INDEX('glossaryterms-export'!I:I,_xlpm.rowNum))),"Ready to Fix",""))</f>
        <v/>
      </c>
      <c r="G636">
        <v>70</v>
      </c>
      <c r="H636">
        <v>58</v>
      </c>
      <c r="I636">
        <v>1.2068965517241299</v>
      </c>
      <c r="J636">
        <v>23.017241379310299</v>
      </c>
      <c r="K636">
        <v>191</v>
      </c>
    </row>
    <row r="637" spans="1:11" ht="92.25">
      <c r="A637">
        <v>636</v>
      </c>
      <c r="B637" s="14" t="s">
        <v>15</v>
      </c>
      <c r="C637" t="s">
        <v>695</v>
      </c>
      <c r="D637" s="1" t="s">
        <v>20</v>
      </c>
      <c r="E637" s="1" t="str">
        <f>_xlfn.REGEXREPLACE(C637, "(.*)\/$", "https://extremismterms.adl.org\1")</f>
        <v>https://extremismterms.adl.org/glossary/17th-special-operations-group</v>
      </c>
      <c r="F637" s="1" t="str" cm="1">
        <f t="array" ref="F637">_xlfn.LET(_xlpm.rowNum,MATCH(E637,'glossaryterms-export'!C:C,0),
IF(AND(NOT(ISBLANK(INDEX('glossaryterms-export'!H:H,_xlpm.rowNum))),ISBLANK(INDEX('glossaryterms-export'!I:I,_xlpm.rowNum))),"Ready to Fix",""))</f>
        <v/>
      </c>
      <c r="G637">
        <v>69</v>
      </c>
      <c r="H637">
        <v>59</v>
      </c>
      <c r="I637">
        <v>1.1694915254237199</v>
      </c>
      <c r="J637">
        <v>29.898305084745701</v>
      </c>
      <c r="K637">
        <v>263</v>
      </c>
    </row>
    <row r="638" spans="1:11" ht="77.25">
      <c r="A638">
        <v>637</v>
      </c>
      <c r="B638" s="16"/>
      <c r="C638" t="s">
        <v>696</v>
      </c>
      <c r="D638" s="1"/>
      <c r="E638" s="1" t="str">
        <f>_xlfn.REGEXREPLACE(C638, "(.*)\/$", "https://extremismterms.adl.org\1")</f>
        <v>https://extremismterms.adl.org/glossary/national-socialist-liberation-front</v>
      </c>
      <c r="F638" s="1" t="str" cm="1">
        <f t="array" ref="F638">_xlfn.LET(_xlpm.rowNum,MATCH(E638,'glossaryterms-export'!C:C,0),
IF(AND(NOT(ISBLANK(INDEX('glossaryterms-export'!H:H,_xlpm.rowNum))),ISBLANK(INDEX('glossaryterms-export'!I:I,_xlpm.rowNum))),"Ready to Fix",""))</f>
        <v/>
      </c>
      <c r="G638">
        <v>69</v>
      </c>
      <c r="H638">
        <v>58</v>
      </c>
      <c r="I638">
        <v>1.18965517241379</v>
      </c>
      <c r="J638">
        <v>12.1551724137931</v>
      </c>
      <c r="K638">
        <v>195</v>
      </c>
    </row>
    <row r="639" spans="1:11" ht="77.25">
      <c r="A639">
        <v>638</v>
      </c>
      <c r="B639" s="16"/>
      <c r="C639" t="s">
        <v>697</v>
      </c>
      <c r="D639" s="1"/>
      <c r="E639" s="1" t="str">
        <f>_xlfn.REGEXREPLACE(C639, "(.*)\/$", "https://extremismterms.adl.org\1")</f>
        <v>https://extremismterms.adl.org/glossary/Y-nation-israelite-congregation</v>
      </c>
      <c r="F639" s="1" t="str" cm="1">
        <f t="array" ref="F639">_xlfn.LET(_xlpm.rowNum,MATCH(E639,'glossaryterms-export'!C:C,0),
IF(AND(NOT(ISBLANK(INDEX('glossaryterms-export'!H:H,_xlpm.rowNum))),ISBLANK(INDEX('glossaryterms-export'!I:I,_xlpm.rowNum))),"Ready to Fix",""))</f>
        <v/>
      </c>
      <c r="G639">
        <v>69</v>
      </c>
      <c r="H639">
        <v>58</v>
      </c>
      <c r="I639">
        <v>1.18965517241379</v>
      </c>
      <c r="J639">
        <v>41.068965517241303</v>
      </c>
      <c r="K639">
        <v>273</v>
      </c>
    </row>
    <row r="640" spans="1:11" ht="61.5">
      <c r="A640">
        <v>639</v>
      </c>
      <c r="B640" s="16"/>
      <c r="C640" t="s">
        <v>698</v>
      </c>
      <c r="D640" s="1"/>
      <c r="E640" s="1" t="str">
        <f>_xlfn.REGEXREPLACE(C640, "(.*)\/$", "https://extremismterms.adl.org\1")</f>
        <v>https://extremismterms.adl.org/glossary/turbo-cancer</v>
      </c>
      <c r="F640" s="1" t="str" cm="1">
        <f t="array" ref="F640">_xlfn.LET(_xlpm.rowNum,MATCH(E640,'glossaryterms-export'!C:C,0),
IF(AND(NOT(ISBLANK(INDEX('glossaryterms-export'!H:H,_xlpm.rowNum))),ISBLANK(INDEX('glossaryterms-export'!I:I,_xlpm.rowNum))),"Ready to Fix",""))</f>
        <v/>
      </c>
      <c r="G640">
        <v>69</v>
      </c>
      <c r="H640">
        <v>61</v>
      </c>
      <c r="I640">
        <v>1.1311475409836</v>
      </c>
      <c r="J640">
        <v>15.0819672131147</v>
      </c>
      <c r="K640">
        <v>213</v>
      </c>
    </row>
    <row r="641" spans="1:11" ht="61.5">
      <c r="A641">
        <v>640</v>
      </c>
      <c r="B641" s="16"/>
      <c r="C641" t="s">
        <v>699</v>
      </c>
      <c r="D641" s="1"/>
      <c r="E641" s="1" t="str">
        <f>_xlfn.REGEXREPLACE(C641, "(.*)\/$", "https://extremismterms.adl.org\1")</f>
        <v>https://extremismterms.adl.org/glossary/blood-and-soil</v>
      </c>
      <c r="F641" s="1" t="str" cm="1">
        <f t="array" ref="F641">_xlfn.LET(_xlpm.rowNum,MATCH(E641,'glossaryterms-export'!C:C,0),
IF(AND(NOT(ISBLANK(INDEX('glossaryterms-export'!H:H,_xlpm.rowNum))),ISBLANK(INDEX('glossaryterms-export'!I:I,_xlpm.rowNum))),"Ready to Fix",""))</f>
        <v>Ready to Fix</v>
      </c>
      <c r="G641">
        <v>68</v>
      </c>
      <c r="H641">
        <v>57</v>
      </c>
      <c r="I641">
        <v>1.1929824561403499</v>
      </c>
      <c r="J641">
        <v>12.140350877192899</v>
      </c>
      <c r="K641">
        <v>196</v>
      </c>
    </row>
    <row r="642" spans="1:11" ht="61.5">
      <c r="A642">
        <v>641</v>
      </c>
      <c r="B642" s="16"/>
      <c r="C642" t="s">
        <v>700</v>
      </c>
      <c r="D642" s="1"/>
      <c r="E642" s="1" t="str">
        <f>_xlfn.REGEXREPLACE(C642, "(.*)\/$", "https://extremismterms.adl.org\1")</f>
        <v>https://extremismterms.adl.org/glossary/disinformation</v>
      </c>
      <c r="F642" s="1" t="str" cm="1">
        <f t="array" ref="F642">_xlfn.LET(_xlpm.rowNum,MATCH(E642,'glossaryterms-export'!C:C,0),
IF(AND(NOT(ISBLANK(INDEX('glossaryterms-export'!H:H,_xlpm.rowNum))),ISBLANK(INDEX('glossaryterms-export'!I:I,_xlpm.rowNum))),"Ready to Fix",""))</f>
        <v/>
      </c>
      <c r="G642">
        <v>68</v>
      </c>
      <c r="H642">
        <v>67</v>
      </c>
      <c r="I642">
        <v>1.01492537313432</v>
      </c>
      <c r="J642">
        <v>9.4626865671641696</v>
      </c>
      <c r="K642">
        <v>159</v>
      </c>
    </row>
    <row r="643" spans="1:11" ht="61.5">
      <c r="A643">
        <v>642</v>
      </c>
      <c r="B643" s="16"/>
      <c r="C643" t="s">
        <v>701</v>
      </c>
      <c r="D643" s="1"/>
      <c r="E643" s="1" t="str">
        <f>_xlfn.REGEXREPLACE(C643, "(.*)\/$", "https://extremismterms.adl.org\1")</f>
        <v>https://extremismterms.adl.org/glossary/hate-symbol</v>
      </c>
      <c r="F643" s="1" t="str" cm="1">
        <f t="array" ref="F643">_xlfn.LET(_xlpm.rowNum,MATCH(E643,'glossaryterms-export'!C:C,0),
IF(AND(NOT(ISBLANK(INDEX('glossaryterms-export'!H:H,_xlpm.rowNum))),ISBLANK(INDEX('glossaryterms-export'!I:I,_xlpm.rowNum))),"Ready to Fix",""))</f>
        <v>Ready to Fix</v>
      </c>
      <c r="G643">
        <v>68</v>
      </c>
      <c r="H643">
        <v>62</v>
      </c>
      <c r="I643">
        <v>1.0967741935483799</v>
      </c>
      <c r="J643">
        <v>12.6451612903225</v>
      </c>
      <c r="K643">
        <v>154</v>
      </c>
    </row>
    <row r="644" spans="1:11" ht="61.5">
      <c r="A644">
        <v>643</v>
      </c>
      <c r="B644" s="16"/>
      <c r="C644" t="s">
        <v>702</v>
      </c>
      <c r="D644" s="1"/>
      <c r="E644" s="1" t="str">
        <f>_xlfn.REGEXREPLACE(C644, "(.*)\/$", "https://extremismterms.adl.org\1")</f>
        <v>https://extremismterms.adl.org/glossary/hezbollah</v>
      </c>
      <c r="F644" s="1" t="str" cm="1">
        <f t="array" ref="F644">_xlfn.LET(_xlpm.rowNum,MATCH(E644,'glossaryterms-export'!C:C,0),
IF(AND(NOT(ISBLANK(INDEX('glossaryterms-export'!H:H,_xlpm.rowNum))),ISBLANK(INDEX('glossaryterms-export'!I:I,_xlpm.rowNum))),"Ready to Fix",""))</f>
        <v>Ready to Fix</v>
      </c>
      <c r="G644">
        <v>68</v>
      </c>
      <c r="H644">
        <v>57</v>
      </c>
      <c r="I644">
        <v>1.1929824561403499</v>
      </c>
      <c r="J644">
        <v>32.315789473684198</v>
      </c>
      <c r="K644">
        <v>252</v>
      </c>
    </row>
    <row r="645" spans="1:11" ht="77.25">
      <c r="A645">
        <v>644</v>
      </c>
      <c r="B645" s="14" t="s">
        <v>92</v>
      </c>
      <c r="C645" t="s">
        <v>703</v>
      </c>
      <c r="D645" s="1" t="s">
        <v>20</v>
      </c>
      <c r="E645" s="1" t="str">
        <f>_xlfn.REGEXREPLACE(C645, "(.*)\/$", "https://extremismterms.adl.org\1")</f>
        <v>https://extremismterms.adl.org/glossary/nihilism-accelerationist</v>
      </c>
      <c r="F645" s="1" t="str" cm="1">
        <f t="array" ref="F645">_xlfn.LET(_xlpm.rowNum,MATCH(E645,'glossaryterms-export'!C:C,0),
IF(AND(NOT(ISBLANK(INDEX('glossaryterms-export'!H:H,_xlpm.rowNum))),ISBLANK(INDEX('glossaryterms-export'!I:I,_xlpm.rowNum))),"Ready to Fix",""))</f>
        <v/>
      </c>
      <c r="G645">
        <v>68</v>
      </c>
      <c r="H645">
        <v>62</v>
      </c>
      <c r="I645">
        <v>1.0967741935483799</v>
      </c>
      <c r="J645">
        <v>15.338709677419301</v>
      </c>
      <c r="K645">
        <v>173</v>
      </c>
    </row>
    <row r="646" spans="1:11" ht="61.5">
      <c r="A646">
        <v>645</v>
      </c>
      <c r="B646" s="16"/>
      <c r="C646" t="s">
        <v>704</v>
      </c>
      <c r="D646" s="1"/>
      <c r="E646" s="1" t="str">
        <f>_xlfn.REGEXREPLACE(C646, "(.*)\/$", "https://extremismterms.adl.org\1")</f>
        <v>https://extremismterms.adl.org/glossary/colin-jordan</v>
      </c>
      <c r="F646" s="1" t="str" cm="1">
        <f t="array" ref="F646">_xlfn.LET(_xlpm.rowNum,MATCH(E646,'glossaryterms-export'!C:C,0),
IF(AND(NOT(ISBLANK(INDEX('glossaryterms-export'!H:H,_xlpm.rowNum))),ISBLANK(INDEX('glossaryterms-export'!I:I,_xlpm.rowNum))),"Ready to Fix",""))</f>
        <v/>
      </c>
      <c r="G646">
        <v>67</v>
      </c>
      <c r="H646">
        <v>56</v>
      </c>
      <c r="I646">
        <v>1.1964285714285701</v>
      </c>
      <c r="J646">
        <v>13.6428571428571</v>
      </c>
      <c r="K646">
        <v>152</v>
      </c>
    </row>
    <row r="647" spans="1:11" ht="61.5">
      <c r="A647">
        <v>646</v>
      </c>
      <c r="B647" s="16"/>
      <c r="C647" t="s">
        <v>705</v>
      </c>
      <c r="D647" s="1"/>
      <c r="E647" s="1" t="str">
        <f>_xlfn.REGEXREPLACE(C647, "(.*)\/$", "https://extremismterms.adl.org\1")</f>
        <v>https://extremismterms.adl.org/glossary/colin-robertson</v>
      </c>
      <c r="F647" s="1" t="str" cm="1">
        <f t="array" ref="F647">_xlfn.LET(_xlpm.rowNum,MATCH(E647,'glossaryterms-export'!C:C,0),
IF(AND(NOT(ISBLANK(INDEX('glossaryterms-export'!H:H,_xlpm.rowNum))),ISBLANK(INDEX('glossaryterms-export'!I:I,_xlpm.rowNum))),"Ready to Fix",""))</f>
        <v/>
      </c>
      <c r="G647">
        <v>66</v>
      </c>
      <c r="H647">
        <v>59</v>
      </c>
      <c r="I647">
        <v>1.118644068</v>
      </c>
      <c r="J647">
        <v>9.7288135593220293</v>
      </c>
      <c r="K647">
        <v>176</v>
      </c>
    </row>
    <row r="648" spans="1:11" ht="61.5">
      <c r="A648">
        <v>647</v>
      </c>
      <c r="B648" s="16"/>
      <c r="C648" t="s">
        <v>706</v>
      </c>
      <c r="D648" s="1"/>
      <c r="E648" s="1" t="str">
        <f>_xlfn.REGEXREPLACE(C648, "(.*)\/$", "https://extremismterms.adl.org\1")</f>
        <v>https://extremismterms.adl.org/glossary/infowars</v>
      </c>
      <c r="F648" s="1" t="str" cm="1">
        <f t="array" ref="F648">_xlfn.LET(_xlpm.rowNum,MATCH(E648,'glossaryterms-export'!C:C,0),
IF(AND(NOT(ISBLANK(INDEX('glossaryterms-export'!H:H,_xlpm.rowNum))),ISBLANK(INDEX('glossaryterms-export'!I:I,_xlpm.rowNum))),"Ready to Fix",""))</f>
        <v>Ready to Fix</v>
      </c>
      <c r="G648">
        <v>66</v>
      </c>
      <c r="H648">
        <v>63</v>
      </c>
      <c r="I648">
        <v>1.0476190476190399</v>
      </c>
      <c r="J648">
        <v>6.1746031746031704</v>
      </c>
      <c r="K648">
        <v>170</v>
      </c>
    </row>
    <row r="649" spans="1:11" ht="108">
      <c r="A649">
        <v>648</v>
      </c>
      <c r="B649" s="16"/>
      <c r="C649" t="s">
        <v>707</v>
      </c>
      <c r="D649" s="1"/>
      <c r="E649" s="1" t="str">
        <f>_xlfn.REGEXREPLACE(C649, "(.*)\/$", "https://extremismterms.adl.org\1")</f>
        <v>https://extremismterms.adl.org/glossary/secret-relationship-between-blacks-and-jews</v>
      </c>
      <c r="F649" s="1" t="str" cm="1">
        <f t="array" ref="F649">_xlfn.LET(_xlpm.rowNum,MATCH(E649,'glossaryterms-export'!C:C,0),
IF(AND(NOT(ISBLANK(INDEX('glossaryterms-export'!H:H,_xlpm.rowNum))),ISBLANK(INDEX('glossaryterms-export'!I:I,_xlpm.rowNum))),"Ready to Fix",""))</f>
        <v>Ready to Fix</v>
      </c>
      <c r="G649">
        <v>66</v>
      </c>
      <c r="H649">
        <v>64</v>
      </c>
      <c r="I649">
        <v>1.03125</v>
      </c>
      <c r="J649">
        <v>20.34375</v>
      </c>
      <c r="K649">
        <v>232</v>
      </c>
    </row>
    <row r="650" spans="1:11" ht="61.5">
      <c r="A650">
        <v>649</v>
      </c>
      <c r="B650" s="16"/>
      <c r="C650" t="s">
        <v>708</v>
      </c>
      <c r="D650" s="1"/>
      <c r="E650" s="1" t="str">
        <f>_xlfn.REGEXREPLACE(C650, "(.*)\/$", "https://extremismterms.adl.org\1")</f>
        <v>https://extremismterms.adl.org/glossary/we-wuz-kangs</v>
      </c>
      <c r="F650" s="1" t="str" cm="1">
        <f t="array" ref="F650">_xlfn.LET(_xlpm.rowNum,MATCH(E650,'glossaryterms-export'!C:C,0),
IF(AND(NOT(ISBLANK(INDEX('glossaryterms-export'!H:H,_xlpm.rowNum))),ISBLANK(INDEX('glossaryterms-export'!I:I,_xlpm.rowNum))),"Ready to Fix",""))</f>
        <v>Ready to Fix</v>
      </c>
      <c r="G650">
        <v>66</v>
      </c>
      <c r="H650">
        <v>65</v>
      </c>
      <c r="I650">
        <v>1.01538461538461</v>
      </c>
      <c r="J650">
        <v>14.292307692307601</v>
      </c>
      <c r="K650">
        <v>178</v>
      </c>
    </row>
    <row r="651" spans="1:11" ht="77.25">
      <c r="A651">
        <v>650</v>
      </c>
      <c r="B651" s="16"/>
      <c r="C651" t="s">
        <v>709</v>
      </c>
      <c r="D651" s="1"/>
      <c r="E651" s="1" t="str">
        <f>_xlfn.REGEXREPLACE(C651, "(.*)\/$", "https://extremismterms.adl.org\1")</f>
        <v>https://extremismterms.adl.org/glossary/anti-government-extremism</v>
      </c>
      <c r="F651" s="1" t="str" cm="1">
        <f t="array" ref="F651">_xlfn.LET(_xlpm.rowNum,MATCH(E651,'glossaryterms-export'!C:C,0),
IF(AND(NOT(ISBLANK(INDEX('glossaryterms-export'!H:H,_xlpm.rowNum))),ISBLANK(INDEX('glossaryterms-export'!I:I,_xlpm.rowNum))),"Ready to Fix",""))</f>
        <v/>
      </c>
      <c r="G651">
        <v>65</v>
      </c>
      <c r="H651">
        <v>53</v>
      </c>
      <c r="I651">
        <v>1.2264150943396199</v>
      </c>
      <c r="J651">
        <v>14.4339622641509</v>
      </c>
      <c r="K651">
        <v>181</v>
      </c>
    </row>
    <row r="652" spans="1:11" ht="61.5">
      <c r="A652">
        <v>651</v>
      </c>
      <c r="B652" s="16"/>
      <c r="C652" t="s">
        <v>710</v>
      </c>
      <c r="D652" s="1"/>
      <c r="E652" s="1" t="str">
        <f>_xlfn.REGEXREPLACE(C652, "(.*)\/$", "https://extremismterms.adl.org\1")</f>
        <v>https://extremismterms.adl.org/glossary/jonathan-shelley</v>
      </c>
      <c r="F652" s="1" t="str" cm="1">
        <f t="array" ref="F652">_xlfn.LET(_xlpm.rowNum,MATCH(E652,'glossaryterms-export'!C:C,0),
IF(AND(NOT(ISBLANK(INDEX('glossaryterms-export'!H:H,_xlpm.rowNum))),ISBLANK(INDEX('glossaryterms-export'!I:I,_xlpm.rowNum))),"Ready to Fix",""))</f>
        <v/>
      </c>
      <c r="G652">
        <v>65</v>
      </c>
      <c r="H652">
        <v>60</v>
      </c>
      <c r="I652">
        <v>1.0833333333333299</v>
      </c>
      <c r="J652">
        <v>22.883333333333301</v>
      </c>
      <c r="K652">
        <v>234</v>
      </c>
    </row>
    <row r="653" spans="1:11" ht="61.5">
      <c r="A653">
        <v>652</v>
      </c>
      <c r="B653" s="16"/>
      <c r="C653" t="s">
        <v>711</v>
      </c>
      <c r="D653" s="1"/>
      <c r="E653" s="1" t="str">
        <f>_xlfn.REGEXREPLACE(C653, "(.*)\/$", "https://extremismterms.adl.org\1")</f>
        <v>https://extremismterms.adl.org/glossary/kigy-symbol</v>
      </c>
      <c r="F653" s="1" t="str" cm="1">
        <f t="array" ref="F653">_xlfn.LET(_xlpm.rowNum,MATCH(E653,'glossaryterms-export'!C:C,0),
IF(AND(NOT(ISBLANK(INDEX('glossaryterms-export'!H:H,_xlpm.rowNum))),ISBLANK(INDEX('glossaryterms-export'!I:I,_xlpm.rowNum))),"Ready to Fix",""))</f>
        <v>Ready to Fix</v>
      </c>
      <c r="G653">
        <v>65</v>
      </c>
      <c r="H653">
        <v>60</v>
      </c>
      <c r="I653">
        <v>1.0833333333333299</v>
      </c>
      <c r="J653">
        <v>12.6</v>
      </c>
      <c r="K653">
        <v>226</v>
      </c>
    </row>
    <row r="654" spans="1:11" ht="77.25">
      <c r="A654">
        <v>653</v>
      </c>
      <c r="B654" s="16"/>
      <c r="C654" t="s">
        <v>712</v>
      </c>
      <c r="D654" s="1"/>
      <c r="E654" s="1" t="str">
        <f>_xlfn.REGEXREPLACE(C654, "(.*)\/$", "https://extremismterms.adl.org\1")</f>
        <v>https://extremismterms.adl.org/glossary/ohio-aryan-brotherhood</v>
      </c>
      <c r="F654" s="1" t="str" cm="1">
        <f t="array" ref="F654">_xlfn.LET(_xlpm.rowNum,MATCH(E654,'glossaryterms-export'!C:C,0),
IF(AND(NOT(ISBLANK(INDEX('glossaryterms-export'!H:H,_xlpm.rowNum))),ISBLANK(INDEX('glossaryterms-export'!I:I,_xlpm.rowNum))),"Ready to Fix",""))</f>
        <v>Ready to Fix</v>
      </c>
      <c r="G654">
        <v>65</v>
      </c>
      <c r="H654">
        <v>64</v>
      </c>
      <c r="I654">
        <v>1.015625</v>
      </c>
      <c r="J654">
        <v>18.90625</v>
      </c>
      <c r="K654">
        <v>165</v>
      </c>
    </row>
    <row r="655" spans="1:11" ht="61.5">
      <c r="A655">
        <v>654</v>
      </c>
      <c r="B655" s="14" t="s">
        <v>25</v>
      </c>
      <c r="C655" t="s">
        <v>713</v>
      </c>
      <c r="D655" s="1" t="s">
        <v>20</v>
      </c>
      <c r="E655" s="1" t="str">
        <f>_xlfn.REGEXREPLACE(C655, "(.*)\/$", "https://extremismterms.adl.org\1")</f>
        <v>https://extremismterms.adl.org/glossary/posse-comitatus</v>
      </c>
      <c r="F655" s="1" t="str" cm="1">
        <f t="array" ref="F655">_xlfn.LET(_xlpm.rowNum,MATCH(E655,'glossaryterms-export'!C:C,0),
IF(AND(NOT(ISBLANK(INDEX('glossaryterms-export'!H:H,_xlpm.rowNum))),ISBLANK(INDEX('glossaryterms-export'!I:I,_xlpm.rowNum))),"Ready to Fix",""))</f>
        <v/>
      </c>
      <c r="G655">
        <v>65</v>
      </c>
      <c r="H655">
        <v>57</v>
      </c>
      <c r="I655">
        <v>1.14035087719298</v>
      </c>
      <c r="J655">
        <v>18.7017543859649</v>
      </c>
      <c r="K655">
        <v>237</v>
      </c>
    </row>
    <row r="656" spans="1:11" ht="77.25">
      <c r="A656">
        <v>655</v>
      </c>
      <c r="B656" s="16"/>
      <c r="C656" t="s">
        <v>714</v>
      </c>
      <c r="D656" s="1"/>
      <c r="E656" s="1" t="str">
        <f>_xlfn.REGEXREPLACE(C656, "(.*)\/$", "https://extremismterms.adl.org\1")</f>
        <v>https://extremismterms.adl.org/glossary/propertarian-movement</v>
      </c>
      <c r="F656" s="1" t="str" cm="1">
        <f t="array" ref="F656">_xlfn.LET(_xlpm.rowNum,MATCH(E656,'glossaryterms-export'!C:C,0),
IF(AND(NOT(ISBLANK(INDEX('glossaryterms-export'!H:H,_xlpm.rowNum))),ISBLANK(INDEX('glossaryterms-export'!I:I,_xlpm.rowNum))),"Ready to Fix",""))</f>
        <v/>
      </c>
      <c r="G656">
        <v>65</v>
      </c>
      <c r="H656">
        <v>59</v>
      </c>
      <c r="I656">
        <v>1.1016949152542299</v>
      </c>
      <c r="J656">
        <v>18.745762711864401</v>
      </c>
      <c r="K656">
        <v>242</v>
      </c>
    </row>
    <row r="657" spans="1:11" ht="123">
      <c r="A657">
        <v>656</v>
      </c>
      <c r="B657" s="16"/>
      <c r="C657" t="s">
        <v>715</v>
      </c>
      <c r="D657" s="1"/>
      <c r="E657" s="1" t="str">
        <f>_xlfn.REGEXREPLACE(C657, "(.*)\/$", "https://extremismterms.adl.org\1")</f>
        <v>https://extremismterms.adl.org/resources/backgrounder/glossary-key-terms-and-events-israels-history-israeli-arab-israeli</v>
      </c>
      <c r="F657" s="1" t="str" cm="1">
        <f t="array" ref="F657">_xlfn.LET(_xlpm.rowNum,MATCH(E657,'glossaryterms-export'!C:C,0),
IF(AND(NOT(ISBLANK(INDEX('glossaryterms-export'!H:H,_xlpm.rowNum))),ISBLANK(INDEX('glossaryterms-export'!I:I,_xlpm.rowNum))),"Ready to Fix",""))</f>
        <v/>
      </c>
      <c r="G657">
        <v>65</v>
      </c>
      <c r="H657">
        <v>60</v>
      </c>
      <c r="I657">
        <v>1.0833333333333299</v>
      </c>
      <c r="J657">
        <v>35.933333333333302</v>
      </c>
      <c r="K657">
        <v>442</v>
      </c>
    </row>
    <row r="658" spans="1:11" ht="61.5">
      <c r="A658">
        <v>657</v>
      </c>
      <c r="B658" s="16"/>
      <c r="C658" t="s">
        <v>716</v>
      </c>
      <c r="D658" s="1"/>
      <c r="E658" s="1" t="str">
        <f>_xlfn.REGEXREPLACE(C658, "(.*)\/$", "https://extremismterms.adl.org\1")</f>
        <v>https://extremismterms.adl.org/glossary/counter-currents</v>
      </c>
      <c r="F658" s="1" t="str" cm="1">
        <f t="array" ref="F658">_xlfn.LET(_xlpm.rowNum,MATCH(E658,'glossaryterms-export'!C:C,0),
IF(AND(NOT(ISBLANK(INDEX('glossaryterms-export'!H:H,_xlpm.rowNum))),ISBLANK(INDEX('glossaryterms-export'!I:I,_xlpm.rowNum))),"Ready to Fix",""))</f>
        <v/>
      </c>
      <c r="G658">
        <v>64</v>
      </c>
      <c r="H658">
        <v>59</v>
      </c>
      <c r="I658">
        <v>1.08474576271186</v>
      </c>
      <c r="J658">
        <v>9.8305084745762699</v>
      </c>
      <c r="K658">
        <v>211</v>
      </c>
    </row>
    <row r="659" spans="1:11" ht="61.5">
      <c r="A659">
        <v>658</v>
      </c>
      <c r="B659" s="16"/>
      <c r="C659" t="s">
        <v>717</v>
      </c>
      <c r="D659" s="1"/>
      <c r="E659" s="1" t="str">
        <f>_xlfn.REGEXREPLACE(C659, "(.*)\/$", "https://extremismterms.adl.org\1")</f>
        <v>https://extremismterms.adl.org/glossary/pestilence-heaven</v>
      </c>
      <c r="F659" s="1" t="str" cm="1">
        <f t="array" ref="F659">_xlfn.LET(_xlpm.rowNum,MATCH(E659,'glossaryterms-export'!C:C,0),
IF(AND(NOT(ISBLANK(INDEX('glossaryterms-export'!H:H,_xlpm.rowNum))),ISBLANK(INDEX('glossaryterms-export'!I:I,_xlpm.rowNum))),"Ready to Fix",""))</f>
        <v>Ready to Fix</v>
      </c>
      <c r="G659">
        <v>64</v>
      </c>
      <c r="H659">
        <v>61</v>
      </c>
      <c r="I659">
        <v>1.0491803278688501</v>
      </c>
      <c r="J659">
        <v>20.4098360655737</v>
      </c>
      <c r="K659">
        <v>157</v>
      </c>
    </row>
    <row r="660" spans="1:11" ht="61.5">
      <c r="A660">
        <v>659</v>
      </c>
      <c r="B660" s="16"/>
      <c r="C660" t="s">
        <v>718</v>
      </c>
      <c r="D660" s="1"/>
      <c r="E660" s="1" t="str">
        <f>_xlfn.REGEXREPLACE(C660, "(.*)\/$", "https://extremismterms.adl.org\1")</f>
        <v>https://extremismterms.adl.org/glossary/uhuru</v>
      </c>
      <c r="F660" s="1" t="str" cm="1">
        <f t="array" ref="F660">_xlfn.LET(_xlpm.rowNum,MATCH(E660,'glossaryterms-export'!C:C,0),
IF(AND(NOT(ISBLANK(INDEX('glossaryterms-export'!H:H,_xlpm.rowNum))),ISBLANK(INDEX('glossaryterms-export'!I:I,_xlpm.rowNum))),"Ready to Fix",""))</f>
        <v/>
      </c>
      <c r="G660">
        <v>64</v>
      </c>
      <c r="H660">
        <v>58</v>
      </c>
      <c r="I660">
        <v>1.1034482758620601</v>
      </c>
      <c r="J660">
        <v>20.862068965517199</v>
      </c>
      <c r="K660">
        <v>248</v>
      </c>
    </row>
    <row r="661" spans="1:11" ht="61.5">
      <c r="A661">
        <v>660</v>
      </c>
      <c r="B661" s="16"/>
      <c r="C661" t="s">
        <v>719</v>
      </c>
      <c r="D661" s="1"/>
      <c r="E661" s="1" t="str">
        <f>_xlfn.REGEXREPLACE(C661, "(.*)\/$", "https://extremismterms.adl.org\1")</f>
        <v>https://extremismterms.adl.org/glossary/pamela-geller</v>
      </c>
      <c r="F661" s="1" t="str" cm="1">
        <f t="array" ref="F661">_xlfn.LET(_xlpm.rowNum,MATCH(E661,'glossaryterms-export'!C:C,0),
IF(AND(NOT(ISBLANK(INDEX('glossaryterms-export'!H:H,_xlpm.rowNum))),ISBLANK(INDEX('glossaryterms-export'!I:I,_xlpm.rowNum))),"Ready to Fix",""))</f>
        <v/>
      </c>
      <c r="G661">
        <v>63</v>
      </c>
      <c r="H661">
        <v>58</v>
      </c>
      <c r="I661">
        <v>1.08620689655172</v>
      </c>
      <c r="J661">
        <v>12.6724137931034</v>
      </c>
      <c r="K661">
        <v>163</v>
      </c>
    </row>
    <row r="662" spans="1:11" ht="61.5">
      <c r="A662">
        <v>661</v>
      </c>
      <c r="B662" s="16"/>
      <c r="C662" t="s">
        <v>720</v>
      </c>
      <c r="D662" s="1"/>
      <c r="E662" s="1" t="str">
        <f>_xlfn.REGEXREPLACE(C662, "(.*)\/$", "https://extremismterms.adl.org\1")</f>
        <v>https://extremismterms.adl.org/glossary/roger-jimenez</v>
      </c>
      <c r="F662" s="1" t="str" cm="1">
        <f t="array" ref="F662">_xlfn.LET(_xlpm.rowNum,MATCH(E662,'glossaryterms-export'!C:C,0),
IF(AND(NOT(ISBLANK(INDEX('glossaryterms-export'!H:H,_xlpm.rowNum))),ISBLANK(INDEX('glossaryterms-export'!I:I,_xlpm.rowNum))),"Ready to Fix",""))</f>
        <v/>
      </c>
      <c r="G662">
        <v>63</v>
      </c>
      <c r="H662">
        <v>55</v>
      </c>
      <c r="I662">
        <v>1.14545454545454</v>
      </c>
      <c r="J662">
        <v>12.272727272727201</v>
      </c>
      <c r="K662">
        <v>205</v>
      </c>
    </row>
    <row r="663" spans="1:11" ht="77.25">
      <c r="A663">
        <v>662</v>
      </c>
      <c r="B663" s="16"/>
      <c r="C663" t="s">
        <v>721</v>
      </c>
      <c r="D663" s="1"/>
      <c r="E663" s="1" t="str">
        <f>_xlfn.REGEXREPLACE(C663, "(.*)\/$", "https://extremismterms.adl.org\1")</f>
        <v>https://extremismterms.adl.org/glossary/abu-musab-al-zarqawi</v>
      </c>
      <c r="F663" s="1" t="str" cm="1">
        <f t="array" ref="F663">_xlfn.LET(_xlpm.rowNum,MATCH(E663,'glossaryterms-export'!C:C,0),
IF(AND(NOT(ISBLANK(INDEX('glossaryterms-export'!H:H,_xlpm.rowNum))),ISBLANK(INDEX('glossaryterms-export'!I:I,_xlpm.rowNum))),"Ready to Fix",""))</f>
        <v/>
      </c>
      <c r="G663">
        <v>62</v>
      </c>
      <c r="H663">
        <v>62</v>
      </c>
      <c r="I663">
        <v>1</v>
      </c>
      <c r="J663">
        <v>21.129032258064498</v>
      </c>
      <c r="K663">
        <v>153</v>
      </c>
    </row>
    <row r="664" spans="1:11" ht="77.25">
      <c r="A664">
        <v>663</v>
      </c>
      <c r="B664" s="16"/>
      <c r="C664" t="s">
        <v>722</v>
      </c>
      <c r="D664" s="1"/>
      <c r="E664" s="1" t="str">
        <f>_xlfn.REGEXREPLACE(C664, "(.*)\/$", "https://extremismterms.adl.org\1")</f>
        <v>https://extremismterms.adl.org/glossary/al-qaeda-arabian-peninsula-aqap</v>
      </c>
      <c r="F664" s="1" t="str" cm="1">
        <f t="array" ref="F664">_xlfn.LET(_xlpm.rowNum,MATCH(E664,'glossaryterms-export'!C:C,0),
IF(AND(NOT(ISBLANK(INDEX('glossaryterms-export'!H:H,_xlpm.rowNum))),ISBLANK(INDEX('glossaryterms-export'!I:I,_xlpm.rowNum))),"Ready to Fix",""))</f>
        <v/>
      </c>
      <c r="G664">
        <v>62</v>
      </c>
      <c r="H664">
        <v>57</v>
      </c>
      <c r="I664">
        <v>1.0877192982456101</v>
      </c>
      <c r="J664">
        <v>8.6315789473684195</v>
      </c>
      <c r="K664">
        <v>172</v>
      </c>
    </row>
    <row r="665" spans="1:11" ht="61.5">
      <c r="A665">
        <v>664</v>
      </c>
      <c r="B665" s="16"/>
      <c r="C665" t="s">
        <v>723</v>
      </c>
      <c r="D665" s="1"/>
      <c r="E665" s="1" t="str">
        <f>_xlfn.REGEXREPLACE(C665, "(.*)\/$", "https://extremismterms.adl.org\1")</f>
        <v>https://extremismterms.adl.org/glossary/bitchute</v>
      </c>
      <c r="F665" s="1" t="str" cm="1">
        <f t="array" ref="F665">_xlfn.LET(_xlpm.rowNum,MATCH(E665,'glossaryterms-export'!C:C,0),
IF(AND(NOT(ISBLANK(INDEX('glossaryterms-export'!H:H,_xlpm.rowNum))),ISBLANK(INDEX('glossaryterms-export'!I:I,_xlpm.rowNum))),"Ready to Fix",""))</f>
        <v/>
      </c>
      <c r="G665">
        <v>62</v>
      </c>
      <c r="H665">
        <v>53</v>
      </c>
      <c r="I665">
        <v>1.1698113207547101</v>
      </c>
      <c r="J665">
        <v>9.6792452830188598</v>
      </c>
      <c r="K665">
        <v>147</v>
      </c>
    </row>
    <row r="666" spans="1:11" ht="61.5">
      <c r="A666">
        <v>665</v>
      </c>
      <c r="B666" s="16"/>
      <c r="C666" t="s">
        <v>724</v>
      </c>
      <c r="D666" s="1"/>
      <c r="E666" s="1" t="str">
        <f>_xlfn.REGEXREPLACE(C666, "(.*)\/$", "https://extremismterms.adl.org\1")</f>
        <v>https://extremismterms.adl.org/glossary/brent-johnson</v>
      </c>
      <c r="F666" s="1" t="str" cm="1">
        <f t="array" ref="F666">_xlfn.LET(_xlpm.rowNum,MATCH(E666,'glossaryterms-export'!C:C,0),
IF(AND(NOT(ISBLANK(INDEX('glossaryterms-export'!H:H,_xlpm.rowNum))),ISBLANK(INDEX('glossaryterms-export'!I:I,_xlpm.rowNum))),"Ready to Fix",""))</f>
        <v/>
      </c>
      <c r="G666">
        <v>62</v>
      </c>
      <c r="H666">
        <v>56</v>
      </c>
      <c r="I666">
        <v>1.1071428571428501</v>
      </c>
      <c r="J666">
        <v>32.035714285714199</v>
      </c>
      <c r="K666">
        <v>273</v>
      </c>
    </row>
    <row r="667" spans="1:11" ht="108">
      <c r="A667">
        <v>666</v>
      </c>
      <c r="B667" s="16"/>
      <c r="C667" t="s">
        <v>725</v>
      </c>
      <c r="D667" s="1"/>
      <c r="E667" s="1" t="str">
        <f>_xlfn.REGEXREPLACE(C667, "(.*)\/$", "https://extremismterms.adl.org\1")</f>
        <v>https://extremismterms.adl.org/glossary/new-jersey-european-heritage-association-njeha</v>
      </c>
      <c r="F667" s="1" t="str" cm="1">
        <f t="array" ref="F667">_xlfn.LET(_xlpm.rowNum,MATCH(E667,'glossaryterms-export'!C:C,0),
IF(AND(NOT(ISBLANK(INDEX('glossaryterms-export'!H:H,_xlpm.rowNum))),ISBLANK(INDEX('glossaryterms-export'!I:I,_xlpm.rowNum))),"Ready to Fix",""))</f>
        <v>Ready to Fix</v>
      </c>
      <c r="G667">
        <v>62</v>
      </c>
      <c r="H667">
        <v>52</v>
      </c>
      <c r="I667">
        <v>1.1923076923076901</v>
      </c>
      <c r="J667">
        <v>20.1538461538461</v>
      </c>
      <c r="K667">
        <v>181</v>
      </c>
    </row>
    <row r="668" spans="1:11" ht="61.5">
      <c r="A668">
        <v>667</v>
      </c>
      <c r="B668" s="16"/>
      <c r="C668" t="s">
        <v>726</v>
      </c>
      <c r="D668" s="1"/>
      <c r="E668" s="1" t="str">
        <f>_xlfn.REGEXREPLACE(C668, "(.*)\/$", "https://extremismterms.adl.org\1")</f>
        <v>https://extremismterms.adl.org/glossary/richard-spencer</v>
      </c>
      <c r="F668" s="1" t="str" cm="1">
        <f t="array" ref="F668">_xlfn.LET(_xlpm.rowNum,MATCH(E668,'glossaryterms-export'!C:C,0),
IF(AND(NOT(ISBLANK(INDEX('glossaryterms-export'!H:H,_xlpm.rowNum))),ISBLANK(INDEX('glossaryterms-export'!I:I,_xlpm.rowNum))),"Ready to Fix",""))</f>
        <v>Ready to Fix</v>
      </c>
      <c r="G668">
        <v>62</v>
      </c>
      <c r="H668">
        <v>59</v>
      </c>
      <c r="I668">
        <v>1.0508474576271101</v>
      </c>
      <c r="J668">
        <v>12.661016949152501</v>
      </c>
      <c r="K668">
        <v>158</v>
      </c>
    </row>
    <row r="669" spans="1:11" ht="61.5">
      <c r="A669">
        <v>668</v>
      </c>
      <c r="B669" s="16"/>
      <c r="C669" t="s">
        <v>727</v>
      </c>
      <c r="D669" s="1"/>
      <c r="E669" s="1" t="str">
        <f>_xlfn.REGEXREPLACE(C669, "(.*)\/$", "https://extremismterms.adl.org\1")</f>
        <v>https://extremismterms.adl.org/glossary/ronald-l-murray</v>
      </c>
      <c r="F669" s="1" t="str" cm="1">
        <f t="array" ref="F669">_xlfn.LET(_xlpm.rowNum,MATCH(E669,'glossaryterms-export'!C:C,0),
IF(AND(NOT(ISBLANK(INDEX('glossaryterms-export'!H:H,_xlpm.rowNum))),ISBLANK(INDEX('glossaryterms-export'!I:I,_xlpm.rowNum))),"Ready to Fix",""))</f>
        <v/>
      </c>
      <c r="G669">
        <v>62</v>
      </c>
      <c r="H669">
        <v>52</v>
      </c>
      <c r="I669">
        <v>1.1923076923076901</v>
      </c>
      <c r="J669">
        <v>13.9807692307692</v>
      </c>
      <c r="K669">
        <v>209</v>
      </c>
    </row>
    <row r="670" spans="1:11" ht="77.25">
      <c r="A670">
        <v>669</v>
      </c>
      <c r="B670" s="16"/>
      <c r="C670" t="s">
        <v>728</v>
      </c>
      <c r="D670" s="1"/>
      <c r="E670" s="1" t="str">
        <f>_xlfn.REGEXREPLACE(C670, "(.*)\/$", "https://extremismterms.adl.org\1")</f>
        <v>https://extremismterms.adl.org/glossary/southern-brotherhood</v>
      </c>
      <c r="F670" s="1" t="str" cm="1">
        <f t="array" ref="F670">_xlfn.LET(_xlpm.rowNum,MATCH(E670,'glossaryterms-export'!C:C,0),
IF(AND(NOT(ISBLANK(INDEX('glossaryterms-export'!H:H,_xlpm.rowNum))),ISBLANK(INDEX('glossaryterms-export'!I:I,_xlpm.rowNum))),"Ready to Fix",""))</f>
        <v>Ready to Fix</v>
      </c>
      <c r="G670">
        <v>62</v>
      </c>
      <c r="H670">
        <v>56</v>
      </c>
      <c r="I670">
        <v>1.1071428571428501</v>
      </c>
      <c r="J670">
        <v>37.535714285714199</v>
      </c>
      <c r="K670">
        <v>220</v>
      </c>
    </row>
    <row r="671" spans="1:11" ht="61.5">
      <c r="A671">
        <v>670</v>
      </c>
      <c r="B671" s="16"/>
      <c r="C671" t="s">
        <v>729</v>
      </c>
      <c r="D671" s="1"/>
      <c r="E671" s="1" t="str">
        <f>_xlfn.REGEXREPLACE(C671, "(.*)\/$", "https://extremismterms.adl.org\1")</f>
        <v>https://extremismterms.adl.org/glossary/al-qaeda</v>
      </c>
      <c r="F671" s="1" t="str" cm="1">
        <f t="array" ref="F671">_xlfn.LET(_xlpm.rowNum,MATCH(E671,'glossaryterms-export'!C:C,0),
IF(AND(NOT(ISBLANK(INDEX('glossaryterms-export'!H:H,_xlpm.rowNum))),ISBLANK(INDEX('glossaryterms-export'!I:I,_xlpm.rowNum))),"Ready to Fix",""))</f>
        <v/>
      </c>
      <c r="G671">
        <v>61</v>
      </c>
      <c r="H671">
        <v>54</v>
      </c>
      <c r="I671">
        <v>1.12962962962962</v>
      </c>
      <c r="J671">
        <v>32.1111111111111</v>
      </c>
      <c r="K671">
        <v>150</v>
      </c>
    </row>
    <row r="672" spans="1:11" ht="61.5">
      <c r="A672">
        <v>671</v>
      </c>
      <c r="B672" s="16"/>
      <c r="C672" t="s">
        <v>730</v>
      </c>
      <c r="D672" s="1"/>
      <c r="E672" s="1" t="str">
        <f>_xlfn.REGEXREPLACE(C672, "(.*)\/$", "https://extremismterms.adl.org\1")</f>
        <v>https://extremismterms.adl.org/glossary/gerd-honsik</v>
      </c>
      <c r="F672" s="1" t="str" cm="1">
        <f t="array" ref="F672">_xlfn.LET(_xlpm.rowNum,MATCH(E672,'glossaryterms-export'!C:C,0),
IF(AND(NOT(ISBLANK(INDEX('glossaryterms-export'!H:H,_xlpm.rowNum))),ISBLANK(INDEX('glossaryterms-export'!I:I,_xlpm.rowNum))),"Ready to Fix",""))</f>
        <v>Ready to Fix</v>
      </c>
      <c r="G672">
        <v>61</v>
      </c>
      <c r="H672">
        <v>56</v>
      </c>
      <c r="I672">
        <v>1.08928571428571</v>
      </c>
      <c r="J672">
        <v>23.25</v>
      </c>
      <c r="K672">
        <v>173</v>
      </c>
    </row>
    <row r="673" spans="1:11" ht="61.5">
      <c r="A673">
        <v>672</v>
      </c>
      <c r="B673" s="16"/>
      <c r="C673" t="s">
        <v>731</v>
      </c>
      <c r="D673" s="1"/>
      <c r="E673" s="1" t="str">
        <f>_xlfn.REGEXREPLACE(C673, "(.*)\/$", "https://extremismterms.adl.org\1")</f>
        <v>https://extremismterms.adl.org/glossary/jason-j-brown</v>
      </c>
      <c r="F673" s="1" t="str" cm="1">
        <f t="array" ref="F673">_xlfn.LET(_xlpm.rowNum,MATCH(E673,'glossaryterms-export'!C:C,0),
IF(AND(NOT(ISBLANK(INDEX('glossaryterms-export'!H:H,_xlpm.rowNum))),ISBLANK(INDEX('glossaryterms-export'!I:I,_xlpm.rowNum))),"Ready to Fix",""))</f>
        <v>Ready to Fix</v>
      </c>
      <c r="G673">
        <v>61</v>
      </c>
      <c r="H673">
        <v>54</v>
      </c>
      <c r="I673">
        <v>1.12962962962962</v>
      </c>
      <c r="J673">
        <v>17.1666666666666</v>
      </c>
      <c r="K673">
        <v>181</v>
      </c>
    </row>
    <row r="674" spans="1:11" ht="77.25">
      <c r="A674">
        <v>673</v>
      </c>
      <c r="B674" s="16"/>
      <c r="C674" t="s">
        <v>732</v>
      </c>
      <c r="D674" s="1"/>
      <c r="E674" s="1" t="str">
        <f>_xlfn.REGEXREPLACE(C674, "(.*)\/$", "https://extremismterms.adl.org\1")</f>
        <v>https://extremismterms.adl.org/glossary/common-law-courts</v>
      </c>
      <c r="F674" s="1" t="str" cm="1">
        <f t="array" ref="F674">_xlfn.LET(_xlpm.rowNum,MATCH(E674,'glossaryterms-export'!C:C,0),
IF(AND(NOT(ISBLANK(INDEX('glossaryterms-export'!H:H,_xlpm.rowNum))),ISBLANK(INDEX('glossaryterms-export'!I:I,_xlpm.rowNum))),"Ready to Fix",""))</f>
        <v/>
      </c>
      <c r="G674">
        <v>60</v>
      </c>
      <c r="H674">
        <v>56</v>
      </c>
      <c r="I674">
        <v>1.0714285714285701</v>
      </c>
      <c r="J674">
        <v>24.410714285714199</v>
      </c>
      <c r="K674">
        <v>139</v>
      </c>
    </row>
    <row r="675" spans="1:11" ht="61.5">
      <c r="A675">
        <v>674</v>
      </c>
      <c r="B675" s="16"/>
      <c r="C675" t="s">
        <v>733</v>
      </c>
      <c r="D675" s="1"/>
      <c r="E675" s="1" t="str">
        <f>_xlfn.REGEXREPLACE(C675, "(.*)\/$", "https://extremismterms.adl.org\1")</f>
        <v>https://extremismterms.adl.org/glossary/hate-edge</v>
      </c>
      <c r="F675" s="1" t="str" cm="1">
        <f t="array" ref="F675">_xlfn.LET(_xlpm.rowNum,MATCH(E675,'glossaryterms-export'!C:C,0),
IF(AND(NOT(ISBLANK(INDEX('glossaryterms-export'!H:H,_xlpm.rowNum))),ISBLANK(INDEX('glossaryterms-export'!I:I,_xlpm.rowNum))),"Ready to Fix",""))</f>
        <v>Ready to Fix</v>
      </c>
      <c r="G675">
        <v>60</v>
      </c>
      <c r="H675">
        <v>57</v>
      </c>
      <c r="I675">
        <v>1.0526315789473599</v>
      </c>
      <c r="J675">
        <v>17.719298245613999</v>
      </c>
      <c r="K675">
        <v>153</v>
      </c>
    </row>
    <row r="676" spans="1:11" ht="77.25">
      <c r="A676">
        <v>675</v>
      </c>
      <c r="B676" s="16"/>
      <c r="C676" t="s">
        <v>734</v>
      </c>
      <c r="D676" s="1"/>
      <c r="E676" s="1" t="str">
        <f>_xlfn.REGEXREPLACE(C676, "(.*)\/$", "https://extremismterms.adl.org\1")</f>
        <v>https://extremismterms.adl.org/glossary/ku-klux-klan-robes-symbol</v>
      </c>
      <c r="F676" s="1" t="str" cm="1">
        <f t="array" ref="F676">_xlfn.LET(_xlpm.rowNum,MATCH(E676,'glossaryterms-export'!C:C,0),
IF(AND(NOT(ISBLANK(INDEX('glossaryterms-export'!H:H,_xlpm.rowNum))),ISBLANK(INDEX('glossaryterms-export'!I:I,_xlpm.rowNum))),"Ready to Fix",""))</f>
        <v>Ready to Fix</v>
      </c>
      <c r="G676">
        <v>60</v>
      </c>
      <c r="H676">
        <v>57</v>
      </c>
      <c r="I676">
        <v>1.0526315789473599</v>
      </c>
      <c r="J676">
        <v>18.280701754385898</v>
      </c>
      <c r="K676">
        <v>193</v>
      </c>
    </row>
    <row r="677" spans="1:11" ht="61.5">
      <c r="A677">
        <v>676</v>
      </c>
      <c r="B677" s="16"/>
      <c r="C677" t="s">
        <v>735</v>
      </c>
      <c r="D677" s="1"/>
      <c r="E677" s="1" t="str">
        <f>_xlfn.REGEXREPLACE(C677, "(.*)\/$", "https://extremismterms.adl.org\1")</f>
        <v>https://extremismterms.adl.org/glossary/valknot</v>
      </c>
      <c r="F677" s="1" t="str" cm="1">
        <f t="array" ref="F677">_xlfn.LET(_xlpm.rowNum,MATCH(E677,'glossaryterms-export'!C:C,0),
IF(AND(NOT(ISBLANK(INDEX('glossaryterms-export'!H:H,_xlpm.rowNum))),ISBLANK(INDEX('glossaryterms-export'!I:I,_xlpm.rowNum))),"Ready to Fix",""))</f>
        <v>Ready to Fix</v>
      </c>
      <c r="G677">
        <v>60</v>
      </c>
      <c r="H677">
        <v>54</v>
      </c>
      <c r="I677">
        <v>1.1111111111111101</v>
      </c>
      <c r="J677">
        <v>10.314814814814801</v>
      </c>
      <c r="K677">
        <v>146</v>
      </c>
    </row>
    <row r="678" spans="1:11" ht="77.25">
      <c r="A678">
        <v>677</v>
      </c>
      <c r="B678" s="16"/>
      <c r="C678" t="s">
        <v>736</v>
      </c>
      <c r="D678" s="1"/>
      <c r="E678" s="1" t="str">
        <f>_xlfn.REGEXREPLACE(C678, "(.*)\/$", "https://extremismterms.adl.org\1")</f>
        <v>https://extremismterms.adl.org/glossary/comet-ping-pong-shooting</v>
      </c>
      <c r="F678" s="1" t="str" cm="1">
        <f t="array" ref="F678">_xlfn.LET(_xlpm.rowNum,MATCH(E678,'glossaryterms-export'!C:C,0),
IF(AND(NOT(ISBLANK(INDEX('glossaryterms-export'!H:H,_xlpm.rowNum))),ISBLANK(INDEX('glossaryterms-export'!I:I,_xlpm.rowNum))),"Ready to Fix",""))</f>
        <v>Ready to Fix</v>
      </c>
      <c r="G678">
        <v>59</v>
      </c>
      <c r="H678">
        <v>50</v>
      </c>
      <c r="I678">
        <v>1.18</v>
      </c>
      <c r="J678">
        <v>10.119999999999999</v>
      </c>
      <c r="K678">
        <v>135</v>
      </c>
    </row>
    <row r="679" spans="1:11" ht="77.25">
      <c r="A679">
        <v>678</v>
      </c>
      <c r="B679" s="16"/>
      <c r="C679" t="s">
        <v>737</v>
      </c>
      <c r="D679" s="1"/>
      <c r="E679" s="1" t="str">
        <f>_xlfn.REGEXREPLACE(C679, "(.*)\/$", "https://extremismterms.adl.org\1")</f>
        <v>https://extremismterms.adl.org/glossary/stand-back-and-stand</v>
      </c>
      <c r="F679" s="1" t="str" cm="1">
        <f t="array" ref="F679">_xlfn.LET(_xlpm.rowNum,MATCH(E679,'glossaryterms-export'!C:C,0),
IF(AND(NOT(ISBLANK(INDEX('glossaryterms-export'!H:H,_xlpm.rowNum))),ISBLANK(INDEX('glossaryterms-export'!I:I,_xlpm.rowNum))),"Ready to Fix",""))</f>
        <v/>
      </c>
      <c r="G679">
        <v>59</v>
      </c>
      <c r="H679">
        <v>54</v>
      </c>
      <c r="I679">
        <v>1.0925925925925899</v>
      </c>
      <c r="J679">
        <v>14.6666666666666</v>
      </c>
      <c r="K679">
        <v>135</v>
      </c>
    </row>
    <row r="680" spans="1:11" ht="92.25">
      <c r="A680">
        <v>679</v>
      </c>
      <c r="B680" s="16"/>
      <c r="C680" t="s">
        <v>738</v>
      </c>
      <c r="D680" s="1"/>
      <c r="E680" s="1" t="str">
        <f>_xlfn.REGEXREPLACE(C680, "(.*)\/$", "https://extremismterms.adl.org\1")</f>
        <v>https://extremismterms.adl.org/glossary/stop-huntingdon-animal-cruelty-shac</v>
      </c>
      <c r="F680" s="1" t="str" cm="1">
        <f t="array" ref="F680">_xlfn.LET(_xlpm.rowNum,MATCH(E680,'glossaryterms-export'!C:C,0),
IF(AND(NOT(ISBLANK(INDEX('glossaryterms-export'!H:H,_xlpm.rowNum))),ISBLANK(INDEX('glossaryterms-export'!I:I,_xlpm.rowNum))),"Ready to Fix",""))</f>
        <v/>
      </c>
      <c r="G680">
        <v>59</v>
      </c>
      <c r="H680">
        <v>56</v>
      </c>
      <c r="I680">
        <v>1.0535714285714199</v>
      </c>
      <c r="J680">
        <v>14.232142857142801</v>
      </c>
      <c r="K680">
        <v>158</v>
      </c>
    </row>
    <row r="681" spans="1:11" ht="61.5">
      <c r="A681">
        <v>680</v>
      </c>
      <c r="B681" s="16"/>
      <c r="C681" t="s">
        <v>739</v>
      </c>
      <c r="D681" s="1"/>
      <c r="E681" s="1" t="str">
        <f>_xlfn.REGEXREPLACE(C681, "(.*)\/$", "https://extremismterms.adl.org\1")</f>
        <v>https://extremismterms.adl.org/glossary/wotan-nation</v>
      </c>
      <c r="F681" s="1" t="str" cm="1">
        <f t="array" ref="F681">_xlfn.LET(_xlpm.rowNum,MATCH(E681,'glossaryterms-export'!C:C,0),
IF(AND(NOT(ISBLANK(INDEX('glossaryterms-export'!H:H,_xlpm.rowNum))),ISBLANK(INDEX('glossaryterms-export'!I:I,_xlpm.rowNum))),"Ready to Fix",""))</f>
        <v/>
      </c>
      <c r="G681">
        <v>59</v>
      </c>
      <c r="H681">
        <v>52</v>
      </c>
      <c r="I681">
        <v>1.1346153846153799</v>
      </c>
      <c r="J681">
        <v>11.192307692307599</v>
      </c>
      <c r="K681">
        <v>200</v>
      </c>
    </row>
    <row r="682" spans="1:11" ht="61.5">
      <c r="A682">
        <v>681</v>
      </c>
      <c r="B682" s="16"/>
      <c r="C682" t="s">
        <v>740</v>
      </c>
      <c r="D682" s="1"/>
      <c r="E682" s="1" t="str">
        <f>_xlfn.REGEXREPLACE(C682, "(.*)\/$", "https://extremismterms.adl.org\1")</f>
        <v>https://extremismterms.adl.org/glossary/alt-lite</v>
      </c>
      <c r="F682" s="1" t="str" cm="1">
        <f t="array" ref="F682">_xlfn.LET(_xlpm.rowNum,MATCH(E682,'glossaryterms-export'!C:C,0),
IF(AND(NOT(ISBLANK(INDEX('glossaryterms-export'!H:H,_xlpm.rowNum))),ISBLANK(INDEX('glossaryterms-export'!I:I,_xlpm.rowNum))),"Ready to Fix",""))</f>
        <v/>
      </c>
      <c r="G682">
        <v>58</v>
      </c>
      <c r="H682">
        <v>55</v>
      </c>
      <c r="I682">
        <v>1.05454545454545</v>
      </c>
      <c r="J682">
        <v>20.7090909090909</v>
      </c>
      <c r="K682">
        <v>161</v>
      </c>
    </row>
    <row r="683" spans="1:11" ht="61.5">
      <c r="A683">
        <v>682</v>
      </c>
      <c r="B683" s="16"/>
      <c r="C683" t="s">
        <v>741</v>
      </c>
      <c r="D683" s="1"/>
      <c r="E683" s="1" t="str">
        <f>_xlfn.REGEXREPLACE(C683, "(.*)\/$", "https://extremismterms.adl.org\1")</f>
        <v>https://extremismterms.adl.org/glossary/antifa-manual</v>
      </c>
      <c r="F683" s="1" t="str" cm="1">
        <f t="array" ref="F683">_xlfn.LET(_xlpm.rowNum,MATCH(E683,'glossaryterms-export'!C:C,0),
IF(AND(NOT(ISBLANK(INDEX('glossaryterms-export'!H:H,_xlpm.rowNum))),ISBLANK(INDEX('glossaryterms-export'!I:I,_xlpm.rowNum))),"Ready to Fix",""))</f>
        <v/>
      </c>
      <c r="G683">
        <v>58</v>
      </c>
      <c r="H683">
        <v>54</v>
      </c>
      <c r="I683">
        <v>1.07407407407407</v>
      </c>
      <c r="J683">
        <v>14.6296296296296</v>
      </c>
      <c r="K683">
        <v>136</v>
      </c>
    </row>
    <row r="684" spans="1:11" ht="61.5">
      <c r="A684">
        <v>683</v>
      </c>
      <c r="B684" s="16"/>
      <c r="C684" t="s">
        <v>742</v>
      </c>
      <c r="D684" s="1"/>
      <c r="E684" s="1" t="str">
        <f>_xlfn.REGEXREPLACE(C684, "(.*)\/$", "https://extremismterms.adl.org\1")</f>
        <v>https://extremismterms.adl.org/glossary/john-earnest</v>
      </c>
      <c r="F684" s="1" t="str" cm="1">
        <f t="array" ref="F684">_xlfn.LET(_xlpm.rowNum,MATCH(E684,'glossaryterms-export'!C:C,0),
IF(AND(NOT(ISBLANK(INDEX('glossaryterms-export'!H:H,_xlpm.rowNum))),ISBLANK(INDEX('glossaryterms-export'!I:I,_xlpm.rowNum))),"Ready to Fix",""))</f>
        <v>Ready to Fix</v>
      </c>
      <c r="G684">
        <v>58</v>
      </c>
      <c r="H684">
        <v>50</v>
      </c>
      <c r="I684">
        <v>1.1599999999999999</v>
      </c>
      <c r="J684">
        <v>11.08</v>
      </c>
      <c r="K684">
        <v>124</v>
      </c>
    </row>
    <row r="685" spans="1:11" ht="61.5">
      <c r="A685">
        <v>684</v>
      </c>
      <c r="B685" s="16"/>
      <c r="C685" t="s">
        <v>743</v>
      </c>
      <c r="D685" s="1"/>
      <c r="E685" s="1" t="str">
        <f>_xlfn.REGEXREPLACE(C685, "(.*)\/$", "https://extremismterms.adl.org\1")</f>
        <v>https://extremismterms.adl.org/glossary/screw-your-optics</v>
      </c>
      <c r="F685" s="1" t="str" cm="1">
        <f t="array" ref="F685">_xlfn.LET(_xlpm.rowNum,MATCH(E685,'glossaryterms-export'!C:C,0),
IF(AND(NOT(ISBLANK(INDEX('glossaryterms-export'!H:H,_xlpm.rowNum))),ISBLANK(INDEX('glossaryterms-export'!I:I,_xlpm.rowNum))),"Ready to Fix",""))</f>
        <v/>
      </c>
      <c r="G685">
        <v>58</v>
      </c>
      <c r="H685">
        <v>55</v>
      </c>
      <c r="I685">
        <v>1.05454545454545</v>
      </c>
      <c r="J685">
        <v>21.181818181818102</v>
      </c>
      <c r="K685">
        <v>150</v>
      </c>
    </row>
    <row r="686" spans="1:11" ht="61.5">
      <c r="A686">
        <v>685</v>
      </c>
      <c r="B686" s="16"/>
      <c r="C686" t="s">
        <v>744</v>
      </c>
      <c r="D686" s="1"/>
      <c r="E686" s="1" t="str">
        <f>_xlfn.REGEXREPLACE(C686, "(.*)\/$", "https://extremismterms.adl.org\1")</f>
        <v>https://extremismterms.adl.org/glossary/tax-protest-movement</v>
      </c>
      <c r="F686" s="1" t="str" cm="1">
        <f t="array" ref="F686">_xlfn.LET(_xlpm.rowNum,MATCH(E686,'glossaryterms-export'!C:C,0),
IF(AND(NOT(ISBLANK(INDEX('glossaryterms-export'!H:H,_xlpm.rowNum))),ISBLANK(INDEX('glossaryterms-export'!I:I,_xlpm.rowNum))),"Ready to Fix",""))</f>
        <v>Ready to Fix</v>
      </c>
      <c r="G686">
        <v>58</v>
      </c>
      <c r="H686">
        <v>48</v>
      </c>
      <c r="I686">
        <v>1.2083333333333299</v>
      </c>
      <c r="J686">
        <v>12.8125</v>
      </c>
      <c r="K686">
        <v>159</v>
      </c>
    </row>
    <row r="687" spans="1:11" ht="61.5">
      <c r="A687">
        <v>686</v>
      </c>
      <c r="B687" s="16"/>
      <c r="C687" t="s">
        <v>745</v>
      </c>
      <c r="D687" s="1"/>
      <c r="E687" s="1" t="str">
        <f>_xlfn.REGEXREPLACE(C687, "(.*)\/$", "https://extremismterms.adl.org\1")</f>
        <v>https://extremismterms.adl.org/glossary/tom-sunic</v>
      </c>
      <c r="F687" s="1" t="str" cm="1">
        <f t="array" ref="F687">_xlfn.LET(_xlpm.rowNum,MATCH(E687,'glossaryterms-export'!C:C,0),
IF(AND(NOT(ISBLANK(INDEX('glossaryterms-export'!H:H,_xlpm.rowNum))),ISBLANK(INDEX('glossaryterms-export'!I:I,_xlpm.rowNum))),"Ready to Fix",""))</f>
        <v/>
      </c>
      <c r="G687">
        <v>58</v>
      </c>
      <c r="H687">
        <v>47</v>
      </c>
      <c r="I687">
        <v>1.23404255319148</v>
      </c>
      <c r="J687">
        <v>20.404255319148898</v>
      </c>
      <c r="K687">
        <v>257</v>
      </c>
    </row>
    <row r="688" spans="1:11" ht="61.5">
      <c r="A688">
        <v>687</v>
      </c>
      <c r="B688" s="16"/>
      <c r="C688" t="s">
        <v>746</v>
      </c>
      <c r="D688" s="1"/>
      <c r="E688" s="1" t="str">
        <f>_xlfn.REGEXREPLACE(C688, "(.*)\/$", "https://extremismterms.adl.org\1")</f>
        <v>https://extremismterms.adl.org/glossary/american-front</v>
      </c>
      <c r="F688" s="1" t="str" cm="1">
        <f t="array" ref="F688">_xlfn.LET(_xlpm.rowNum,MATCH(E688,'glossaryterms-export'!C:C,0),
IF(AND(NOT(ISBLANK(INDEX('glossaryterms-export'!H:H,_xlpm.rowNum))),ISBLANK(INDEX('glossaryterms-export'!I:I,_xlpm.rowNum))),"Ready to Fix",""))</f>
        <v>Ready to Fix</v>
      </c>
      <c r="G688">
        <v>57</v>
      </c>
      <c r="H688">
        <v>49</v>
      </c>
      <c r="I688">
        <v>1.1632653061224401</v>
      </c>
      <c r="J688">
        <v>9.9387755102040796</v>
      </c>
      <c r="K688">
        <v>143</v>
      </c>
    </row>
    <row r="689" spans="1:11" ht="61.5">
      <c r="A689">
        <v>688</v>
      </c>
      <c r="B689" s="16"/>
      <c r="C689" t="s">
        <v>747</v>
      </c>
      <c r="D689" s="1"/>
      <c r="E689" s="1" t="str">
        <f>_xlfn.REGEXREPLACE(C689, "(.*)\/$", "https://extremismterms.adl.org\1")</f>
        <v>https://extremismterms.adl.org/glossary/creativity</v>
      </c>
      <c r="F689" s="1" t="str" cm="1">
        <f t="array" ref="F689">_xlfn.LET(_xlpm.rowNum,MATCH(E689,'glossaryterms-export'!C:C,0),
IF(AND(NOT(ISBLANK(INDEX('glossaryterms-export'!H:H,_xlpm.rowNum))),ISBLANK(INDEX('glossaryterms-export'!I:I,_xlpm.rowNum))),"Ready to Fix",""))</f>
        <v>Ready to Fix</v>
      </c>
      <c r="G689">
        <v>57</v>
      </c>
      <c r="H689">
        <v>46</v>
      </c>
      <c r="I689">
        <v>1.2391304347826</v>
      </c>
      <c r="J689">
        <v>14.7173913043478</v>
      </c>
      <c r="K689">
        <v>137</v>
      </c>
    </row>
    <row r="690" spans="1:11" ht="61.5">
      <c r="A690">
        <v>689</v>
      </c>
      <c r="B690" s="16"/>
      <c r="C690" t="s">
        <v>748</v>
      </c>
      <c r="D690" s="1"/>
      <c r="E690" s="1" t="str">
        <f>_xlfn.REGEXREPLACE(C690, "(.*)\/$", "https://extremismterms.adl.org\1")</f>
        <v>https://extremismterms.adl.org/glossary/fruit-islam-foi</v>
      </c>
      <c r="F690" s="1" t="str" cm="1">
        <f t="array" ref="F690">_xlfn.LET(_xlpm.rowNum,MATCH(E690,'glossaryterms-export'!C:C,0),
IF(AND(NOT(ISBLANK(INDEX('glossaryterms-export'!H:H,_xlpm.rowNum))),ISBLANK(INDEX('glossaryterms-export'!I:I,_xlpm.rowNum))),"Ready to Fix",""))</f>
        <v>Ready to Fix</v>
      </c>
      <c r="G690">
        <v>57</v>
      </c>
      <c r="H690">
        <v>52</v>
      </c>
      <c r="I690">
        <v>1.09615384615384</v>
      </c>
      <c r="J690">
        <v>6.9038461538461497</v>
      </c>
      <c r="K690">
        <v>130</v>
      </c>
    </row>
    <row r="691" spans="1:11" ht="92.25">
      <c r="A691">
        <v>690</v>
      </c>
      <c r="B691" s="16"/>
      <c r="C691" t="s">
        <v>749</v>
      </c>
      <c r="D691" s="1"/>
      <c r="E691" s="1" t="str">
        <f>_xlfn.REGEXREPLACE(C691, "(.*)\/$", "https://extremismterms.adl.org\1")</f>
        <v>https://extremismterms.adl.org/glossary/south-african-flag-apartheid-era-symbol</v>
      </c>
      <c r="F691" s="1" t="str" cm="1">
        <f t="array" ref="F691">_xlfn.LET(_xlpm.rowNum,MATCH(E691,'glossaryterms-export'!C:C,0),
IF(AND(NOT(ISBLANK(INDEX('glossaryterms-export'!H:H,_xlpm.rowNum))),ISBLANK(INDEX('glossaryterms-export'!I:I,_xlpm.rowNum))),"Ready to Fix",""))</f>
        <v>Ready to Fix</v>
      </c>
      <c r="G691">
        <v>57</v>
      </c>
      <c r="H691">
        <v>54</v>
      </c>
      <c r="I691">
        <v>1.05555555555555</v>
      </c>
      <c r="J691">
        <v>12.2222222222222</v>
      </c>
      <c r="K691">
        <v>138</v>
      </c>
    </row>
    <row r="692" spans="1:11" ht="77.25">
      <c r="A692">
        <v>691</v>
      </c>
      <c r="B692" s="16"/>
      <c r="C692" t="s">
        <v>750</v>
      </c>
      <c r="D692" s="1"/>
      <c r="E692" s="1" t="str">
        <f>_xlfn.REGEXREPLACE(C692, "(.*)\/$", "https://extremismterms.adl.org\1")</f>
        <v>https://extremismterms.adl.org/glossary/traditional-white-supremacists</v>
      </c>
      <c r="F692" s="1" t="str" cm="1">
        <f t="array" ref="F692">_xlfn.LET(_xlpm.rowNum,MATCH(E692,'glossaryterms-export'!C:C,0),
IF(AND(NOT(ISBLANK(INDEX('glossaryterms-export'!H:H,_xlpm.rowNum))),ISBLANK(INDEX('glossaryterms-export'!I:I,_xlpm.rowNum))),"Ready to Fix",""))</f>
        <v/>
      </c>
      <c r="G692">
        <v>57</v>
      </c>
      <c r="H692">
        <v>54</v>
      </c>
      <c r="I692">
        <v>1.05555555555555</v>
      </c>
      <c r="J692">
        <v>17.7777777777777</v>
      </c>
      <c r="K692">
        <v>149</v>
      </c>
    </row>
    <row r="693" spans="1:11" ht="77.25">
      <c r="A693">
        <v>692</v>
      </c>
      <c r="B693" s="16"/>
      <c r="C693" t="s">
        <v>751</v>
      </c>
      <c r="D693" s="1"/>
      <c r="E693" s="1" t="str">
        <f>_xlfn.REGEXREPLACE(C693, "(.*)\/$", "https://extremismterms.adl.org\1")</f>
        <v>https://extremismterms.adl.org/glossary/white-power-hand-sign</v>
      </c>
      <c r="F693" s="1" t="str" cm="1">
        <f t="array" ref="F693">_xlfn.LET(_xlpm.rowNum,MATCH(E693,'glossaryterms-export'!C:C,0),
IF(AND(NOT(ISBLANK(INDEX('glossaryterms-export'!H:H,_xlpm.rowNum))),ISBLANK(INDEX('glossaryterms-export'!I:I,_xlpm.rowNum))),"Ready to Fix",""))</f>
        <v/>
      </c>
      <c r="G693">
        <v>57</v>
      </c>
      <c r="H693">
        <v>53</v>
      </c>
      <c r="I693">
        <v>1.0754716981132</v>
      </c>
      <c r="J693">
        <v>14.924528301886699</v>
      </c>
      <c r="K693">
        <v>166</v>
      </c>
    </row>
    <row r="694" spans="1:11" ht="92.25">
      <c r="A694">
        <v>693</v>
      </c>
      <c r="B694" s="16"/>
      <c r="C694" t="s">
        <v>752</v>
      </c>
      <c r="D694" s="1"/>
      <c r="E694" s="1" t="str">
        <f>_xlfn.REGEXREPLACE(C694, "(.*)\/$", "https://extremismterms.adl.org\1")</f>
        <v>https://extremismterms.adl.org/resources/tools-and-strategies/disability-glossary</v>
      </c>
      <c r="F694" s="1" t="str" cm="1">
        <f t="array" ref="F694">_xlfn.LET(_xlpm.rowNum,MATCH(E694,'glossaryterms-export'!C:C,0),
IF(AND(NOT(ISBLANK(INDEX('glossaryterms-export'!H:H,_xlpm.rowNum))),ISBLANK(INDEX('glossaryterms-export'!I:I,_xlpm.rowNum))),"Ready to Fix",""))</f>
        <v/>
      </c>
      <c r="G694">
        <v>57</v>
      </c>
      <c r="H694">
        <v>48</v>
      </c>
      <c r="I694">
        <v>1.1875</v>
      </c>
      <c r="J694">
        <v>30.8958333333333</v>
      </c>
      <c r="K694">
        <v>440</v>
      </c>
    </row>
    <row r="695" spans="1:11" ht="61.5">
      <c r="A695">
        <v>694</v>
      </c>
      <c r="B695" s="16"/>
      <c r="C695" t="s">
        <v>753</v>
      </c>
      <c r="D695" s="1"/>
      <c r="E695" s="1" t="str">
        <f>_xlfn.REGEXREPLACE(C695, "(.*)\/$", "https://extremismterms.adl.org\1")</f>
        <v>https://extremismterms.adl.org/glossary/daily-stormer</v>
      </c>
      <c r="F695" s="1" t="str" cm="1">
        <f t="array" ref="F695">_xlfn.LET(_xlpm.rowNum,MATCH(E695,'glossaryterms-export'!C:C,0),
IF(AND(NOT(ISBLANK(INDEX('glossaryterms-export'!H:H,_xlpm.rowNum))),ISBLANK(INDEX('glossaryterms-export'!I:I,_xlpm.rowNum))),"Ready to Fix",""))</f>
        <v>Ready to Fix</v>
      </c>
      <c r="G695">
        <v>56</v>
      </c>
      <c r="H695">
        <v>52</v>
      </c>
      <c r="I695">
        <v>1.07692307692307</v>
      </c>
      <c r="J695">
        <v>9.769230769</v>
      </c>
      <c r="K695">
        <v>138</v>
      </c>
    </row>
    <row r="696" spans="1:11" ht="77.25">
      <c r="A696">
        <v>695</v>
      </c>
      <c r="B696" s="16"/>
      <c r="C696" t="s">
        <v>754</v>
      </c>
      <c r="D696" s="1"/>
      <c r="E696" s="1" t="str">
        <f>_xlfn.REGEXREPLACE(C696, "(.*)\/$", "https://extremismterms.adl.org\1")</f>
        <v>https://extremismterms.adl.org/glossary/jews-will-not-replace-us</v>
      </c>
      <c r="F696" s="1" t="str" cm="1">
        <f t="array" ref="F696">_xlfn.LET(_xlpm.rowNum,MATCH(E696,'glossaryterms-export'!C:C,0),
IF(AND(NOT(ISBLANK(INDEX('glossaryterms-export'!H:H,_xlpm.rowNum))),ISBLANK(INDEX('glossaryterms-export'!I:I,_xlpm.rowNum))),"Ready to Fix",""))</f>
        <v>Ready to Fix</v>
      </c>
      <c r="G696">
        <v>56</v>
      </c>
      <c r="H696">
        <v>50</v>
      </c>
      <c r="I696">
        <v>1.1200000000000001</v>
      </c>
      <c r="J696">
        <v>12.82</v>
      </c>
      <c r="K696">
        <v>162</v>
      </c>
    </row>
    <row r="697" spans="1:11" ht="77.25">
      <c r="A697">
        <v>696</v>
      </c>
      <c r="B697" s="16"/>
      <c r="C697" t="s">
        <v>755</v>
      </c>
      <c r="D697" s="1"/>
      <c r="E697" s="1" t="str">
        <f>_xlfn.REGEXREPLACE(C697, "(.*)\/$", "https://extremismterms.adl.org\1")</f>
        <v>https://extremismterms.adl.org/glossary/united-skinhead-nation</v>
      </c>
      <c r="F697" s="1" t="str" cm="1">
        <f t="array" ref="F697">_xlfn.LET(_xlpm.rowNum,MATCH(E697,'glossaryterms-export'!C:C,0),
IF(AND(NOT(ISBLANK(INDEX('glossaryterms-export'!H:H,_xlpm.rowNum))),ISBLANK(INDEX('glossaryterms-export'!I:I,_xlpm.rowNum))),"Ready to Fix",""))</f>
        <v/>
      </c>
      <c r="G697">
        <v>56</v>
      </c>
      <c r="H697">
        <v>51</v>
      </c>
      <c r="I697">
        <v>1.0980392156862699</v>
      </c>
      <c r="J697">
        <v>17.254901960784299</v>
      </c>
      <c r="K697">
        <v>168</v>
      </c>
    </row>
    <row r="698" spans="1:11" ht="77.25">
      <c r="A698">
        <v>697</v>
      </c>
      <c r="B698" s="16"/>
      <c r="C698" t="s">
        <v>756</v>
      </c>
      <c r="D698" s="1"/>
      <c r="E698" s="1" t="str">
        <f>_xlfn.REGEXREPLACE(C698, "(.*)\/$", "https://extremismterms.adl.org\1")</f>
        <v>https://extremismterms.adl.org/glossary/imperial-german-flag-symbol</v>
      </c>
      <c r="F698" s="1" t="str" cm="1">
        <f t="array" ref="F698">_xlfn.LET(_xlpm.rowNum,MATCH(E698,'glossaryterms-export'!C:C,0),
IF(AND(NOT(ISBLANK(INDEX('glossaryterms-export'!H:H,_xlpm.rowNum))),ISBLANK(INDEX('glossaryterms-export'!I:I,_xlpm.rowNum))),"Ready to Fix",""))</f>
        <v>Ready to Fix</v>
      </c>
      <c r="G698">
        <v>55</v>
      </c>
      <c r="H698">
        <v>53</v>
      </c>
      <c r="I698">
        <v>1.0377358490566</v>
      </c>
      <c r="J698">
        <v>9.28301886792452</v>
      </c>
      <c r="K698">
        <v>118</v>
      </c>
    </row>
    <row r="699" spans="1:11" ht="77.25">
      <c r="A699">
        <v>698</v>
      </c>
      <c r="B699" s="16"/>
      <c r="C699" t="s">
        <v>757</v>
      </c>
      <c r="D699" s="1"/>
      <c r="E699" s="1" t="str">
        <f>_xlfn.REGEXREPLACE(C699, "(.*)\/$", "https://extremismterms.adl.org\1")</f>
        <v>https://extremismterms.adl.org/glossary/no-race-mixing-symbol</v>
      </c>
      <c r="F699" s="1" t="str" cm="1">
        <f t="array" ref="F699">_xlfn.LET(_xlpm.rowNum,MATCH(E699,'glossaryterms-export'!C:C,0),
IF(AND(NOT(ISBLANK(INDEX('glossaryterms-export'!H:H,_xlpm.rowNum))),ISBLANK(INDEX('glossaryterms-export'!I:I,_xlpm.rowNum))),"Ready to Fix",""))</f>
        <v>Ready to Fix</v>
      </c>
      <c r="G699">
        <v>55</v>
      </c>
      <c r="H699">
        <v>49</v>
      </c>
      <c r="I699">
        <v>1.12244897959183</v>
      </c>
      <c r="J699">
        <v>13.163265306122399</v>
      </c>
      <c r="K699">
        <v>134</v>
      </c>
    </row>
    <row r="700" spans="1:11" ht="92.25">
      <c r="A700">
        <v>699</v>
      </c>
      <c r="B700" s="16"/>
      <c r="C700" t="s">
        <v>758</v>
      </c>
      <c r="D700" s="1"/>
      <c r="E700" s="1" t="str">
        <f>_xlfn.REGEXREPLACE(C700, "(.*)\/$", "https://extremismterms.adl.org\1")</f>
        <v>https://extremismterms.adl.org/glossary/white-aryan-resistance-prison-gang</v>
      </c>
      <c r="F700" s="1" t="str" cm="1">
        <f t="array" ref="F700">_xlfn.LET(_xlpm.rowNum,MATCH(E700,'glossaryterms-export'!C:C,0),
IF(AND(NOT(ISBLANK(INDEX('glossaryterms-export'!H:H,_xlpm.rowNum))),ISBLANK(INDEX('glossaryterms-export'!I:I,_xlpm.rowNum))),"Ready to Fix",""))</f>
        <v/>
      </c>
      <c r="G700">
        <v>55</v>
      </c>
      <c r="H700">
        <v>50</v>
      </c>
      <c r="I700">
        <v>1.1000000000000001</v>
      </c>
      <c r="J700">
        <v>18.52</v>
      </c>
      <c r="K700">
        <v>153</v>
      </c>
    </row>
    <row r="701" spans="1:11" ht="61.5">
      <c r="A701">
        <v>700</v>
      </c>
      <c r="B701" s="16"/>
      <c r="C701" t="s">
        <v>759</v>
      </c>
      <c r="D701" s="1"/>
      <c r="E701" s="1" t="str">
        <f>_xlfn.REGEXREPLACE(C701, "(.*)\/$", "https://extremismterms.adl.org\1")</f>
        <v>https://extremismterms.adl.org/glossary/zyklon-b</v>
      </c>
      <c r="F701" s="1" t="str" cm="1">
        <f t="array" ref="F701">_xlfn.LET(_xlpm.rowNum,MATCH(E701,'glossaryterms-export'!C:C,0),
IF(AND(NOT(ISBLANK(INDEX('glossaryterms-export'!H:H,_xlpm.rowNum))),ISBLANK(INDEX('glossaryterms-export'!I:I,_xlpm.rowNum))),"Ready to Fix",""))</f>
        <v/>
      </c>
      <c r="G701">
        <v>55</v>
      </c>
      <c r="H701">
        <v>53</v>
      </c>
      <c r="I701">
        <v>1.0377358490566</v>
      </c>
      <c r="J701">
        <v>14.4716981132075</v>
      </c>
      <c r="K701">
        <v>134</v>
      </c>
    </row>
    <row r="702" spans="1:11" ht="46.5">
      <c r="A702">
        <v>701</v>
      </c>
      <c r="B702" s="16"/>
      <c r="C702" t="s">
        <v>760</v>
      </c>
      <c r="D702" s="1"/>
      <c r="E702" s="1" t="str">
        <f>_xlfn.REGEXREPLACE(C702, "(.*)\/$", "https://extremismterms.adl.org\1")</f>
        <v>https://extremismterms.adl.org/glossary/100</v>
      </c>
      <c r="F702" s="1" t="str" cm="1">
        <f t="array" ref="F702">_xlfn.LET(_xlpm.rowNum,MATCH(E702,'glossaryterms-export'!C:C,0),
IF(AND(NOT(ISBLANK(INDEX('glossaryterms-export'!H:H,_xlpm.rowNum))),ISBLANK(INDEX('glossaryterms-export'!I:I,_xlpm.rowNum))),"Ready to Fix",""))</f>
        <v>Ready to Fix</v>
      </c>
      <c r="G702">
        <v>54</v>
      </c>
      <c r="H702">
        <v>47</v>
      </c>
      <c r="I702">
        <v>1.1489361702127601</v>
      </c>
      <c r="J702">
        <v>25.744680851063801</v>
      </c>
      <c r="K702">
        <v>211</v>
      </c>
    </row>
    <row r="703" spans="1:11" ht="77.25">
      <c r="A703">
        <v>702</v>
      </c>
      <c r="B703" s="16"/>
      <c r="C703" t="s">
        <v>761</v>
      </c>
      <c r="D703" s="1"/>
      <c r="E703" s="1" t="str">
        <f>_xlfn.REGEXREPLACE(C703, "(.*)\/$", "https://extremismterms.adl.org\1")</f>
        <v>https://extremismterms.adl.org/glossary/alabama-aryan-brotherhood</v>
      </c>
      <c r="F703" s="1" t="str" cm="1">
        <f t="array" ref="F703">_xlfn.LET(_xlpm.rowNum,MATCH(E703,'glossaryterms-export'!C:C,0),
IF(AND(NOT(ISBLANK(INDEX('glossaryterms-export'!H:H,_xlpm.rowNum))),ISBLANK(INDEX('glossaryterms-export'!I:I,_xlpm.rowNum))),"Ready to Fix",""))</f>
        <v>Ready to Fix</v>
      </c>
      <c r="G703">
        <v>54</v>
      </c>
      <c r="H703">
        <v>49</v>
      </c>
      <c r="I703">
        <v>1.1020408163265301</v>
      </c>
      <c r="J703">
        <v>18.122448979591798</v>
      </c>
      <c r="K703">
        <v>138</v>
      </c>
    </row>
    <row r="704" spans="1:11" ht="77.25">
      <c r="A704">
        <v>703</v>
      </c>
      <c r="B704" s="16"/>
      <c r="C704" t="s">
        <v>762</v>
      </c>
      <c r="D704" s="1"/>
      <c r="E704" s="1" t="str">
        <f>_xlfn.REGEXREPLACE(C704, "(.*)\/$", "https://extremismterms.adl.org\1")</f>
        <v>https://extremismterms.adl.org/glossary/cassandra-fairbanks</v>
      </c>
      <c r="F704" s="1" t="str" cm="1">
        <f t="array" ref="F704">_xlfn.LET(_xlpm.rowNum,MATCH(E704,'glossaryterms-export'!C:C,0),
IF(AND(NOT(ISBLANK(INDEX('glossaryterms-export'!H:H,_xlpm.rowNum))),ISBLANK(INDEX('glossaryterms-export'!I:I,_xlpm.rowNum))),"Ready to Fix",""))</f>
        <v>Ready to Fix</v>
      </c>
      <c r="G704">
        <v>54</v>
      </c>
      <c r="H704">
        <v>49</v>
      </c>
      <c r="I704">
        <v>1.1020408163265301</v>
      </c>
      <c r="J704">
        <v>8.5102040816326507</v>
      </c>
      <c r="K704">
        <v>144</v>
      </c>
    </row>
    <row r="705" spans="1:11" ht="92.25">
      <c r="A705">
        <v>704</v>
      </c>
      <c r="B705" s="16"/>
      <c r="C705" t="s">
        <v>763</v>
      </c>
      <c r="D705" s="1"/>
      <c r="E705" s="1" t="str">
        <f>_xlfn.REGEXREPLACE(C705, "(.*)\/$", "https://extremismterms.adl.org\1")</f>
        <v>https://extremismterms.adl.org/glossary/hammerskin-nationhammerskins</v>
      </c>
      <c r="F705" s="1" t="str" cm="1">
        <f t="array" ref="F705">_xlfn.LET(_xlpm.rowNum,MATCH(E705,'glossaryterms-export'!C:C,0),
IF(AND(NOT(ISBLANK(INDEX('glossaryterms-export'!H:H,_xlpm.rowNum))),ISBLANK(INDEX('glossaryterms-export'!I:I,_xlpm.rowNum))),"Ready to Fix",""))</f>
        <v>Ready to Fix</v>
      </c>
      <c r="G705">
        <v>54</v>
      </c>
      <c r="H705">
        <v>51</v>
      </c>
      <c r="I705">
        <v>1.0588235294117601</v>
      </c>
      <c r="J705">
        <v>13.5490196078431</v>
      </c>
      <c r="K705">
        <v>153</v>
      </c>
    </row>
    <row r="706" spans="1:11" ht="61.5">
      <c r="A706">
        <v>705</v>
      </c>
      <c r="B706" s="16"/>
      <c r="C706" t="s">
        <v>764</v>
      </c>
      <c r="D706" s="1"/>
      <c r="E706" s="1" t="str">
        <f>_xlfn.REGEXREPLACE(C706, "(.*)\/$", "https://extremismterms.adl.org\1")</f>
        <v>https://extremismterms.adl.org/glossary/house-israel-hoi</v>
      </c>
      <c r="F706" s="1" t="str" cm="1">
        <f t="array" ref="F706">_xlfn.LET(_xlpm.rowNum,MATCH(E706,'glossaryterms-export'!C:C,0),
IF(AND(NOT(ISBLANK(INDEX('glossaryterms-export'!H:H,_xlpm.rowNum))),ISBLANK(INDEX('glossaryterms-export'!I:I,_xlpm.rowNum))),"Ready to Fix",""))</f>
        <v>Ready to Fix</v>
      </c>
      <c r="G706">
        <v>54</v>
      </c>
      <c r="H706">
        <v>48</v>
      </c>
      <c r="I706">
        <v>1.125</v>
      </c>
      <c r="J706">
        <v>21.4166666666666</v>
      </c>
      <c r="K706">
        <v>158</v>
      </c>
    </row>
    <row r="707" spans="1:11" ht="77.25">
      <c r="A707">
        <v>706</v>
      </c>
      <c r="B707" s="16"/>
      <c r="C707" t="s">
        <v>765</v>
      </c>
      <c r="D707" s="1"/>
      <c r="E707" s="1" t="str">
        <f>_xlfn.REGEXREPLACE(C707, "(.*)\/$", "https://extremismterms.adl.org\1")</f>
        <v>https://extremismterms.adl.org/glossary/imperial-klans-america</v>
      </c>
      <c r="F707" s="1" t="str" cm="1">
        <f t="array" ref="F707">_xlfn.LET(_xlpm.rowNum,MATCH(E707,'glossaryterms-export'!C:C,0),
IF(AND(NOT(ISBLANK(INDEX('glossaryterms-export'!H:H,_xlpm.rowNum))),ISBLANK(INDEX('glossaryterms-export'!I:I,_xlpm.rowNum))),"Ready to Fix",""))</f>
        <v>Ready to Fix</v>
      </c>
      <c r="G707">
        <v>54</v>
      </c>
      <c r="H707">
        <v>48</v>
      </c>
      <c r="I707">
        <v>1.125</v>
      </c>
      <c r="J707">
        <v>15.8541666666666</v>
      </c>
      <c r="K707">
        <v>174</v>
      </c>
    </row>
    <row r="708" spans="1:11" ht="61.5">
      <c r="A708">
        <v>707</v>
      </c>
      <c r="B708" s="16"/>
      <c r="C708" t="s">
        <v>766</v>
      </c>
      <c r="D708" s="1"/>
      <c r="E708" s="1" t="str">
        <f>_xlfn.REGEXREPLACE(C708, "(.*)\/$", "https://extremismterms.adl.org\1")</f>
        <v>https://extremismterms.adl.org/glossary/zoombombing</v>
      </c>
      <c r="F708" s="1" t="str" cm="1">
        <f t="array" ref="F708">_xlfn.LET(_xlpm.rowNum,MATCH(E708,'glossaryterms-export'!C:C,0),
IF(AND(NOT(ISBLANK(INDEX('glossaryterms-export'!H:H,_xlpm.rowNum))),ISBLANK(INDEX('glossaryterms-export'!I:I,_xlpm.rowNum))),"Ready to Fix",""))</f>
        <v/>
      </c>
      <c r="G708">
        <v>54</v>
      </c>
      <c r="H708">
        <v>52</v>
      </c>
      <c r="I708">
        <v>1.0384615384615301</v>
      </c>
      <c r="J708">
        <v>8.2884615384615294</v>
      </c>
      <c r="K708">
        <v>116</v>
      </c>
    </row>
    <row r="709" spans="1:11" ht="77.25">
      <c r="A709">
        <v>708</v>
      </c>
      <c r="B709" s="16"/>
      <c r="C709" t="s">
        <v>767</v>
      </c>
      <c r="D709" s="1"/>
      <c r="E709" s="1" t="str">
        <f>_xlfn.REGEXREPLACE(C709, "(.*)\/$", "https://extremismterms.adl.org\1")</f>
        <v>https://extremismterms.adl.org/glossary/burning-cross-symbol</v>
      </c>
      <c r="F709" s="1" t="str" cm="1">
        <f t="array" ref="F709">_xlfn.LET(_xlpm.rowNum,MATCH(E709,'glossaryterms-export'!C:C,0),
IF(AND(NOT(ISBLANK(INDEX('glossaryterms-export'!H:H,_xlpm.rowNum))),ISBLANK(INDEX('glossaryterms-export'!I:I,_xlpm.rowNum))),"Ready to Fix",""))</f>
        <v>Ready to Fix</v>
      </c>
      <c r="G709">
        <v>53</v>
      </c>
      <c r="H709">
        <v>50</v>
      </c>
      <c r="I709">
        <v>1.06</v>
      </c>
      <c r="J709">
        <v>10.82</v>
      </c>
      <c r="K709">
        <v>162</v>
      </c>
    </row>
    <row r="710" spans="1:11" ht="46.5">
      <c r="A710">
        <v>709</v>
      </c>
      <c r="B710" s="16"/>
      <c r="C710" t="s">
        <v>768</v>
      </c>
      <c r="D710" s="1"/>
      <c r="E710" s="1" t="str">
        <f>_xlfn.REGEXREPLACE(C710, "(.*)\/$", "https://extremismterms.adl.org\1")</f>
        <v>https://extremismterms.adl.org/glossary/h8</v>
      </c>
      <c r="F710" s="1" t="str" cm="1">
        <f t="array" ref="F710">_xlfn.LET(_xlpm.rowNum,MATCH(E710,'glossaryterms-export'!C:C,0),
IF(AND(NOT(ISBLANK(INDEX('glossaryterms-export'!H:H,_xlpm.rowNum))),ISBLANK(INDEX('glossaryterms-export'!I:I,_xlpm.rowNum))),"Ready to Fix",""))</f>
        <v>Ready to Fix</v>
      </c>
      <c r="G710">
        <v>53</v>
      </c>
      <c r="H710">
        <v>47</v>
      </c>
      <c r="I710">
        <v>1.12765957446808</v>
      </c>
      <c r="J710">
        <v>16.531914893617</v>
      </c>
      <c r="K710">
        <v>147</v>
      </c>
    </row>
    <row r="711" spans="1:11" ht="61.5">
      <c r="A711">
        <v>710</v>
      </c>
      <c r="B711" s="16"/>
      <c r="C711" t="s">
        <v>769</v>
      </c>
      <c r="D711" s="1"/>
      <c r="E711" s="1" t="str">
        <f>_xlfn.REGEXREPLACE(C711, "(.*)\/$", "https://extremismterms.adl.org\1")</f>
        <v>https://extremismterms.adl.org/glossary/neo-confederate</v>
      </c>
      <c r="F711" s="1" t="str" cm="1">
        <f t="array" ref="F711">_xlfn.LET(_xlpm.rowNum,MATCH(E711,'glossaryterms-export'!C:C,0),
IF(AND(NOT(ISBLANK(INDEX('glossaryterms-export'!H:H,_xlpm.rowNum))),ISBLANK(INDEX('glossaryterms-export'!I:I,_xlpm.rowNum))),"Ready to Fix",""))</f>
        <v/>
      </c>
      <c r="G711">
        <v>53</v>
      </c>
      <c r="H711">
        <v>49</v>
      </c>
      <c r="I711">
        <v>1.0816326530612199</v>
      </c>
      <c r="J711">
        <v>34.734693877551003</v>
      </c>
      <c r="K711">
        <v>157</v>
      </c>
    </row>
    <row r="712" spans="1:11" ht="61.5">
      <c r="A712">
        <v>711</v>
      </c>
      <c r="B712" s="16"/>
      <c r="C712" t="s">
        <v>770</v>
      </c>
      <c r="D712" s="1"/>
      <c r="E712" s="1" t="str">
        <f>_xlfn.REGEXREPLACE(C712, "(.*)\/$", "https://extremismterms.adl.org\1")</f>
        <v>https://extremismterms.adl.org/glossary/stormfront</v>
      </c>
      <c r="F712" s="1" t="str" cm="1">
        <f t="array" ref="F712">_xlfn.LET(_xlpm.rowNum,MATCH(E712,'glossaryterms-export'!C:C,0),
IF(AND(NOT(ISBLANK(INDEX('glossaryterms-export'!H:H,_xlpm.rowNum))),ISBLANK(INDEX('glossaryterms-export'!I:I,_xlpm.rowNum))),"Ready to Fix",""))</f>
        <v>Ready to Fix</v>
      </c>
      <c r="G712">
        <v>53</v>
      </c>
      <c r="H712">
        <v>48</v>
      </c>
      <c r="I712">
        <v>1.1041666666666601</v>
      </c>
      <c r="J712">
        <v>10.0833333333333</v>
      </c>
      <c r="K712">
        <v>142</v>
      </c>
    </row>
    <row r="713" spans="1:11" ht="77.25">
      <c r="A713">
        <v>712</v>
      </c>
      <c r="B713" s="16"/>
      <c r="C713" t="s">
        <v>771</v>
      </c>
      <c r="D713" s="1"/>
      <c r="E713" s="1" t="str">
        <f>_xlfn.REGEXREPLACE(C713, "(.*)\/$", "https://extremismterms.adl.org\1")</f>
        <v>https://extremismterms.adl.org/glossary/2000-mules</v>
      </c>
      <c r="F713" s="1" t="str" cm="1">
        <f t="array" ref="F713">_xlfn.LET(_xlpm.rowNum,MATCH(E713,'glossaryterms-export'!C:C,0),
IF(AND(NOT(ISBLANK(INDEX('glossaryterms-export'!H:H,_xlpm.rowNum))),ISBLANK(INDEX('glossaryterms-export'!I:I,_xlpm.rowNum))),"Ready to Fix",""))</f>
        <v>Ready to Fix</v>
      </c>
      <c r="G713">
        <v>52</v>
      </c>
      <c r="H713">
        <v>49</v>
      </c>
      <c r="I713">
        <v>1.06122448979591</v>
      </c>
      <c r="J713">
        <v>27.5918367346938</v>
      </c>
      <c r="K713">
        <v>180</v>
      </c>
    </row>
    <row r="714" spans="1:11" ht="61.5">
      <c r="A714">
        <v>713</v>
      </c>
      <c r="B714" s="16"/>
      <c r="C714" t="s">
        <v>772</v>
      </c>
      <c r="D714" s="1"/>
      <c r="E714" s="1" t="str">
        <f>_xlfn.REGEXREPLACE(C714, "(.*)\/$", "https://extremismterms.adl.org\1")</f>
        <v>https://extremismterms.adl.org/glossary/embassy-heaven</v>
      </c>
      <c r="F714" s="1" t="str" cm="1">
        <f t="array" ref="F714">_xlfn.LET(_xlpm.rowNum,MATCH(E714,'glossaryterms-export'!C:C,0),
IF(AND(NOT(ISBLANK(INDEX('glossaryterms-export'!H:H,_xlpm.rowNum))),ISBLANK(INDEX('glossaryterms-export'!I:I,_xlpm.rowNum))),"Ready to Fix",""))</f>
        <v/>
      </c>
      <c r="G714">
        <v>52</v>
      </c>
      <c r="H714">
        <v>46</v>
      </c>
      <c r="I714">
        <v>1.13043478260869</v>
      </c>
      <c r="J714">
        <v>28.847826086956498</v>
      </c>
      <c r="K714">
        <v>199</v>
      </c>
    </row>
    <row r="715" spans="1:11" ht="61.5">
      <c r="A715">
        <v>714</v>
      </c>
      <c r="B715" s="16"/>
      <c r="C715" t="s">
        <v>773</v>
      </c>
      <c r="D715" s="1"/>
      <c r="E715" s="1" t="str">
        <f>_xlfn.REGEXREPLACE(C715, "(.*)\/$", "https://extremismterms.adl.org\1")</f>
        <v>https://extremismterms.adl.org/glossary/hammerfest</v>
      </c>
      <c r="F715" s="1" t="str" cm="1">
        <f t="array" ref="F715">_xlfn.LET(_xlpm.rowNum,MATCH(E715,'glossaryterms-export'!C:C,0),
IF(AND(NOT(ISBLANK(INDEX('glossaryterms-export'!H:H,_xlpm.rowNum))),ISBLANK(INDEX('glossaryterms-export'!I:I,_xlpm.rowNum))),"Ready to Fix",""))</f>
        <v>Ready to Fix</v>
      </c>
      <c r="G715">
        <v>52</v>
      </c>
      <c r="H715">
        <v>48</v>
      </c>
      <c r="I715">
        <v>1.0833333333333299</v>
      </c>
      <c r="J715">
        <v>11.8958333333333</v>
      </c>
      <c r="K715">
        <v>109</v>
      </c>
    </row>
    <row r="716" spans="1:11" ht="61.5">
      <c r="A716">
        <v>715</v>
      </c>
      <c r="B716" s="16"/>
      <c r="C716" t="s">
        <v>774</v>
      </c>
      <c r="D716" s="1"/>
      <c r="E716" s="1" t="str">
        <f>_xlfn.REGEXREPLACE(C716, "(.*)\/$", "https://extremismterms.adl.org\1")</f>
        <v>https://extremismterms.adl.org/glossary/james-edwards</v>
      </c>
      <c r="F716" s="1" t="str" cm="1">
        <f t="array" ref="F716">_xlfn.LET(_xlpm.rowNum,MATCH(E716,'glossaryterms-export'!C:C,0),
IF(AND(NOT(ISBLANK(INDEX('glossaryterms-export'!H:H,_xlpm.rowNum))),ISBLANK(INDEX('glossaryterms-export'!I:I,_xlpm.rowNum))),"Ready to Fix",""))</f>
        <v/>
      </c>
      <c r="G716">
        <v>52</v>
      </c>
      <c r="H716">
        <v>49</v>
      </c>
      <c r="I716">
        <v>1.06122448979591</v>
      </c>
      <c r="J716">
        <v>11.836734693877499</v>
      </c>
      <c r="K716">
        <v>121</v>
      </c>
    </row>
    <row r="717" spans="1:11" ht="61.5">
      <c r="A717">
        <v>716</v>
      </c>
      <c r="B717" s="16"/>
      <c r="C717" t="s">
        <v>775</v>
      </c>
      <c r="D717" s="1"/>
      <c r="E717" s="1" t="str">
        <f>_xlfn.REGEXREPLACE(C717, "(.*)\/$", "https://extremismterms.adl.org\1")</f>
        <v>https://extremismterms.adl.org/glossary/national-vanguard</v>
      </c>
      <c r="F717" s="1" t="str" cm="1">
        <f t="array" ref="F717">_xlfn.LET(_xlpm.rowNum,MATCH(E717,'glossaryterms-export'!C:C,0),
IF(AND(NOT(ISBLANK(INDEX('glossaryterms-export'!H:H,_xlpm.rowNum))),ISBLANK(INDEX('glossaryterms-export'!I:I,_xlpm.rowNum))),"Ready to Fix",""))</f>
        <v>Ready to Fix</v>
      </c>
      <c r="G717">
        <v>52</v>
      </c>
      <c r="H717">
        <v>46</v>
      </c>
      <c r="I717">
        <v>1.13043478260869</v>
      </c>
      <c r="J717">
        <v>18.739130434782599</v>
      </c>
      <c r="K717">
        <v>170</v>
      </c>
    </row>
    <row r="718" spans="1:11" ht="92.25">
      <c r="A718">
        <v>717</v>
      </c>
      <c r="B718" s="16"/>
      <c r="C718" t="s">
        <v>776</v>
      </c>
      <c r="D718" s="1"/>
      <c r="E718" s="1" t="str">
        <f>_xlfn.REGEXREPLACE(C718, "(.*)\/$", "https://extremismterms.adl.org\1")</f>
        <v>https://extremismterms.adl.org/glossary/new-black-panther-party-self-defense-nbpp</v>
      </c>
      <c r="F718" s="1" t="str" cm="1">
        <f t="array" ref="F718">_xlfn.LET(_xlpm.rowNum,MATCH(E718,'glossaryterms-export'!C:C,0),
IF(AND(NOT(ISBLANK(INDEX('glossaryterms-export'!H:H,_xlpm.rowNum))),ISBLANK(INDEX('glossaryterms-export'!I:I,_xlpm.rowNum))),"Ready to Fix",""))</f>
        <v>Ready to Fix</v>
      </c>
      <c r="G718">
        <v>52</v>
      </c>
      <c r="H718">
        <v>48</v>
      </c>
      <c r="I718">
        <v>1.0833333333333299</v>
      </c>
      <c r="J718">
        <v>24.2291666666666</v>
      </c>
      <c r="K718">
        <v>130</v>
      </c>
    </row>
    <row r="719" spans="1:11" ht="61.5">
      <c r="A719">
        <v>718</v>
      </c>
      <c r="B719" s="16"/>
      <c r="C719" t="s">
        <v>777</v>
      </c>
      <c r="D719" s="1"/>
      <c r="E719" s="1" t="str">
        <f>_xlfn.REGEXREPLACE(C719, "(.*)\/$", "https://extremismterms.adl.org\1")</f>
        <v>https://extremismterms.adl.org/glossary/parkland-shooting</v>
      </c>
      <c r="F719" s="1" t="str" cm="1">
        <f t="array" ref="F719">_xlfn.LET(_xlpm.rowNum,MATCH(E719,'glossaryterms-export'!C:C,0),
IF(AND(NOT(ISBLANK(INDEX('glossaryterms-export'!H:H,_xlpm.rowNum))),ISBLANK(INDEX('glossaryterms-export'!I:I,_xlpm.rowNum))),"Ready to Fix",""))</f>
        <v>Ready to Fix</v>
      </c>
      <c r="G719">
        <v>52</v>
      </c>
      <c r="H719">
        <v>48</v>
      </c>
      <c r="I719">
        <v>1.0833333333333299</v>
      </c>
      <c r="J719">
        <v>11.9375</v>
      </c>
      <c r="K719">
        <v>122</v>
      </c>
    </row>
    <row r="720" spans="1:11" ht="61.5">
      <c r="A720">
        <v>719</v>
      </c>
      <c r="B720" s="11" t="s">
        <v>223</v>
      </c>
      <c r="C720" t="s">
        <v>778</v>
      </c>
      <c r="D720" s="1" t="s">
        <v>20</v>
      </c>
      <c r="E720" s="1" t="str">
        <f>_xlfn.REGEXREPLACE(C720, "(.*)\/$", "https://extremismterms.adl.org\1")</f>
        <v>https://extremismterms.adl.org/glossary/purple-pill</v>
      </c>
      <c r="F720" s="1" t="str" cm="1">
        <f t="array" ref="F720">_xlfn.LET(_xlpm.rowNum,MATCH(E720,'glossaryterms-export'!C:C,0),
IF(AND(NOT(ISBLANK(INDEX('glossaryterms-export'!H:H,_xlpm.rowNum))),ISBLANK(INDEX('glossaryterms-export'!I:I,_xlpm.rowNum))),"Ready to Fix",""))</f>
        <v/>
      </c>
      <c r="G720">
        <v>52</v>
      </c>
      <c r="H720">
        <v>49</v>
      </c>
      <c r="I720">
        <v>1.06122448979591</v>
      </c>
      <c r="J720">
        <v>9.6530612244897895</v>
      </c>
      <c r="K720">
        <v>158</v>
      </c>
    </row>
    <row r="721" spans="1:11" ht="61.5">
      <c r="A721">
        <v>720</v>
      </c>
      <c r="B721" s="16"/>
      <c r="C721" t="s">
        <v>779</v>
      </c>
      <c r="D721" s="1"/>
      <c r="E721" s="1" t="str">
        <f>_xlfn.REGEXREPLACE(C721, "(.*)\/$", "https://extremismterms.adl.org\1")</f>
        <v>https://extremismterms.adl.org/glossary/rick-wiles</v>
      </c>
      <c r="F721" s="1" t="str" cm="1">
        <f t="array" ref="F721">_xlfn.LET(_xlpm.rowNum,MATCH(E721,'glossaryterms-export'!C:C,0),
IF(AND(NOT(ISBLANK(INDEX('glossaryterms-export'!H:H,_xlpm.rowNum))),ISBLANK(INDEX('glossaryterms-export'!I:I,_xlpm.rowNum))),"Ready to Fix",""))</f>
        <v/>
      </c>
      <c r="G721">
        <v>52</v>
      </c>
      <c r="H721">
        <v>50</v>
      </c>
      <c r="I721">
        <v>1.04</v>
      </c>
      <c r="J721">
        <v>18.66</v>
      </c>
      <c r="K721">
        <v>168</v>
      </c>
    </row>
    <row r="722" spans="1:11" ht="46.5">
      <c r="A722">
        <v>721</v>
      </c>
      <c r="B722" s="16"/>
      <c r="C722" t="s">
        <v>780</v>
      </c>
      <c r="D722" s="1"/>
      <c r="E722" s="1" t="str">
        <f>_xlfn.REGEXREPLACE(C722, "(.*)\/$", "https://extremismterms.adl.org\1")</f>
        <v>https://extremismterms.adl.org/glossary/131</v>
      </c>
      <c r="F722" s="1" t="str" cm="1">
        <f t="array" ref="F722">_xlfn.LET(_xlpm.rowNum,MATCH(E722,'glossaryterms-export'!C:C,0),
IF(AND(NOT(ISBLANK(INDEX('glossaryterms-export'!H:H,_xlpm.rowNum))),ISBLANK(INDEX('glossaryterms-export'!I:I,_xlpm.rowNum))),"Ready to Fix",""))</f>
        <v>Ready to Fix</v>
      </c>
      <c r="G722">
        <v>51</v>
      </c>
      <c r="H722">
        <v>47</v>
      </c>
      <c r="I722">
        <v>1.08510638297872</v>
      </c>
      <c r="J722">
        <v>9.7872340425531892</v>
      </c>
      <c r="K722">
        <v>130</v>
      </c>
    </row>
    <row r="723" spans="1:11" ht="61.5">
      <c r="A723">
        <v>722</v>
      </c>
      <c r="B723" s="14" t="s">
        <v>25</v>
      </c>
      <c r="C723" t="s">
        <v>781</v>
      </c>
      <c r="D723" s="1" t="s">
        <v>20</v>
      </c>
      <c r="E723" s="1" t="str">
        <f>_xlfn.REGEXREPLACE(C723, "(.*)\/$", "https://extremismterms.adl.org\1")</f>
        <v>https://extremismterms.adl.org/glossary/free-manwoman</v>
      </c>
      <c r="F723" s="1" t="str" cm="1">
        <f t="array" ref="F723">_xlfn.LET(_xlpm.rowNum,MATCH(E723,'glossaryterms-export'!C:C,0),
IF(AND(NOT(ISBLANK(INDEX('glossaryterms-export'!H:H,_xlpm.rowNum))),ISBLANK(INDEX('glossaryterms-export'!I:I,_xlpm.rowNum))),"Ready to Fix",""))</f>
        <v/>
      </c>
      <c r="G723">
        <v>51</v>
      </c>
      <c r="H723">
        <v>50</v>
      </c>
      <c r="I723">
        <v>1.02</v>
      </c>
      <c r="J723">
        <v>13.12</v>
      </c>
      <c r="K723">
        <v>113</v>
      </c>
    </row>
    <row r="724" spans="1:11" ht="61.5">
      <c r="A724">
        <v>723</v>
      </c>
      <c r="B724" s="16"/>
      <c r="C724" t="s">
        <v>782</v>
      </c>
      <c r="D724" s="1"/>
      <c r="E724" s="1" t="str">
        <f>_xlfn.REGEXREPLACE(C724, "(.*)\/$", "https://extremismterms.adl.org\1")</f>
        <v>https://extremismterms.adl.org/glossary/iron-youth</v>
      </c>
      <c r="F724" s="1" t="str" cm="1">
        <f t="array" ref="F724">_xlfn.LET(_xlpm.rowNum,MATCH(E724,'glossaryterms-export'!C:C,0),
IF(AND(NOT(ISBLANK(INDEX('glossaryterms-export'!H:H,_xlpm.rowNum))),ISBLANK(INDEX('glossaryterms-export'!I:I,_xlpm.rowNum))),"Ready to Fix",""))</f>
        <v>Ready to Fix</v>
      </c>
      <c r="G724">
        <v>51</v>
      </c>
      <c r="H724">
        <v>44</v>
      </c>
      <c r="I724">
        <v>1.1590909090909001</v>
      </c>
      <c r="J724">
        <v>20.386363636363601</v>
      </c>
      <c r="K724">
        <v>154</v>
      </c>
    </row>
    <row r="725" spans="1:11" ht="61.5">
      <c r="A725">
        <v>724</v>
      </c>
      <c r="B725" s="16"/>
      <c r="C725" t="s">
        <v>783</v>
      </c>
      <c r="D725" s="1"/>
      <c r="E725" s="1" t="str">
        <f>_xlfn.REGEXREPLACE(C725, "(.*)\/$", "https://extremismterms.adl.org\1")</f>
        <v>https://extremismterms.adl.org/glossary/nazi-low-riders</v>
      </c>
      <c r="F725" s="1" t="str" cm="1">
        <f t="array" ref="F725">_xlfn.LET(_xlpm.rowNum,MATCH(E725,'glossaryterms-export'!C:C,0),
IF(AND(NOT(ISBLANK(INDEX('glossaryterms-export'!H:H,_xlpm.rowNum))),ISBLANK(INDEX('glossaryterms-export'!I:I,_xlpm.rowNum))),"Ready to Fix",""))</f>
        <v>Ready to Fix</v>
      </c>
      <c r="G725">
        <v>51</v>
      </c>
      <c r="H725">
        <v>42</v>
      </c>
      <c r="I725">
        <v>1.21428571428571</v>
      </c>
      <c r="J725">
        <v>19.571428571428498</v>
      </c>
      <c r="K725">
        <v>124</v>
      </c>
    </row>
    <row r="726" spans="1:11" ht="61.5">
      <c r="A726">
        <v>725</v>
      </c>
      <c r="B726" s="16"/>
      <c r="C726" t="s">
        <v>784</v>
      </c>
      <c r="D726" s="1"/>
      <c r="E726" s="1" t="str">
        <f>_xlfn.REGEXREPLACE(C726, "(.*)\/$", "https://extremismterms.adl.org\1")</f>
        <v>https://extremismterms.adl.org/glossary/tyr-rune</v>
      </c>
      <c r="F726" s="1" t="str" cm="1">
        <f t="array" ref="F726">_xlfn.LET(_xlpm.rowNum,MATCH(E726,'glossaryterms-export'!C:C,0),
IF(AND(NOT(ISBLANK(INDEX('glossaryterms-export'!H:H,_xlpm.rowNum))),ISBLANK(INDEX('glossaryterms-export'!I:I,_xlpm.rowNum))),"Ready to Fix",""))</f>
        <v>Ready to Fix</v>
      </c>
      <c r="G726">
        <v>51</v>
      </c>
      <c r="H726">
        <v>47</v>
      </c>
      <c r="I726">
        <v>1.08510638297872</v>
      </c>
      <c r="J726">
        <v>14.9148936170212</v>
      </c>
      <c r="K726">
        <v>132</v>
      </c>
    </row>
    <row r="727" spans="1:11" ht="77.25">
      <c r="A727">
        <v>726</v>
      </c>
      <c r="B727" s="16"/>
      <c r="C727" t="s">
        <v>785</v>
      </c>
      <c r="D727" s="1"/>
      <c r="E727" s="1" t="str">
        <f>_xlfn.REGEXREPLACE(C727, "(.*)\/$", "https://extremismterms.adl.org\1")</f>
        <v>https://extremismterms.adl.org/glossary/westboro-baptist-church</v>
      </c>
      <c r="F727" s="1" t="str" cm="1">
        <f t="array" ref="F727">_xlfn.LET(_xlpm.rowNum,MATCH(E727,'glossaryterms-export'!C:C,0),
IF(AND(NOT(ISBLANK(INDEX('glossaryterms-export'!H:H,_xlpm.rowNum))),ISBLANK(INDEX('glossaryterms-export'!I:I,_xlpm.rowNum))),"Ready to Fix",""))</f>
        <v>Ready to Fix</v>
      </c>
      <c r="G727">
        <v>51</v>
      </c>
      <c r="H727">
        <v>47</v>
      </c>
      <c r="I727">
        <v>1.08510638297872</v>
      </c>
      <c r="J727">
        <v>23.936170212765902</v>
      </c>
      <c r="K727">
        <v>140</v>
      </c>
    </row>
    <row r="728" spans="1:11" ht="61.5">
      <c r="A728">
        <v>727</v>
      </c>
      <c r="B728" s="14" t="s">
        <v>495</v>
      </c>
      <c r="C728" t="s">
        <v>786</v>
      </c>
      <c r="D728" s="1" t="s">
        <v>20</v>
      </c>
      <c r="E728" s="1" t="str">
        <f>_xlfn.REGEXREPLACE(C728, "(.*)\/$", "https://extremismterms.adl.org\1")</f>
        <v>https://extremismterms.adl.org/glossary/andrew-anglin</v>
      </c>
      <c r="F728" s="1" t="str" cm="1">
        <f t="array" ref="F728">_xlfn.LET(_xlpm.rowNum,MATCH(E728,'glossaryterms-export'!C:C,0),
IF(AND(NOT(ISBLANK(INDEX('glossaryterms-export'!H:H,_xlpm.rowNum))),ISBLANK(INDEX('glossaryterms-export'!I:I,_xlpm.rowNum))),"Ready to Fix",""))</f>
        <v/>
      </c>
      <c r="G728">
        <v>50</v>
      </c>
      <c r="H728">
        <v>48</v>
      </c>
      <c r="I728">
        <v>1.0416666666666601</v>
      </c>
      <c r="J728">
        <v>21.5833333333333</v>
      </c>
      <c r="K728">
        <v>129</v>
      </c>
    </row>
    <row r="729" spans="1:11" ht="61.5">
      <c r="A729">
        <v>728</v>
      </c>
      <c r="B729" s="16"/>
      <c r="C729" t="s">
        <v>787</v>
      </c>
      <c r="D729" s="1"/>
      <c r="E729" s="1" t="str">
        <f>_xlfn.REGEXREPLACE(C729, "(.*)\/$", "https://extremismterms.adl.org\1")</f>
        <v>https://extremismterms.adl.org/glossary/ecoterrorism</v>
      </c>
      <c r="F729" s="1" t="str" cm="1">
        <f t="array" ref="F729">_xlfn.LET(_xlpm.rowNum,MATCH(E729,'glossaryterms-export'!C:C,0),
IF(AND(NOT(ISBLANK(INDEX('glossaryterms-export'!H:H,_xlpm.rowNum))),ISBLANK(INDEX('glossaryterms-export'!I:I,_xlpm.rowNum))),"Ready to Fix",""))</f>
        <v/>
      </c>
      <c r="G729">
        <v>50</v>
      </c>
      <c r="H729">
        <v>48</v>
      </c>
      <c r="I729">
        <v>1.0416666666666601</v>
      </c>
      <c r="J729">
        <v>12.0625</v>
      </c>
      <c r="K729">
        <v>116</v>
      </c>
    </row>
    <row r="730" spans="1:11" ht="61.5">
      <c r="A730">
        <v>729</v>
      </c>
      <c r="B730" s="16"/>
      <c r="C730" t="s">
        <v>788</v>
      </c>
      <c r="D730" s="1"/>
      <c r="E730" s="1" t="str">
        <f>_xlfn.REGEXREPLACE(C730, "(.*)\/$", "https://extremismterms.adl.org\1")</f>
        <v>https://extremismterms.adl.org/glossary/jeff-schoep</v>
      </c>
      <c r="F730" s="1" t="str" cm="1">
        <f t="array" ref="F730">_xlfn.LET(_xlpm.rowNum,MATCH(E730,'glossaryterms-export'!C:C,0),
IF(AND(NOT(ISBLANK(INDEX('glossaryterms-export'!H:H,_xlpm.rowNum))),ISBLANK(INDEX('glossaryterms-export'!I:I,_xlpm.rowNum))),"Ready to Fix",""))</f>
        <v/>
      </c>
      <c r="G730">
        <v>50</v>
      </c>
      <c r="H730">
        <v>48</v>
      </c>
      <c r="I730">
        <v>1.0416666666666601</v>
      </c>
      <c r="J730">
        <v>15.8958333333333</v>
      </c>
      <c r="K730">
        <v>136</v>
      </c>
    </row>
    <row r="731" spans="1:11" ht="61.5">
      <c r="A731">
        <v>730</v>
      </c>
      <c r="B731" s="16"/>
      <c r="C731" t="s">
        <v>789</v>
      </c>
      <c r="D731" s="1"/>
      <c r="E731" s="1" t="str">
        <f>_xlfn.REGEXREPLACE(C731, "(.*)\/$", "https://extremismterms.adl.org\1")</f>
        <v>https://extremismterms.adl.org/glossary/jew-ish</v>
      </c>
      <c r="F731" s="1" t="str" cm="1">
        <f t="array" ref="F731">_xlfn.LET(_xlpm.rowNum,MATCH(E731,'glossaryterms-export'!C:C,0),
IF(AND(NOT(ISBLANK(INDEX('glossaryterms-export'!H:H,_xlpm.rowNum))),ISBLANK(INDEX('glossaryterms-export'!I:I,_xlpm.rowNum))),"Ready to Fix",""))</f>
        <v>Ready to Fix</v>
      </c>
      <c r="G731">
        <v>50</v>
      </c>
      <c r="H731">
        <v>50</v>
      </c>
      <c r="I731">
        <v>1</v>
      </c>
      <c r="J731">
        <v>9.66</v>
      </c>
      <c r="K731">
        <v>116</v>
      </c>
    </row>
    <row r="732" spans="1:11" ht="61.5">
      <c r="A732">
        <v>731</v>
      </c>
      <c r="B732" s="16"/>
      <c r="C732" t="s">
        <v>790</v>
      </c>
      <c r="D732" s="1"/>
      <c r="E732" s="1" t="str">
        <f>_xlfn.REGEXREPLACE(C732, "(.*)\/$", "https://extremismterms.adl.org\1")</f>
        <v>https://extremismterms.adl.org/glossary/knights-party</v>
      </c>
      <c r="F732" s="1" t="str" cm="1">
        <f t="array" ref="F732">_xlfn.LET(_xlpm.rowNum,MATCH(E732,'glossaryterms-export'!C:C,0),
IF(AND(NOT(ISBLANK(INDEX('glossaryterms-export'!H:H,_xlpm.rowNum))),ISBLANK(INDEX('glossaryterms-export'!I:I,_xlpm.rowNum))),"Ready to Fix",""))</f>
        <v/>
      </c>
      <c r="G732">
        <v>50</v>
      </c>
      <c r="H732">
        <v>40</v>
      </c>
      <c r="I732">
        <v>1.25</v>
      </c>
      <c r="J732">
        <v>16.2</v>
      </c>
      <c r="K732">
        <v>170</v>
      </c>
    </row>
    <row r="733" spans="1:11" ht="61.5">
      <c r="A733">
        <v>732</v>
      </c>
      <c r="B733" s="16"/>
      <c r="C733" t="s">
        <v>791</v>
      </c>
      <c r="D733" s="1"/>
      <c r="E733" s="1" t="str">
        <f>_xlfn.REGEXREPLACE(C733, "(.*)\/$", "https://extremismterms.adl.org\1")</f>
        <v>https://extremismterms.adl.org/glossary/ss-hand-sign-symbol</v>
      </c>
      <c r="F733" s="1" t="str" cm="1">
        <f t="array" ref="F733">_xlfn.LET(_xlpm.rowNum,MATCH(E733,'glossaryterms-export'!C:C,0),
IF(AND(NOT(ISBLANK(INDEX('glossaryterms-export'!H:H,_xlpm.rowNum))),ISBLANK(INDEX('glossaryterms-export'!I:I,_xlpm.rowNum))),"Ready to Fix",""))</f>
        <v>Ready to Fix</v>
      </c>
      <c r="G733">
        <v>50</v>
      </c>
      <c r="H733">
        <v>44</v>
      </c>
      <c r="I733">
        <v>1.13636363636363</v>
      </c>
      <c r="J733">
        <v>15.522727272727201</v>
      </c>
      <c r="K733">
        <v>134</v>
      </c>
    </row>
    <row r="734" spans="1:11" ht="61.5">
      <c r="A734">
        <v>733</v>
      </c>
      <c r="B734" s="16"/>
      <c r="C734" t="s">
        <v>792</v>
      </c>
      <c r="D734" s="1"/>
      <c r="E734" s="1" t="str">
        <f>_xlfn.REGEXREPLACE(C734, "(.*)\/$", "https://extremismterms.adl.org\1")</f>
        <v>https://extremismterms.adl.org/glossary/tahriftahreef</v>
      </c>
      <c r="F734" s="1" t="str" cm="1">
        <f t="array" ref="F734">_xlfn.LET(_xlpm.rowNum,MATCH(E734,'glossaryterms-export'!C:C,0),
IF(AND(NOT(ISBLANK(INDEX('glossaryterms-export'!H:H,_xlpm.rowNum))),ISBLANK(INDEX('glossaryterms-export'!I:I,_xlpm.rowNum))),"Ready to Fix",""))</f>
        <v/>
      </c>
      <c r="G734">
        <v>50</v>
      </c>
      <c r="H734">
        <v>46</v>
      </c>
      <c r="I734">
        <v>1.0869565217391299</v>
      </c>
      <c r="J734">
        <v>34.978260869565197</v>
      </c>
      <c r="K734">
        <v>128</v>
      </c>
    </row>
    <row r="735" spans="1:11" ht="61.5">
      <c r="A735">
        <v>734</v>
      </c>
      <c r="B735" s="16"/>
      <c r="C735" t="s">
        <v>793</v>
      </c>
      <c r="D735" s="1"/>
      <c r="E735" s="1" t="str">
        <f>_xlfn.REGEXREPLACE(C735, "(.*)\/$", "https://extremismterms.adl.org\1")</f>
        <v>https://extremismterms.adl.org/glossary/william-pierce</v>
      </c>
      <c r="F735" s="1" t="str" cm="1">
        <f t="array" ref="F735">_xlfn.LET(_xlpm.rowNum,MATCH(E735,'glossaryterms-export'!C:C,0),
IF(AND(NOT(ISBLANK(INDEX('glossaryterms-export'!H:H,_xlpm.rowNum))),ISBLANK(INDEX('glossaryterms-export'!I:I,_xlpm.rowNum))),"Ready to Fix",""))</f>
        <v/>
      </c>
      <c r="G735">
        <v>50</v>
      </c>
      <c r="H735">
        <v>48</v>
      </c>
      <c r="I735">
        <v>1.0416666666666601</v>
      </c>
      <c r="J735">
        <v>18.0416666666666</v>
      </c>
      <c r="K735">
        <v>133</v>
      </c>
    </row>
    <row r="736" spans="1:11" ht="61.5">
      <c r="A736">
        <v>735</v>
      </c>
      <c r="B736" s="16"/>
      <c r="C736" t="s">
        <v>794</v>
      </c>
      <c r="D736" s="1"/>
      <c r="E736" s="1" t="str">
        <f>_xlfn.REGEXREPLACE(C736, "(.*)\/$", "https://extremismterms.adl.org\1")</f>
        <v>https://extremismterms.adl.org/glossary/abdullah-el-faisal</v>
      </c>
      <c r="F736" s="1" t="str" cm="1">
        <f t="array" ref="F736">_xlfn.LET(_xlpm.rowNum,MATCH(E736,'glossaryterms-export'!C:C,0),
IF(AND(NOT(ISBLANK(INDEX('glossaryterms-export'!H:H,_xlpm.rowNum))),ISBLANK(INDEX('glossaryterms-export'!I:I,_xlpm.rowNum))),"Ready to Fix",""))</f>
        <v/>
      </c>
      <c r="G736">
        <v>49</v>
      </c>
      <c r="H736">
        <v>49</v>
      </c>
      <c r="I736">
        <v>1</v>
      </c>
      <c r="J736">
        <v>18.3469387755102</v>
      </c>
      <c r="K736">
        <v>103</v>
      </c>
    </row>
    <row r="737" spans="1:11" ht="77.25">
      <c r="A737">
        <v>736</v>
      </c>
      <c r="B737" s="16"/>
      <c r="C737" t="s">
        <v>795</v>
      </c>
      <c r="D737" s="1"/>
      <c r="E737" s="1" t="str">
        <f>_xlfn.REGEXREPLACE(C737, "(.*)\/$", "https://extremismterms.adl.org\1")</f>
        <v>https://extremismterms.adl.org/glossary/boogaloo-bois-boojihadeen</v>
      </c>
      <c r="F737" s="1" t="str" cm="1">
        <f t="array" ref="F737">_xlfn.LET(_xlpm.rowNum,MATCH(E737,'glossaryterms-export'!C:C,0),
IF(AND(NOT(ISBLANK(INDEX('glossaryterms-export'!H:H,_xlpm.rowNum))),ISBLANK(INDEX('glossaryterms-export'!I:I,_xlpm.rowNum))),"Ready to Fix",""))</f>
        <v/>
      </c>
      <c r="G737">
        <v>49</v>
      </c>
      <c r="H737">
        <v>45</v>
      </c>
      <c r="I737">
        <v>1.0888888888888799</v>
      </c>
      <c r="J737">
        <v>15.2222222222222</v>
      </c>
      <c r="K737">
        <v>121</v>
      </c>
    </row>
    <row r="738" spans="1:11" ht="61.5">
      <c r="A738">
        <v>737</v>
      </c>
      <c r="B738" s="16"/>
      <c r="C738" t="s">
        <v>796</v>
      </c>
      <c r="D738" s="1"/>
      <c r="E738" s="1" t="str">
        <f>_xlfn.REGEXREPLACE(C738, "(.*)\/$", "https://extremismterms.adl.org\1")</f>
        <v>https://extremismterms.adl.org/glossary/bound-glory</v>
      </c>
      <c r="F738" s="1" t="str" cm="1">
        <f t="array" ref="F738">_xlfn.LET(_xlpm.rowNum,MATCH(E738,'glossaryterms-export'!C:C,0),
IF(AND(NOT(ISBLANK(INDEX('glossaryterms-export'!H:H,_xlpm.rowNum))),ISBLANK(INDEX('glossaryterms-export'!I:I,_xlpm.rowNum))),"Ready to Fix",""))</f>
        <v>Ready to Fix</v>
      </c>
      <c r="G738">
        <v>49</v>
      </c>
      <c r="H738">
        <v>44</v>
      </c>
      <c r="I738">
        <v>1.11363636363636</v>
      </c>
      <c r="J738">
        <v>25.363636363636299</v>
      </c>
      <c r="K738">
        <v>157</v>
      </c>
    </row>
    <row r="739" spans="1:11" ht="61.5">
      <c r="A739">
        <v>738</v>
      </c>
      <c r="B739" s="16"/>
      <c r="C739" t="s">
        <v>797</v>
      </c>
      <c r="D739" s="1"/>
      <c r="E739" s="1" t="str">
        <f>_xlfn.REGEXREPLACE(C739, "(.*)\/$", "https://extremismterms.adl.org\1")</f>
        <v>https://extremismterms.adl.org/glossary/camp-saints</v>
      </c>
      <c r="F739" s="1" t="str" cm="1">
        <f t="array" ref="F739">_xlfn.LET(_xlpm.rowNum,MATCH(E739,'glossaryterms-export'!C:C,0),
IF(AND(NOT(ISBLANK(INDEX('glossaryterms-export'!H:H,_xlpm.rowNum))),ISBLANK(INDEX('glossaryterms-export'!I:I,_xlpm.rowNum))),"Ready to Fix",""))</f>
        <v/>
      </c>
      <c r="G739">
        <v>49</v>
      </c>
      <c r="H739">
        <v>43</v>
      </c>
      <c r="I739">
        <v>1.13953488372093</v>
      </c>
      <c r="J739">
        <v>8.6976744190000002</v>
      </c>
      <c r="K739">
        <v>170</v>
      </c>
    </row>
    <row r="740" spans="1:11" ht="77.25">
      <c r="A740">
        <v>739</v>
      </c>
      <c r="B740" s="16"/>
      <c r="C740" t="s">
        <v>798</v>
      </c>
      <c r="D740" s="1"/>
      <c r="E740" s="1" t="str">
        <f>_xlfn.REGEXREPLACE(C740, "(.*)\/$", "https://extremismterms.adl.org\1")</f>
        <v>https://extremismterms.adl.org/glossary/fraternal-order-alt-knights-foak</v>
      </c>
      <c r="F740" s="1" t="str" cm="1">
        <f t="array" ref="F740">_xlfn.LET(_xlpm.rowNum,MATCH(E740,'glossaryterms-export'!C:C,0),
IF(AND(NOT(ISBLANK(INDEX('glossaryterms-export'!H:H,_xlpm.rowNum))),ISBLANK(INDEX('glossaryterms-export'!I:I,_xlpm.rowNum))),"Ready to Fix",""))</f>
        <v/>
      </c>
      <c r="G740">
        <v>49</v>
      </c>
      <c r="H740">
        <v>43</v>
      </c>
      <c r="I740">
        <v>1.13953488372093</v>
      </c>
      <c r="J740">
        <v>31.674418604651098</v>
      </c>
      <c r="K740">
        <v>150</v>
      </c>
    </row>
    <row r="741" spans="1:11" ht="61.5">
      <c r="A741">
        <v>740</v>
      </c>
      <c r="B741" s="16"/>
      <c r="C741" t="s">
        <v>799</v>
      </c>
      <c r="D741" s="1"/>
      <c r="E741" s="1" t="str">
        <f>_xlfn.REGEXREPLACE(C741, "(.*)\/$", "https://extremismterms.adl.org\1")</f>
        <v>https://extremismterms.adl.org/glossary/hated</v>
      </c>
      <c r="F741" s="1" t="str" cm="1">
        <f t="array" ref="F741">_xlfn.LET(_xlpm.rowNum,MATCH(E741,'glossaryterms-export'!C:C,0),
IF(AND(NOT(ISBLANK(INDEX('glossaryterms-export'!H:H,_xlpm.rowNum))),ISBLANK(INDEX('glossaryterms-export'!I:I,_xlpm.rowNum))),"Ready to Fix",""))</f>
        <v>Ready to Fix</v>
      </c>
      <c r="G741">
        <v>49</v>
      </c>
      <c r="H741">
        <v>38</v>
      </c>
      <c r="I741">
        <v>1.2894736842105201</v>
      </c>
      <c r="J741">
        <v>13.3947368421052</v>
      </c>
      <c r="K741">
        <v>128</v>
      </c>
    </row>
    <row r="742" spans="1:11" ht="77.25">
      <c r="A742">
        <v>741</v>
      </c>
      <c r="B742" s="16"/>
      <c r="C742" t="s">
        <v>800</v>
      </c>
      <c r="D742" s="1"/>
      <c r="E742" s="1" t="str">
        <f>_xlfn.REGEXREPLACE(C742, "(.*)\/$", "https://extremismterms.adl.org\1")</f>
        <v>https://extremismterms.adl.org/glossary/meine-ehre-heisst-treue</v>
      </c>
      <c r="F742" s="1" t="str" cm="1">
        <f t="array" ref="F742">_xlfn.LET(_xlpm.rowNum,MATCH(E742,'glossaryterms-export'!C:C,0),
IF(AND(NOT(ISBLANK(INDEX('glossaryterms-export'!H:H,_xlpm.rowNum))),ISBLANK(INDEX('glossaryterms-export'!I:I,_xlpm.rowNum))),"Ready to Fix",""))</f>
        <v>Ready to Fix</v>
      </c>
      <c r="G742">
        <v>49</v>
      </c>
      <c r="H742">
        <v>47</v>
      </c>
      <c r="I742">
        <v>1.04255319148936</v>
      </c>
      <c r="J742">
        <v>17.851063829787201</v>
      </c>
      <c r="K742">
        <v>162</v>
      </c>
    </row>
    <row r="743" spans="1:11" ht="61.5">
      <c r="A743">
        <v>742</v>
      </c>
      <c r="B743" s="16"/>
      <c r="C743" t="s">
        <v>801</v>
      </c>
      <c r="D743" s="1"/>
      <c r="E743" s="1" t="str">
        <f>_xlfn.REGEXREPLACE(C743, "(.*)\/$", "https://extremismterms.adl.org\1")</f>
        <v>https://extremismterms.adl.org/glossary/saxon-knights</v>
      </c>
      <c r="F743" s="1" t="str" cm="1">
        <f t="array" ref="F743">_xlfn.LET(_xlpm.rowNum,MATCH(E743,'glossaryterms-export'!C:C,0),
IF(AND(NOT(ISBLANK(INDEX('glossaryterms-export'!H:H,_xlpm.rowNum))),ISBLANK(INDEX('glossaryterms-export'!I:I,_xlpm.rowNum))),"Ready to Fix",""))</f>
        <v>Ready to Fix</v>
      </c>
      <c r="G743">
        <v>49</v>
      </c>
      <c r="H743">
        <v>44</v>
      </c>
      <c r="I743">
        <v>1.11363636363636</v>
      </c>
      <c r="J743">
        <v>23.272727272727199</v>
      </c>
      <c r="K743">
        <v>158</v>
      </c>
    </row>
    <row r="744" spans="1:11" ht="61.5">
      <c r="A744">
        <v>743</v>
      </c>
      <c r="B744" s="16"/>
      <c r="C744" t="s">
        <v>802</v>
      </c>
      <c r="D744" s="1"/>
      <c r="E744" s="1" t="str">
        <f>_xlfn.REGEXREPLACE(C744, "(.*)\/$", "https://extremismterms.adl.org\1")</f>
        <v>https://extremismterms.adl.org/glossary/swastika</v>
      </c>
      <c r="F744" s="1" t="str" cm="1">
        <f t="array" ref="F744">_xlfn.LET(_xlpm.rowNum,MATCH(E744,'glossaryterms-export'!C:C,0),
IF(AND(NOT(ISBLANK(INDEX('glossaryterms-export'!H:H,_xlpm.rowNum))),ISBLANK(INDEX('glossaryterms-export'!I:I,_xlpm.rowNum))),"Ready to Fix",""))</f>
        <v>Ready to Fix</v>
      </c>
      <c r="G744">
        <v>49</v>
      </c>
      <c r="H744">
        <v>39</v>
      </c>
      <c r="I744">
        <v>1.2564102564102499</v>
      </c>
      <c r="J744">
        <v>32.025641025641001</v>
      </c>
      <c r="K744">
        <v>123</v>
      </c>
    </row>
    <row r="745" spans="1:11" ht="77.25">
      <c r="A745">
        <v>744</v>
      </c>
      <c r="B745" s="16"/>
      <c r="C745" t="s">
        <v>803</v>
      </c>
      <c r="D745" s="1"/>
      <c r="E745" s="1" t="str">
        <f>_xlfn.REGEXREPLACE(C745, "(.*)\/$", "https://extremismterms.adl.org\1")</f>
        <v>https://extremismterms.adl.org/glossary/aryan-cowboy-brotherhood</v>
      </c>
      <c r="F745" s="1" t="str" cm="1">
        <f t="array" ref="F745">_xlfn.LET(_xlpm.rowNum,MATCH(E745,'glossaryterms-export'!C:C,0),
IF(AND(NOT(ISBLANK(INDEX('glossaryterms-export'!H:H,_xlpm.rowNum))),ISBLANK(INDEX('glossaryterms-export'!I:I,_xlpm.rowNum))),"Ready to Fix",""))</f>
        <v>Ready to Fix</v>
      </c>
      <c r="G745">
        <v>48</v>
      </c>
      <c r="H745">
        <v>32</v>
      </c>
      <c r="I745">
        <v>1.5</v>
      </c>
      <c r="J745">
        <v>19.6875</v>
      </c>
      <c r="K745">
        <v>126</v>
      </c>
    </row>
    <row r="746" spans="1:11" ht="61.5">
      <c r="A746">
        <v>745</v>
      </c>
      <c r="B746" s="16"/>
      <c r="C746" t="s">
        <v>804</v>
      </c>
      <c r="D746" s="1"/>
      <c r="E746" s="1" t="str">
        <f>_xlfn.REGEXREPLACE(C746, "(.*)\/$", "https://extremismterms.adl.org\1")</f>
        <v>https://extremismterms.adl.org/glossary/aryan-nations</v>
      </c>
      <c r="F746" s="1" t="str" cm="1">
        <f t="array" ref="F746">_xlfn.LET(_xlpm.rowNum,MATCH(E746,'glossaryterms-export'!C:C,0),
IF(AND(NOT(ISBLANK(INDEX('glossaryterms-export'!H:H,_xlpm.rowNum))),ISBLANK(INDEX('glossaryterms-export'!I:I,_xlpm.rowNum))),"Ready to Fix",""))</f>
        <v>Ready to Fix</v>
      </c>
      <c r="G746">
        <v>48</v>
      </c>
      <c r="H746">
        <v>45</v>
      </c>
      <c r="I746">
        <v>1.06666666666666</v>
      </c>
      <c r="J746">
        <v>15.8222222222222</v>
      </c>
      <c r="K746">
        <v>126</v>
      </c>
    </row>
    <row r="747" spans="1:11" ht="92.25">
      <c r="A747">
        <v>746</v>
      </c>
      <c r="B747" s="16"/>
      <c r="C747" t="s">
        <v>805</v>
      </c>
      <c r="D747" s="1"/>
      <c r="E747" s="1" t="str">
        <f>_xlfn.REGEXREPLACE(C747, "(.*)\/$", "https://extremismterms.adl.org\1")</f>
        <v>https://extremismterms.adl.org/glossary/aryan-renaissance-society</v>
      </c>
      <c r="F747" s="1" t="str" cm="1">
        <f t="array" ref="F747">_xlfn.LET(_xlpm.rowNum,MATCH(E747,'glossaryterms-export'!C:C,0),
IF(AND(NOT(ISBLANK(INDEX('glossaryterms-export'!H:H,_xlpm.rowNum))),ISBLANK(INDEX('glossaryterms-export'!I:I,_xlpm.rowNum))),"Ready to Fix",""))</f>
        <v>Ready to Fix</v>
      </c>
      <c r="G747">
        <v>48</v>
      </c>
      <c r="H747">
        <v>45</v>
      </c>
      <c r="I747">
        <v>1.06666666666666</v>
      </c>
      <c r="J747">
        <v>11.355555555555499</v>
      </c>
      <c r="K747">
        <v>93</v>
      </c>
    </row>
    <row r="748" spans="1:11" ht="61.5">
      <c r="A748">
        <v>747</v>
      </c>
      <c r="B748" s="16"/>
      <c r="C748" t="s">
        <v>806</v>
      </c>
      <c r="D748" s="1"/>
      <c r="E748" s="1" t="str">
        <f>_xlfn.REGEXREPLACE(C748, "(.*)\/$", "https://extremismterms.adl.org\1")</f>
        <v>https://extremismterms.adl.org/glossary/ayak</v>
      </c>
      <c r="F748" s="1" t="str" cm="1">
        <f t="array" ref="F748">_xlfn.LET(_xlpm.rowNum,MATCH(E748,'glossaryterms-export'!C:C,0),
IF(AND(NOT(ISBLANK(INDEX('glossaryterms-export'!H:H,_xlpm.rowNum))),ISBLANK(INDEX('glossaryterms-export'!I:I,_xlpm.rowNum))),"Ready to Fix",""))</f>
        <v>Ready to Fix</v>
      </c>
      <c r="G748">
        <v>48</v>
      </c>
      <c r="H748">
        <v>40</v>
      </c>
      <c r="I748">
        <v>1.2</v>
      </c>
      <c r="J748">
        <v>16.524999999999999</v>
      </c>
      <c r="K748">
        <v>159</v>
      </c>
    </row>
    <row r="749" spans="1:11" ht="77.25">
      <c r="A749">
        <v>748</v>
      </c>
      <c r="B749" s="16"/>
      <c r="C749" t="s">
        <v>807</v>
      </c>
      <c r="D749" s="1"/>
      <c r="E749" s="1" t="str">
        <f>_xlfn.REGEXREPLACE(C749, "(.*)\/$", "https://extremismterms.adl.org\1")</f>
        <v>https://extremismterms.adl.org/glossary/national-justice-party</v>
      </c>
      <c r="F749" s="1" t="str" cm="1">
        <f t="array" ref="F749">_xlfn.LET(_xlpm.rowNum,MATCH(E749,'glossaryterms-export'!C:C,0),
IF(AND(NOT(ISBLANK(INDEX('glossaryterms-export'!H:H,_xlpm.rowNum))),ISBLANK(INDEX('glossaryterms-export'!I:I,_xlpm.rowNum))),"Ready to Fix",""))</f>
        <v>Ready to Fix</v>
      </c>
      <c r="G749">
        <v>48</v>
      </c>
      <c r="H749">
        <v>43</v>
      </c>
      <c r="I749">
        <v>1.1162790697674401</v>
      </c>
      <c r="J749">
        <v>14.930232558139499</v>
      </c>
      <c r="K749">
        <v>138</v>
      </c>
    </row>
    <row r="750" spans="1:11" ht="61.5">
      <c r="A750">
        <v>749</v>
      </c>
      <c r="B750" s="14" t="s">
        <v>25</v>
      </c>
      <c r="C750" t="s">
        <v>808</v>
      </c>
      <c r="D750" s="1" t="s">
        <v>20</v>
      </c>
      <c r="E750" s="1" t="str">
        <f>_xlfn.REGEXREPLACE(C750, "(.*)\/$", "https://extremismterms.adl.org\1")</f>
        <v>https://extremismterms.adl.org/glossary/paper-terrorism</v>
      </c>
      <c r="F750" s="1" t="str" cm="1">
        <f t="array" ref="F750">_xlfn.LET(_xlpm.rowNum,MATCH(E750,'glossaryterms-export'!C:C,0),
IF(AND(NOT(ISBLANK(INDEX('glossaryterms-export'!H:H,_xlpm.rowNum))),ISBLANK(INDEX('glossaryterms-export'!I:I,_xlpm.rowNum))),"Ready to Fix",""))</f>
        <v/>
      </c>
      <c r="G750">
        <v>48</v>
      </c>
      <c r="H750">
        <v>46</v>
      </c>
      <c r="I750">
        <v>1.0434782608695601</v>
      </c>
      <c r="J750">
        <v>22.434782608695599</v>
      </c>
      <c r="K750">
        <v>120</v>
      </c>
    </row>
    <row r="751" spans="1:11" ht="61.5">
      <c r="A751">
        <v>750</v>
      </c>
      <c r="B751" s="16"/>
      <c r="C751" t="s">
        <v>809</v>
      </c>
      <c r="D751" s="1"/>
      <c r="E751" s="1" t="str">
        <f>_xlfn.REGEXREPLACE(C751, "(.*)\/$", "https://extremismterms.adl.org\1")</f>
        <v>https://extremismterms.adl.org/glossary/peter-brimelow</v>
      </c>
      <c r="F751" s="1" t="str" cm="1">
        <f t="array" ref="F751">_xlfn.LET(_xlpm.rowNum,MATCH(E751,'glossaryterms-export'!C:C,0),
IF(AND(NOT(ISBLANK(INDEX('glossaryterms-export'!H:H,_xlpm.rowNum))),ISBLANK(INDEX('glossaryterms-export'!I:I,_xlpm.rowNum))),"Ready to Fix",""))</f>
        <v>Ready to Fix</v>
      </c>
      <c r="G751">
        <v>48</v>
      </c>
      <c r="H751">
        <v>45</v>
      </c>
      <c r="I751">
        <v>1.06666666666666</v>
      </c>
      <c r="J751">
        <v>10.9333333333333</v>
      </c>
      <c r="K751">
        <v>122</v>
      </c>
    </row>
    <row r="752" spans="1:11" ht="61.5">
      <c r="A752">
        <v>751</v>
      </c>
      <c r="B752" s="16"/>
      <c r="C752" t="s">
        <v>810</v>
      </c>
      <c r="D752" s="1"/>
      <c r="E752" s="1" t="str">
        <f>_xlfn.REGEXREPLACE(C752, "(.*)\/$", "https://extremismterms.adl.org\1")</f>
        <v>https://extremismterms.adl.org/glossary/texe-marrs</v>
      </c>
      <c r="F752" s="1" t="str" cm="1">
        <f t="array" ref="F752">_xlfn.LET(_xlpm.rowNum,MATCH(E752,'glossaryterms-export'!C:C,0),
IF(AND(NOT(ISBLANK(INDEX('glossaryterms-export'!H:H,_xlpm.rowNum))),ISBLANK(INDEX('glossaryterms-export'!I:I,_xlpm.rowNum))),"Ready to Fix",""))</f>
        <v/>
      </c>
      <c r="G752">
        <v>48</v>
      </c>
      <c r="H752">
        <v>44</v>
      </c>
      <c r="I752">
        <v>1.0909090909090899</v>
      </c>
      <c r="J752">
        <v>34.454545454545404</v>
      </c>
      <c r="K752">
        <v>183</v>
      </c>
    </row>
    <row r="753" spans="1:11" ht="77.25">
      <c r="A753">
        <v>752</v>
      </c>
      <c r="B753" s="16"/>
      <c r="C753" t="s">
        <v>811</v>
      </c>
      <c r="D753" s="1"/>
      <c r="E753" s="1" t="str">
        <f>_xlfn.REGEXREPLACE(C753, "(.*)\/$", "https://extremismterms.adl.org\1")</f>
        <v>https://extremismterms.adl.org/glossary/abu-bakr-al-baghdadi</v>
      </c>
      <c r="F753" s="1" t="str" cm="1">
        <f t="array" ref="F753">_xlfn.LET(_xlpm.rowNum,MATCH(E753,'glossaryterms-export'!C:C,0),
IF(AND(NOT(ISBLANK(INDEX('glossaryterms-export'!H:H,_xlpm.rowNum))),ISBLANK(INDEX('glossaryterms-export'!I:I,_xlpm.rowNum))),"Ready to Fix",""))</f>
        <v/>
      </c>
      <c r="G753">
        <v>47</v>
      </c>
      <c r="H753">
        <v>45</v>
      </c>
      <c r="I753">
        <v>1.0444444444444401</v>
      </c>
      <c r="J753">
        <v>17.155555555555502</v>
      </c>
      <c r="K753">
        <v>106</v>
      </c>
    </row>
    <row r="754" spans="1:11" ht="77.25">
      <c r="A754">
        <v>753</v>
      </c>
      <c r="B754" s="16"/>
      <c r="C754" t="s">
        <v>812</v>
      </c>
      <c r="D754" s="1"/>
      <c r="E754" s="1" t="str">
        <f>_xlfn.REGEXREPLACE(C754, "(.*)\/$", "https://extremismterms.adl.org\1")</f>
        <v>https://extremismterms.adl.org/glossary/nordic-resistance-movement-nrm</v>
      </c>
      <c r="F754" s="1" t="str" cm="1">
        <f t="array" ref="F754">_xlfn.LET(_xlpm.rowNum,MATCH(E754,'glossaryterms-export'!C:C,0),
IF(AND(NOT(ISBLANK(INDEX('glossaryterms-export'!H:H,_xlpm.rowNum))),ISBLANK(INDEX('glossaryterms-export'!I:I,_xlpm.rowNum))),"Ready to Fix",""))</f>
        <v>Ready to Fix</v>
      </c>
      <c r="G754">
        <v>47</v>
      </c>
      <c r="H754">
        <v>44</v>
      </c>
      <c r="I754">
        <v>1.0681818181818099</v>
      </c>
      <c r="J754">
        <v>15.340909090908999</v>
      </c>
      <c r="K754">
        <v>123</v>
      </c>
    </row>
    <row r="755" spans="1:11" ht="61.5">
      <c r="A755">
        <v>754</v>
      </c>
      <c r="B755" s="11" t="s">
        <v>223</v>
      </c>
      <c r="C755" t="s">
        <v>813</v>
      </c>
      <c r="D755" s="1" t="s">
        <v>20</v>
      </c>
      <c r="E755" s="1" t="str">
        <f>_xlfn.REGEXREPLACE(C755, "(.*)\/$", "https://extremismterms.adl.org\1")</f>
        <v>https://extremismterms.adl.org/glossary/blue-pill</v>
      </c>
      <c r="F755" s="1" t="str" cm="1">
        <f t="array" ref="F755">_xlfn.LET(_xlpm.rowNum,MATCH(E755,'glossaryterms-export'!C:C,0),
IF(AND(NOT(ISBLANK(INDEX('glossaryterms-export'!H:H,_xlpm.rowNum))),ISBLANK(INDEX('glossaryterms-export'!I:I,_xlpm.rowNum))),"Ready to Fix",""))</f>
        <v/>
      </c>
      <c r="G755">
        <v>46</v>
      </c>
      <c r="H755">
        <v>41</v>
      </c>
      <c r="I755">
        <v>1.1219512195121899</v>
      </c>
      <c r="J755">
        <v>21.634146341463399</v>
      </c>
      <c r="K755">
        <v>126</v>
      </c>
    </row>
    <row r="756" spans="1:11" ht="61.5">
      <c r="A756">
        <v>755</v>
      </c>
      <c r="B756" s="16"/>
      <c r="C756" t="s">
        <v>814</v>
      </c>
      <c r="D756" s="1"/>
      <c r="E756" s="1" t="str">
        <f>_xlfn.REGEXREPLACE(C756, "(.*)\/$", "https://extremismterms.adl.org\1")</f>
        <v>https://extremismterms.adl.org/glossary/conor-climo</v>
      </c>
      <c r="F756" s="1" t="str" cm="1">
        <f t="array" ref="F756">_xlfn.LET(_xlpm.rowNum,MATCH(E756,'glossaryterms-export'!C:C,0),
IF(AND(NOT(ISBLANK(INDEX('glossaryterms-export'!H:H,_xlpm.rowNum))),ISBLANK(INDEX('glossaryterms-export'!I:I,_xlpm.rowNum))),"Ready to Fix",""))</f>
        <v>Ready to Fix</v>
      </c>
      <c r="G756">
        <v>46</v>
      </c>
      <c r="H756">
        <v>44</v>
      </c>
      <c r="I756">
        <v>1.0454545454545401</v>
      </c>
      <c r="J756">
        <v>10.840909090908999</v>
      </c>
      <c r="K756">
        <v>106</v>
      </c>
    </row>
    <row r="757" spans="1:11" ht="92.25">
      <c r="A757">
        <v>756</v>
      </c>
      <c r="B757" s="16"/>
      <c r="C757" t="s">
        <v>815</v>
      </c>
      <c r="D757" s="1"/>
      <c r="E757" s="1" t="str">
        <f>_xlfn.REGEXREPLACE(C757, "(.*)\/$", "https://extremismterms.adl.org\1")</f>
        <v>https://extremismterms.adl.org/glossary/council-conservative-citizens</v>
      </c>
      <c r="F757" s="1" t="str" cm="1">
        <f t="array" ref="F757">_xlfn.LET(_xlpm.rowNum,MATCH(E757,'glossaryterms-export'!C:C,0),
IF(AND(NOT(ISBLANK(INDEX('glossaryterms-export'!H:H,_xlpm.rowNum))),ISBLANK(INDEX('glossaryterms-export'!I:I,_xlpm.rowNum))),"Ready to Fix",""))</f>
        <v>Ready to Fix</v>
      </c>
      <c r="G757">
        <v>46</v>
      </c>
      <c r="H757">
        <v>42</v>
      </c>
      <c r="I757">
        <v>1.09523809523809</v>
      </c>
      <c r="J757">
        <v>14.285714285714199</v>
      </c>
      <c r="K757">
        <v>116</v>
      </c>
    </row>
    <row r="758" spans="1:11" ht="61.5">
      <c r="A758">
        <v>757</v>
      </c>
      <c r="B758" s="16"/>
      <c r="C758" t="s">
        <v>816</v>
      </c>
      <c r="D758" s="1"/>
      <c r="E758" s="1" t="str">
        <f>_xlfn.REGEXREPLACE(C758, "(.*)\/$", "https://extremismterms.adl.org\1")</f>
        <v>https://extremismterms.adl.org/glossary/el-paso-shooting</v>
      </c>
      <c r="F758" s="1" t="str" cm="1">
        <f t="array" ref="F758">_xlfn.LET(_xlpm.rowNum,MATCH(E758,'glossaryterms-export'!C:C,0),
IF(AND(NOT(ISBLANK(INDEX('glossaryterms-export'!H:H,_xlpm.rowNum))),ISBLANK(INDEX('glossaryterms-export'!I:I,_xlpm.rowNum))),"Ready to Fix",""))</f>
        <v>Ready to Fix</v>
      </c>
      <c r="G758">
        <v>46</v>
      </c>
      <c r="H758">
        <v>45</v>
      </c>
      <c r="I758">
        <v>1.0222222222222199</v>
      </c>
      <c r="J758">
        <v>13.8888888888888</v>
      </c>
      <c r="K758">
        <v>104</v>
      </c>
    </row>
    <row r="759" spans="1:11" ht="77.25">
      <c r="A759">
        <v>758</v>
      </c>
      <c r="B759" s="16"/>
      <c r="C759" t="s">
        <v>817</v>
      </c>
      <c r="D759" s="1"/>
      <c r="E759" s="1" t="str">
        <f>_xlfn.REGEXREPLACE(C759, "(.*)\/$", "https://extremismterms.adl.org\1")</f>
        <v>https://extremismterms.adl.org/glossary/european-kindred-hand-sign</v>
      </c>
      <c r="F759" s="1" t="str" cm="1">
        <f t="array" ref="F759">_xlfn.LET(_xlpm.rowNum,MATCH(E759,'glossaryterms-export'!C:C,0),
IF(AND(NOT(ISBLANK(INDEX('glossaryterms-export'!H:H,_xlpm.rowNum))),ISBLANK(INDEX('glossaryterms-export'!I:I,_xlpm.rowNum))),"Ready to Fix",""))</f>
        <v>Ready to Fix</v>
      </c>
      <c r="G759">
        <v>46</v>
      </c>
      <c r="H759">
        <v>42</v>
      </c>
      <c r="I759">
        <v>1.09523809523809</v>
      </c>
      <c r="J759">
        <v>13.023809523809501</v>
      </c>
      <c r="K759">
        <v>105</v>
      </c>
    </row>
    <row r="760" spans="1:11" ht="61.5">
      <c r="A760">
        <v>759</v>
      </c>
      <c r="B760" s="11" t="s">
        <v>223</v>
      </c>
      <c r="C760" t="s">
        <v>818</v>
      </c>
      <c r="D760" s="1" t="s">
        <v>20</v>
      </c>
      <c r="E760" s="1" t="str">
        <f>_xlfn.REGEXREPLACE(C760, "(.*)\/$", "https://extremismterms.adl.org\1")</f>
        <v>https://extremismterms.adl.org/glossary/green-pill</v>
      </c>
      <c r="F760" s="1" t="str" cm="1">
        <f t="array" ref="F760">_xlfn.LET(_xlpm.rowNum,MATCH(E760,'glossaryterms-export'!C:C,0),
IF(AND(NOT(ISBLANK(INDEX('glossaryterms-export'!H:H,_xlpm.rowNum))),ISBLANK(INDEX('glossaryterms-export'!I:I,_xlpm.rowNum))),"Ready to Fix",""))</f>
        <v/>
      </c>
      <c r="G760">
        <v>46</v>
      </c>
      <c r="H760">
        <v>40</v>
      </c>
      <c r="I760">
        <v>1.1499999999999999</v>
      </c>
      <c r="J760">
        <v>9.25</v>
      </c>
      <c r="K760">
        <v>112</v>
      </c>
    </row>
    <row r="761" spans="1:11" ht="61.5">
      <c r="A761">
        <v>760</v>
      </c>
      <c r="B761" s="16"/>
      <c r="C761" t="s">
        <v>819</v>
      </c>
      <c r="D761" s="1"/>
      <c r="E761" s="1" t="str">
        <f>_xlfn.REGEXREPLACE(C761, "(.*)\/$", "https://extremismterms.adl.org\1")</f>
        <v>https://extremismterms.adl.org/glossary/order</v>
      </c>
      <c r="F761" s="1" t="str" cm="1">
        <f t="array" ref="F761">_xlfn.LET(_xlpm.rowNum,MATCH(E761,'glossaryterms-export'!C:C,0),
IF(AND(NOT(ISBLANK(INDEX('glossaryterms-export'!H:H,_xlpm.rowNum))),ISBLANK(INDEX('glossaryterms-export'!I:I,_xlpm.rowNum))),"Ready to Fix",""))</f>
        <v>Ready to Fix</v>
      </c>
      <c r="G761">
        <v>46</v>
      </c>
      <c r="H761">
        <v>34</v>
      </c>
      <c r="I761">
        <v>1.3529411764705801</v>
      </c>
      <c r="J761">
        <v>25.676470588235201</v>
      </c>
      <c r="K761">
        <v>140</v>
      </c>
    </row>
    <row r="762" spans="1:11" ht="61.5">
      <c r="A762">
        <v>761</v>
      </c>
      <c r="B762" s="16"/>
      <c r="C762" t="s">
        <v>820</v>
      </c>
      <c r="D762" s="1"/>
      <c r="E762" s="1" t="str">
        <f>_xlfn.REGEXREPLACE(C762, "(.*)\/$", "https://extremismterms.adl.org\1")</f>
        <v>https://extremismterms.adl.org/glossary/ava-muhammad</v>
      </c>
      <c r="F762" s="1" t="str" cm="1">
        <f t="array" ref="F762">_xlfn.LET(_xlpm.rowNum,MATCH(E762,'glossaryterms-export'!C:C,0),
IF(AND(NOT(ISBLANK(INDEX('glossaryterms-export'!H:H,_xlpm.rowNum))),ISBLANK(INDEX('glossaryterms-export'!I:I,_xlpm.rowNum))),"Ready to Fix",""))</f>
        <v>Ready to Fix</v>
      </c>
      <c r="G762">
        <v>45</v>
      </c>
      <c r="H762">
        <v>41</v>
      </c>
      <c r="I762">
        <v>1.09756097560975</v>
      </c>
      <c r="J762">
        <v>14.170731707317</v>
      </c>
      <c r="K762">
        <v>115</v>
      </c>
    </row>
    <row r="763" spans="1:11" ht="61.5">
      <c r="A763">
        <v>762</v>
      </c>
      <c r="B763" s="16"/>
      <c r="C763" t="s">
        <v>821</v>
      </c>
      <c r="D763" s="1"/>
      <c r="E763" s="1" t="str">
        <f>_xlfn.REGEXREPLACE(C763, "(.*)\/$", "https://extremismterms.adl.org\1")</f>
        <v>https://extremismterms.adl.org/glossary/fred-phelps-sr</v>
      </c>
      <c r="F763" s="1" t="str" cm="1">
        <f t="array" ref="F763">_xlfn.LET(_xlpm.rowNum,MATCH(E763,'glossaryterms-export'!C:C,0),
IF(AND(NOT(ISBLANK(INDEX('glossaryterms-export'!H:H,_xlpm.rowNum))),ISBLANK(INDEX('glossaryterms-export'!I:I,_xlpm.rowNum))),"Ready to Fix",""))</f>
        <v/>
      </c>
      <c r="G763">
        <v>45</v>
      </c>
      <c r="H763">
        <v>44</v>
      </c>
      <c r="I763">
        <v>1.02272727272727</v>
      </c>
      <c r="J763">
        <v>12.159090909090899</v>
      </c>
      <c r="K763">
        <v>98</v>
      </c>
    </row>
    <row r="764" spans="1:11" ht="61.5">
      <c r="A764">
        <v>763</v>
      </c>
      <c r="B764" s="16"/>
      <c r="C764" t="s">
        <v>822</v>
      </c>
      <c r="D764" s="1"/>
      <c r="E764" s="1" t="str">
        <f>_xlfn.REGEXREPLACE(C764, "(.*)\/$", "https://extremismterms.adl.org\1")</f>
        <v>https://extremismterms.adl.org/glossary/mioak</v>
      </c>
      <c r="F764" s="1" t="str" cm="1">
        <f t="array" ref="F764">_xlfn.LET(_xlpm.rowNum,MATCH(E764,'glossaryterms-export'!C:C,0),
IF(AND(NOT(ISBLANK(INDEX('glossaryterms-export'!H:H,_xlpm.rowNum))),ISBLANK(INDEX('glossaryterms-export'!I:I,_xlpm.rowNum))),"Ready to Fix",""))</f>
        <v>Ready to Fix</v>
      </c>
      <c r="G764">
        <v>45</v>
      </c>
      <c r="H764">
        <v>37</v>
      </c>
      <c r="I764">
        <v>1.21621621621621</v>
      </c>
      <c r="J764">
        <v>46.351351351351298</v>
      </c>
      <c r="K764">
        <v>132</v>
      </c>
    </row>
    <row r="765" spans="1:11" ht="77.25">
      <c r="A765">
        <v>764</v>
      </c>
      <c r="B765" s="16"/>
      <c r="C765" t="s">
        <v>823</v>
      </c>
      <c r="D765" s="1"/>
      <c r="E765" s="1" t="str">
        <f>_xlfn.REGEXREPLACE(C765, "(.*)\/$", "https://extremismterms.adl.org\1")</f>
        <v>https://extremismterms.adl.org/glossary/wade-michael-page</v>
      </c>
      <c r="F765" s="1" t="str" cm="1">
        <f t="array" ref="F765">_xlfn.LET(_xlpm.rowNum,MATCH(E765,'glossaryterms-export'!C:C,0),
IF(AND(NOT(ISBLANK(INDEX('glossaryterms-export'!H:H,_xlpm.rowNum))),ISBLANK(INDEX('glossaryterms-export'!I:I,_xlpm.rowNum))),"Ready to Fix",""))</f>
        <v/>
      </c>
      <c r="G765">
        <v>45</v>
      </c>
      <c r="H765">
        <v>33</v>
      </c>
      <c r="I765">
        <v>1.36363636363636</v>
      </c>
      <c r="J765">
        <v>17.363636363636299</v>
      </c>
      <c r="K765">
        <v>146</v>
      </c>
    </row>
    <row r="766" spans="1:11" ht="61.5">
      <c r="A766">
        <v>765</v>
      </c>
      <c r="B766" s="16"/>
      <c r="C766" t="s">
        <v>824</v>
      </c>
      <c r="D766" s="1"/>
      <c r="E766" s="1" t="str">
        <f>_xlfn.REGEXREPLACE(C766, "(.*)\/$", "https://extremismterms.adl.org\1")</f>
        <v>https://extremismterms.adl.org/glossary/anudda-shoah</v>
      </c>
      <c r="F766" s="1" t="str" cm="1">
        <f t="array" ref="F766">_xlfn.LET(_xlpm.rowNum,MATCH(E766,'glossaryterms-export'!C:C,0),
IF(AND(NOT(ISBLANK(INDEX('glossaryterms-export'!H:H,_xlpm.rowNum))),ISBLANK(INDEX('glossaryterms-export'!I:I,_xlpm.rowNum))),"Ready to Fix",""))</f>
        <v>Ready to Fix</v>
      </c>
      <c r="G766">
        <v>44</v>
      </c>
      <c r="H766">
        <v>42</v>
      </c>
      <c r="I766">
        <v>1.0476190476190399</v>
      </c>
      <c r="J766">
        <v>15.4047619047619</v>
      </c>
      <c r="K766">
        <v>139</v>
      </c>
    </row>
    <row r="767" spans="1:11" ht="77.25">
      <c r="A767">
        <v>766</v>
      </c>
      <c r="B767" s="16"/>
      <c r="C767" t="s">
        <v>825</v>
      </c>
      <c r="D767" s="1"/>
      <c r="E767" s="1" t="str">
        <f>_xlfn.REGEXREPLACE(C767, "(.*)\/$", "https://extremismterms.adl.org\1")</f>
        <v>https://extremismterms.adl.org/glossary/arrow-cross-symbol</v>
      </c>
      <c r="F767" s="1" t="str" cm="1">
        <f t="array" ref="F767">_xlfn.LET(_xlpm.rowNum,MATCH(E767,'glossaryterms-export'!C:C,0),
IF(AND(NOT(ISBLANK(INDEX('glossaryterms-export'!H:H,_xlpm.rowNum))),ISBLANK(INDEX('glossaryterms-export'!I:I,_xlpm.rowNum))),"Ready to Fix",""))</f>
        <v>Ready to Fix</v>
      </c>
      <c r="G767">
        <v>44</v>
      </c>
      <c r="H767">
        <v>41</v>
      </c>
      <c r="I767">
        <v>1.07317073170731</v>
      </c>
      <c r="J767">
        <v>9.8780487804878003</v>
      </c>
      <c r="K767">
        <v>98</v>
      </c>
    </row>
    <row r="768" spans="1:11" ht="61.5">
      <c r="A768">
        <v>767</v>
      </c>
      <c r="B768" s="14" t="s">
        <v>15</v>
      </c>
      <c r="C768" t="s">
        <v>826</v>
      </c>
      <c r="D768" s="1" t="s">
        <v>20</v>
      </c>
      <c r="E768" s="1" t="str">
        <f>_xlfn.REGEXREPLACE(C768, "(.*)\/$", "https://extremismterms.adl.org\1")</f>
        <v>https://extremismterms.adl.org/glossary/autists</v>
      </c>
      <c r="F768" s="1" t="str" cm="1">
        <f t="array" ref="F768">_xlfn.LET(_xlpm.rowNum,MATCH(E768,'glossaryterms-export'!C:C,0),
IF(AND(NOT(ISBLANK(INDEX('glossaryterms-export'!H:H,_xlpm.rowNum))),ISBLANK(INDEX('glossaryterms-export'!I:I,_xlpm.rowNum))),"Ready to Fix",""))</f>
        <v/>
      </c>
      <c r="G768">
        <v>44</v>
      </c>
      <c r="H768">
        <v>42</v>
      </c>
      <c r="I768">
        <v>1.0476190476190399</v>
      </c>
      <c r="J768">
        <v>9.2619047619047592</v>
      </c>
      <c r="K768">
        <v>101</v>
      </c>
    </row>
    <row r="769" spans="1:11" ht="61.5">
      <c r="A769">
        <v>768</v>
      </c>
      <c r="B769" s="14" t="s">
        <v>495</v>
      </c>
      <c r="C769" t="s">
        <v>827</v>
      </c>
      <c r="D769" s="1" t="s">
        <v>20</v>
      </c>
      <c r="E769" s="1" t="str">
        <f>_xlfn.REGEXREPLACE(C769, "(.*)\/$", "https://extremismterms.adl.org\1")</f>
        <v>https://extremismterms.adl.org/glossary/daniel-friberg</v>
      </c>
      <c r="F769" s="1" t="str" cm="1">
        <f t="array" ref="F769">_xlfn.LET(_xlpm.rowNum,MATCH(E769,'glossaryterms-export'!C:C,0),
IF(AND(NOT(ISBLANK(INDEX('glossaryterms-export'!H:H,_xlpm.rowNum))),ISBLANK(INDEX('glossaryterms-export'!I:I,_xlpm.rowNum))),"Ready to Fix",""))</f>
        <v/>
      </c>
      <c r="G769">
        <v>44</v>
      </c>
      <c r="H769">
        <v>36</v>
      </c>
      <c r="I769">
        <v>1.2222222222222201</v>
      </c>
      <c r="J769">
        <v>14.1666666666666</v>
      </c>
      <c r="K769">
        <v>117</v>
      </c>
    </row>
    <row r="770" spans="1:11" ht="77.25">
      <c r="A770">
        <v>769</v>
      </c>
      <c r="B770" s="16"/>
      <c r="C770" t="s">
        <v>828</v>
      </c>
      <c r="D770" s="1"/>
      <c r="E770" s="1" t="str">
        <f>_xlfn.REGEXREPLACE(C770, "(.*)\/$", "https://extremismterms.adl.org\1")</f>
        <v>https://extremismterms.adl.org/glossary/golden-state-solidarity-symbol</v>
      </c>
      <c r="F770" s="1" t="str" cm="1">
        <f t="array" ref="F770">_xlfn.LET(_xlpm.rowNum,MATCH(E770,'glossaryterms-export'!C:C,0),
IF(AND(NOT(ISBLANK(INDEX('glossaryterms-export'!H:H,_xlpm.rowNum))),ISBLANK(INDEX('glossaryterms-export'!I:I,_xlpm.rowNum))),"Ready to Fix",""))</f>
        <v>Ready to Fix</v>
      </c>
      <c r="G770">
        <v>44</v>
      </c>
      <c r="H770">
        <v>36</v>
      </c>
      <c r="I770">
        <v>1.2222222222222201</v>
      </c>
      <c r="J770">
        <v>9.3611111109999996</v>
      </c>
      <c r="K770">
        <v>109</v>
      </c>
    </row>
    <row r="771" spans="1:11" ht="61.5">
      <c r="A771">
        <v>770</v>
      </c>
      <c r="B771" s="14" t="s">
        <v>495</v>
      </c>
      <c r="C771" t="s">
        <v>829</v>
      </c>
      <c r="D771" s="1" t="s">
        <v>20</v>
      </c>
      <c r="E771" s="1" t="str">
        <f>_xlfn.REGEXREPLACE(C771, "(.*)\/$", "https://extremismterms.adl.org\1")</f>
        <v>https://extremismterms.adl.org/glossary/occidental-dissent</v>
      </c>
      <c r="F771" s="1" t="str" cm="1">
        <f t="array" ref="F771">_xlfn.LET(_xlpm.rowNum,MATCH(E771,'glossaryterms-export'!C:C,0),
IF(AND(NOT(ISBLANK(INDEX('glossaryterms-export'!H:H,_xlpm.rowNum))),ISBLANK(INDEX('glossaryterms-export'!I:I,_xlpm.rowNum))),"Ready to Fix",""))</f>
        <v/>
      </c>
      <c r="G771">
        <v>44</v>
      </c>
      <c r="H771">
        <v>39</v>
      </c>
      <c r="I771">
        <v>1.12820512820512</v>
      </c>
      <c r="J771">
        <v>13</v>
      </c>
      <c r="K771">
        <v>165</v>
      </c>
    </row>
    <row r="772" spans="1:11" ht="61.5">
      <c r="A772">
        <v>771</v>
      </c>
      <c r="B772" s="16"/>
      <c r="C772" t="s">
        <v>830</v>
      </c>
      <c r="D772" s="1"/>
      <c r="E772" s="1" t="str">
        <f>_xlfn.REGEXREPLACE(C772, "(.*)\/$", "https://extremismterms.adl.org\1")</f>
        <v>https://extremismterms.adl.org/glossary/timothy-mcveigh</v>
      </c>
      <c r="F772" s="1" t="str" cm="1">
        <f t="array" ref="F772">_xlfn.LET(_xlpm.rowNum,MATCH(E772,'glossaryterms-export'!C:C,0),
IF(AND(NOT(ISBLANK(INDEX('glossaryterms-export'!H:H,_xlpm.rowNum))),ISBLANK(INDEX('glossaryterms-export'!I:I,_xlpm.rowNum))),"Ready to Fix",""))</f>
        <v>Ready to Fix</v>
      </c>
      <c r="G772">
        <v>44</v>
      </c>
      <c r="H772">
        <v>43</v>
      </c>
      <c r="I772">
        <v>1.02325581395348</v>
      </c>
      <c r="J772">
        <v>8.0232558139534795</v>
      </c>
      <c r="K772">
        <v>121</v>
      </c>
    </row>
    <row r="773" spans="1:11" ht="61.5">
      <c r="A773">
        <v>772</v>
      </c>
      <c r="B773" s="16"/>
      <c r="C773" t="s">
        <v>831</v>
      </c>
      <c r="D773" s="1"/>
      <c r="E773" s="1" t="str">
        <f>_xlfn.REGEXREPLACE(C773, "(.*)\/$", "https://extremismterms.adl.org\1")</f>
        <v>https://extremismterms.adl.org/glossary/universal-order</v>
      </c>
      <c r="F773" s="1" t="str" cm="1">
        <f t="array" ref="F773">_xlfn.LET(_xlpm.rowNum,MATCH(E773,'glossaryterms-export'!C:C,0),
IF(AND(NOT(ISBLANK(INDEX('glossaryterms-export'!H:H,_xlpm.rowNum))),ISBLANK(INDEX('glossaryterms-export'!I:I,_xlpm.rowNum))),"Ready to Fix",""))</f>
        <v/>
      </c>
      <c r="G773">
        <v>44</v>
      </c>
      <c r="H773">
        <v>43</v>
      </c>
      <c r="I773">
        <v>1.02325581395348</v>
      </c>
      <c r="J773">
        <v>15.4883720930232</v>
      </c>
      <c r="K773">
        <v>156</v>
      </c>
    </row>
    <row r="774" spans="1:11" ht="77.25">
      <c r="A774">
        <v>773</v>
      </c>
      <c r="B774" s="16"/>
      <c r="C774" t="s">
        <v>832</v>
      </c>
      <c r="D774" s="1"/>
      <c r="E774" s="1" t="str">
        <f>_xlfn.REGEXREPLACE(C774, "(.*)\/$", "https://extremismterms.adl.org\1")</f>
        <v>https://extremismterms.adl.org/glossary/vorherrschaft-division</v>
      </c>
      <c r="F774" s="1" t="str" cm="1">
        <f t="array" ref="F774">_xlfn.LET(_xlpm.rowNum,MATCH(E774,'glossaryterms-export'!C:C,0),
IF(AND(NOT(ISBLANK(INDEX('glossaryterms-export'!H:H,_xlpm.rowNum))),ISBLANK(INDEX('glossaryterms-export'!I:I,_xlpm.rowNum))),"Ready to Fix",""))</f>
        <v/>
      </c>
      <c r="G774">
        <v>44</v>
      </c>
      <c r="H774">
        <v>39</v>
      </c>
      <c r="I774">
        <v>1.12820512820512</v>
      </c>
      <c r="J774">
        <v>10</v>
      </c>
      <c r="K774">
        <v>135</v>
      </c>
    </row>
    <row r="775" spans="1:11" ht="61.5">
      <c r="A775">
        <v>774</v>
      </c>
      <c r="B775" s="16"/>
      <c r="C775" t="s">
        <v>833</v>
      </c>
      <c r="D775" s="1"/>
      <c r="E775" s="1" t="str">
        <f>_xlfn.REGEXREPLACE(C775, "(.*)\/$", "https://extremismterms.adl.org\1")</f>
        <v>https://extremismterms.adl.org/glossary/abbas-hamideh</v>
      </c>
      <c r="F775" s="1" t="str" cm="1">
        <f t="array" ref="F775">_xlfn.LET(_xlpm.rowNum,MATCH(E775,'glossaryterms-export'!C:C,0),
IF(AND(NOT(ISBLANK(INDEX('glossaryterms-export'!H:H,_xlpm.rowNum))),ISBLANK(INDEX('glossaryterms-export'!I:I,_xlpm.rowNum))),"Ready to Fix",""))</f>
        <v>Ready to Fix</v>
      </c>
      <c r="G775">
        <v>43</v>
      </c>
      <c r="H775">
        <v>41</v>
      </c>
      <c r="I775">
        <v>1.0487804878048701</v>
      </c>
      <c r="J775">
        <v>52.341463414634099</v>
      </c>
      <c r="K775">
        <v>169</v>
      </c>
    </row>
    <row r="776" spans="1:11" ht="61.5">
      <c r="A776">
        <v>775</v>
      </c>
      <c r="B776" s="16"/>
      <c r="C776" t="s">
        <v>834</v>
      </c>
      <c r="D776" s="1"/>
      <c r="E776" s="1" t="str">
        <f>_xlfn.REGEXREPLACE(C776, "(.*)\/$", "https://extremismterms.adl.org\1")</f>
        <v>https://extremismterms.adl.org/glossary/anton-long</v>
      </c>
      <c r="F776" s="1" t="str" cm="1">
        <f t="array" ref="F776">_xlfn.LET(_xlpm.rowNum,MATCH(E776,'glossaryterms-export'!C:C,0),
IF(AND(NOT(ISBLANK(INDEX('glossaryterms-export'!H:H,_xlpm.rowNum))),ISBLANK(INDEX('glossaryterms-export'!I:I,_xlpm.rowNum))),"Ready to Fix",""))</f>
        <v/>
      </c>
      <c r="G776">
        <v>43</v>
      </c>
      <c r="H776">
        <v>38</v>
      </c>
      <c r="I776">
        <v>1.1315789473684199</v>
      </c>
      <c r="J776">
        <v>14.921052631578901</v>
      </c>
      <c r="K776">
        <v>135</v>
      </c>
    </row>
    <row r="777" spans="1:11" ht="61.5">
      <c r="A777">
        <v>776</v>
      </c>
      <c r="B777" s="16"/>
      <c r="C777" t="s">
        <v>835</v>
      </c>
      <c r="D777" s="1"/>
      <c r="E777" s="1" t="str">
        <f>_xlfn.REGEXREPLACE(C777, "(.*)\/$", "https://extremismterms.adl.org\1")</f>
        <v>https://extremismterms.adl.org/glossary/base</v>
      </c>
      <c r="F777" s="1" t="str" cm="1">
        <f t="array" ref="F777">_xlfn.LET(_xlpm.rowNum,MATCH(E777,'glossaryterms-export'!C:C,0),
IF(AND(NOT(ISBLANK(INDEX('glossaryterms-export'!H:H,_xlpm.rowNum))),ISBLANK(INDEX('glossaryterms-export'!I:I,_xlpm.rowNum))),"Ready to Fix",""))</f>
        <v>Ready to Fix</v>
      </c>
      <c r="G777">
        <v>43</v>
      </c>
      <c r="H777">
        <v>37</v>
      </c>
      <c r="I777">
        <v>1.1621621621621601</v>
      </c>
      <c r="J777">
        <v>20.918918918918902</v>
      </c>
      <c r="K777">
        <v>127</v>
      </c>
    </row>
    <row r="778" spans="1:11" ht="123">
      <c r="A778">
        <v>777</v>
      </c>
      <c r="B778" s="16"/>
      <c r="C778" t="s">
        <v>836</v>
      </c>
      <c r="D778" s="1"/>
      <c r="E778" s="1" t="str">
        <f>_xlfn.REGEXREPLACE(C778, "(.*)\/$", "https://extremismterms.adl.org\1")</f>
        <v>https://extremismterms.adl.org/glossary/garland-tx-terrorist-plot-also-known-draw-mohammed-art-contest-plot</v>
      </c>
      <c r="F778" s="1" t="str" cm="1">
        <f t="array" ref="F778">_xlfn.LET(_xlpm.rowNum,MATCH(E778,'glossaryterms-export'!C:C,0),
IF(AND(NOT(ISBLANK(INDEX('glossaryterms-export'!H:H,_xlpm.rowNum))),ISBLANK(INDEX('glossaryterms-export'!I:I,_xlpm.rowNum))),"Ready to Fix",""))</f>
        <v/>
      </c>
      <c r="G778">
        <v>43</v>
      </c>
      <c r="H778">
        <v>39</v>
      </c>
      <c r="I778">
        <v>1.1025641025641</v>
      </c>
      <c r="J778">
        <v>28.256410256410199</v>
      </c>
      <c r="K778">
        <v>91</v>
      </c>
    </row>
    <row r="779" spans="1:11" ht="61.5">
      <c r="A779">
        <v>778</v>
      </c>
      <c r="B779" s="16"/>
      <c r="C779" t="s">
        <v>837</v>
      </c>
      <c r="D779" s="1"/>
      <c r="E779" s="1" t="str">
        <f>_xlfn.REGEXREPLACE(C779, "(.*)\/$", "https://extremismterms.adl.org\1")</f>
        <v>https://extremismterms.adl.org/glossary/pentti-linkola</v>
      </c>
      <c r="F779" s="1" t="str" cm="1">
        <f t="array" ref="F779">_xlfn.LET(_xlpm.rowNum,MATCH(E779,'glossaryterms-export'!C:C,0),
IF(AND(NOT(ISBLANK(INDEX('glossaryterms-export'!H:H,_xlpm.rowNum))),ISBLANK(INDEX('glossaryterms-export'!I:I,_xlpm.rowNum))),"Ready to Fix",""))</f>
        <v/>
      </c>
      <c r="G779">
        <v>43</v>
      </c>
      <c r="H779">
        <v>38</v>
      </c>
      <c r="I779">
        <v>1.1315789473684199</v>
      </c>
      <c r="J779">
        <v>19.236842105263101</v>
      </c>
      <c r="K779">
        <v>149</v>
      </c>
    </row>
    <row r="780" spans="1:11" ht="61.5">
      <c r="A780">
        <v>779</v>
      </c>
      <c r="B780" s="16"/>
      <c r="C780" t="s">
        <v>838</v>
      </c>
      <c r="D780" s="1"/>
      <c r="E780" s="1" t="str">
        <f>_xlfn.REGEXREPLACE(C780, "(.*)\/$", "https://extremismterms.adl.org\1")</f>
        <v>https://extremismterms.adl.org/glossary/ruby-ridge</v>
      </c>
      <c r="F780" s="1" t="str" cm="1">
        <f t="array" ref="F780">_xlfn.LET(_xlpm.rowNum,MATCH(E780,'glossaryterms-export'!C:C,0),
IF(AND(NOT(ISBLANK(INDEX('glossaryterms-export'!H:H,_xlpm.rowNum))),ISBLANK(INDEX('glossaryterms-export'!I:I,_xlpm.rowNum))),"Ready to Fix",""))</f>
        <v>Ready to Fix</v>
      </c>
      <c r="G780">
        <v>43</v>
      </c>
      <c r="H780">
        <v>39</v>
      </c>
      <c r="I780">
        <v>1.1025641025641</v>
      </c>
      <c r="J780">
        <v>19.769230769230699</v>
      </c>
      <c r="K780">
        <v>115</v>
      </c>
    </row>
    <row r="781" spans="1:11" ht="61.5">
      <c r="A781">
        <v>780</v>
      </c>
      <c r="B781" s="16"/>
      <c r="C781" t="s">
        <v>839</v>
      </c>
      <c r="D781" s="1"/>
      <c r="E781" s="1" t="str">
        <f>_xlfn.REGEXREPLACE(C781, "(.*)\/$", "https://extremismterms.adl.org\1")</f>
        <v>https://extremismterms.adl.org/glossary/takis-magazine</v>
      </c>
      <c r="F781" s="1" t="str" cm="1">
        <f t="array" ref="F781">_xlfn.LET(_xlpm.rowNum,MATCH(E781,'glossaryterms-export'!C:C,0),
IF(AND(NOT(ISBLANK(INDEX('glossaryterms-export'!H:H,_xlpm.rowNum))),ISBLANK(INDEX('glossaryterms-export'!I:I,_xlpm.rowNum))),"Ready to Fix",""))</f>
        <v>Ready to Fix</v>
      </c>
      <c r="G781">
        <v>43</v>
      </c>
      <c r="H781">
        <v>41</v>
      </c>
      <c r="I781">
        <v>1.0487804878048701</v>
      </c>
      <c r="J781">
        <v>24.2439024390243</v>
      </c>
      <c r="K781">
        <v>166</v>
      </c>
    </row>
    <row r="782" spans="1:11" ht="61.5">
      <c r="A782">
        <v>781</v>
      </c>
      <c r="B782" s="16"/>
      <c r="C782" t="s">
        <v>840</v>
      </c>
      <c r="D782" s="1"/>
      <c r="E782" s="1" t="str">
        <f>_xlfn.REGEXREPLACE(C782, "(.*)\/$", "https://extremismterms.adl.org\1")</f>
        <v>https://extremismterms.adl.org/glossary/al-furqan-media</v>
      </c>
      <c r="F782" s="1" t="str" cm="1">
        <f t="array" ref="F782">_xlfn.LET(_xlpm.rowNum,MATCH(E782,'glossaryterms-export'!C:C,0),
IF(AND(NOT(ISBLANK(INDEX('glossaryterms-export'!H:H,_xlpm.rowNum))),ISBLANK(INDEX('glossaryterms-export'!I:I,_xlpm.rowNum))),"Ready to Fix",""))</f>
        <v/>
      </c>
      <c r="G782">
        <v>42</v>
      </c>
      <c r="H782">
        <v>39</v>
      </c>
      <c r="I782">
        <v>1.07692307692307</v>
      </c>
      <c r="J782">
        <v>7.0512820512820502</v>
      </c>
      <c r="K782">
        <v>144</v>
      </c>
    </row>
    <row r="783" spans="1:11" ht="61.5">
      <c r="A783">
        <v>782</v>
      </c>
      <c r="B783" s="16"/>
      <c r="C783" t="s">
        <v>841</v>
      </c>
      <c r="D783" s="1"/>
      <c r="E783" s="1" t="str">
        <f>_xlfn.REGEXREPLACE(C783, "(.*)\/$", "https://extremismterms.adl.org\1")</f>
        <v>https://extremismterms.adl.org/glossary/frazier-glenn-miller</v>
      </c>
      <c r="F783" s="1" t="str" cm="1">
        <f t="array" ref="F783">_xlfn.LET(_xlpm.rowNum,MATCH(E783,'glossaryterms-export'!C:C,0),
IF(AND(NOT(ISBLANK(INDEX('glossaryterms-export'!H:H,_xlpm.rowNum))),ISBLANK(INDEX('glossaryterms-export'!I:I,_xlpm.rowNum))),"Ready to Fix",""))</f>
        <v>Ready to Fix</v>
      </c>
      <c r="G783">
        <v>42</v>
      </c>
      <c r="H783">
        <v>41</v>
      </c>
      <c r="I783">
        <v>1.0243902439024299</v>
      </c>
      <c r="J783">
        <v>11.829268292682899</v>
      </c>
      <c r="K783">
        <v>94</v>
      </c>
    </row>
    <row r="784" spans="1:11" ht="61.5">
      <c r="A784">
        <v>783</v>
      </c>
      <c r="B784" s="16"/>
      <c r="C784" t="s">
        <v>842</v>
      </c>
      <c r="D784" s="1"/>
      <c r="E784" s="1" t="str">
        <f>_xlfn.REGEXREPLACE(C784, "(.*)\/$", "https://extremismterms.adl.org\1")</f>
        <v>https://extremismterms.adl.org/glossary/gordon-duff</v>
      </c>
      <c r="F784" s="1" t="str" cm="1">
        <f t="array" ref="F784">_xlfn.LET(_xlpm.rowNum,MATCH(E784,'glossaryterms-export'!C:C,0),
IF(AND(NOT(ISBLANK(INDEX('glossaryterms-export'!H:H,_xlpm.rowNum))),ISBLANK(INDEX('glossaryterms-export'!I:I,_xlpm.rowNum))),"Ready to Fix",""))</f>
        <v/>
      </c>
      <c r="G784">
        <v>42</v>
      </c>
      <c r="H784">
        <v>39</v>
      </c>
      <c r="I784">
        <v>1.07692307692307</v>
      </c>
      <c r="J784">
        <v>18.615384615384599</v>
      </c>
      <c r="K784">
        <v>144</v>
      </c>
    </row>
    <row r="785" spans="1:11" ht="92.25">
      <c r="A785">
        <v>784</v>
      </c>
      <c r="B785" s="16"/>
      <c r="C785" t="s">
        <v>843</v>
      </c>
      <c r="D785" s="1"/>
      <c r="E785" s="1" t="str">
        <f>_xlfn.REGEXREPLACE(C785, "(.*)\/$", "https://extremismterms.adl.org\1")</f>
        <v>https://extremismterms.adl.org/glossary/keysone-state-skinheadskeystone-united</v>
      </c>
      <c r="F785" s="1" t="str" cm="1">
        <f t="array" ref="F785">_xlfn.LET(_xlpm.rowNum,MATCH(E785,'glossaryterms-export'!C:C,0),
IF(AND(NOT(ISBLANK(INDEX('glossaryterms-export'!H:H,_xlpm.rowNum))),ISBLANK(INDEX('glossaryterms-export'!I:I,_xlpm.rowNum))),"Ready to Fix",""))</f>
        <v>Ready to Fix</v>
      </c>
      <c r="G785">
        <v>42</v>
      </c>
      <c r="H785">
        <v>37</v>
      </c>
      <c r="I785">
        <v>1.13513513513513</v>
      </c>
      <c r="J785">
        <v>15.594594594594501</v>
      </c>
      <c r="K785">
        <v>110</v>
      </c>
    </row>
    <row r="786" spans="1:11" ht="77.25">
      <c r="A786">
        <v>785</v>
      </c>
      <c r="B786" s="16"/>
      <c r="C786" t="s">
        <v>844</v>
      </c>
      <c r="D786" s="1"/>
      <c r="E786" s="1" t="str">
        <f>_xlfn.REGEXREPLACE(C786, "(.*)\/$", "https://extremismterms.adl.org\1")</f>
        <v>https://extremismterms.adl.org/glossary/northwest-american-republic</v>
      </c>
      <c r="F786" s="1" t="str" cm="1">
        <f t="array" ref="F786">_xlfn.LET(_xlpm.rowNum,MATCH(E786,'glossaryterms-export'!C:C,0),
IF(AND(NOT(ISBLANK(INDEX('glossaryterms-export'!H:H,_xlpm.rowNum))),ISBLANK(INDEX('glossaryterms-export'!I:I,_xlpm.rowNum))),"Ready to Fix",""))</f>
        <v>Ready to Fix</v>
      </c>
      <c r="G786">
        <v>42</v>
      </c>
      <c r="H786">
        <v>38</v>
      </c>
      <c r="I786">
        <v>1.1052631578947301</v>
      </c>
      <c r="J786">
        <v>14.421052631578901</v>
      </c>
      <c r="K786">
        <v>107</v>
      </c>
    </row>
    <row r="787" spans="1:11" ht="77.25">
      <c r="A787">
        <v>786</v>
      </c>
      <c r="B787" s="16"/>
      <c r="C787" t="s">
        <v>845</v>
      </c>
      <c r="D787" s="1"/>
      <c r="E787" s="1" t="str">
        <f>_xlfn.REGEXREPLACE(C787, "(.*)\/$", "https://extremismterms.adl.org\1")</f>
        <v>https://extremismterms.adl.org/glossary/palestinian-islamic-jihad</v>
      </c>
      <c r="F787" s="1" t="str" cm="1">
        <f t="array" ref="F787">_xlfn.LET(_xlpm.rowNum,MATCH(E787,'glossaryterms-export'!C:C,0),
IF(AND(NOT(ISBLANK(INDEX('glossaryterms-export'!H:H,_xlpm.rowNum))),ISBLANK(INDEX('glossaryterms-export'!I:I,_xlpm.rowNum))),"Ready to Fix",""))</f>
        <v>Ready to Fix</v>
      </c>
      <c r="G787">
        <v>42</v>
      </c>
      <c r="H787">
        <v>39</v>
      </c>
      <c r="I787">
        <v>1.07692307692307</v>
      </c>
      <c r="J787">
        <v>23.076923076922998</v>
      </c>
      <c r="K787">
        <v>159</v>
      </c>
    </row>
    <row r="788" spans="1:11" ht="61.5">
      <c r="A788">
        <v>787</v>
      </c>
      <c r="B788" s="16"/>
      <c r="C788" t="s">
        <v>846</v>
      </c>
      <c r="D788" s="1"/>
      <c r="E788" s="1" t="str">
        <f>_xlfn.REGEXREPLACE(C788, "(.*)\/$", "https://extremismterms.adl.org\1")</f>
        <v>https://extremismterms.adl.org/glossary/scamdemic</v>
      </c>
      <c r="F788" s="1" t="str" cm="1">
        <f t="array" ref="F788">_xlfn.LET(_xlpm.rowNum,MATCH(E788,'glossaryterms-export'!C:C,0),
IF(AND(NOT(ISBLANK(INDEX('glossaryterms-export'!H:H,_xlpm.rowNum))),ISBLANK(INDEX('glossaryterms-export'!I:I,_xlpm.rowNum))),"Ready to Fix",""))</f>
        <v/>
      </c>
      <c r="G788">
        <v>42</v>
      </c>
      <c r="H788">
        <v>37</v>
      </c>
      <c r="I788">
        <v>1.13513513513513</v>
      </c>
      <c r="J788">
        <v>26.864864864864799</v>
      </c>
      <c r="K788">
        <v>131</v>
      </c>
    </row>
    <row r="789" spans="1:11" ht="77.25">
      <c r="A789">
        <v>788</v>
      </c>
      <c r="B789" s="16"/>
      <c r="C789" t="s">
        <v>847</v>
      </c>
      <c r="D789" s="1"/>
      <c r="E789" s="1" t="str">
        <f>_xlfn.REGEXREPLACE(C789, "(.*)\/$", "https://extremismterms.adl.org\1")</f>
        <v>https://extremismterms.adl.org/glossary/solid-wood-soldiers</v>
      </c>
      <c r="F789" s="1" t="str" cm="1">
        <f t="array" ref="F789">_xlfn.LET(_xlpm.rowNum,MATCH(E789,'glossaryterms-export'!C:C,0),
IF(AND(NOT(ISBLANK(INDEX('glossaryterms-export'!H:H,_xlpm.rowNum))),ISBLANK(INDEX('glossaryterms-export'!I:I,_xlpm.rowNum))),"Ready to Fix",""))</f>
        <v>Ready to Fix</v>
      </c>
      <c r="G789">
        <v>42</v>
      </c>
      <c r="H789">
        <v>36</v>
      </c>
      <c r="I789">
        <v>1.1666666666666601</v>
      </c>
      <c r="J789">
        <v>20.5555555555555</v>
      </c>
      <c r="K789">
        <v>134</v>
      </c>
    </row>
    <row r="790" spans="1:11" ht="61.5">
      <c r="A790">
        <v>789</v>
      </c>
      <c r="B790" s="16"/>
      <c r="C790" t="s">
        <v>848</v>
      </c>
      <c r="D790" s="1"/>
      <c r="E790" s="1" t="str">
        <f>_xlfn.REGEXREPLACE(C790, "(.*)\/$", "https://extremismterms.adl.org\1")</f>
        <v>https://extremismterms.adl.org/glossary/greg-johnson</v>
      </c>
      <c r="F790" s="1" t="str" cm="1">
        <f t="array" ref="F790">_xlfn.LET(_xlpm.rowNum,MATCH(E790,'glossaryterms-export'!C:C,0),
IF(AND(NOT(ISBLANK(INDEX('glossaryterms-export'!H:H,_xlpm.rowNum))),ISBLANK(INDEX('glossaryterms-export'!I:I,_xlpm.rowNum))),"Ready to Fix",""))</f>
        <v/>
      </c>
      <c r="G790">
        <v>41</v>
      </c>
      <c r="H790">
        <v>35</v>
      </c>
      <c r="I790">
        <v>1.1714285714285699</v>
      </c>
      <c r="J790">
        <v>9.8000000000000007</v>
      </c>
      <c r="K790">
        <v>113</v>
      </c>
    </row>
    <row r="791" spans="1:11" ht="92.25">
      <c r="A791">
        <v>790</v>
      </c>
      <c r="B791" s="16"/>
      <c r="C791" t="s">
        <v>849</v>
      </c>
      <c r="D791" s="1"/>
      <c r="E791" s="1" t="str">
        <f>_xlfn.REGEXREPLACE(C791, "(.*)\/$", "https://extremismterms.adl.org\1")</f>
        <v>https://extremismterms.adl.org/glossary/honorable-sacred-knights-ku-klux-klan-hsk</v>
      </c>
      <c r="F791" s="1" t="str" cm="1">
        <f t="array" ref="F791">_xlfn.LET(_xlpm.rowNum,MATCH(E791,'glossaryterms-export'!C:C,0),
IF(AND(NOT(ISBLANK(INDEX('glossaryterms-export'!H:H,_xlpm.rowNum))),ISBLANK(INDEX('glossaryterms-export'!I:I,_xlpm.rowNum))),"Ready to Fix",""))</f>
        <v>Ready to Fix</v>
      </c>
      <c r="G791">
        <v>41</v>
      </c>
      <c r="H791">
        <v>36</v>
      </c>
      <c r="I791">
        <v>1.13888888888888</v>
      </c>
      <c r="J791">
        <v>15.8333333333333</v>
      </c>
      <c r="K791">
        <v>120</v>
      </c>
    </row>
    <row r="792" spans="1:11" ht="61.5">
      <c r="A792">
        <v>791</v>
      </c>
      <c r="B792" s="16"/>
      <c r="C792" t="s">
        <v>850</v>
      </c>
      <c r="D792" s="1"/>
      <c r="E792" s="1" t="str">
        <f>_xlfn.REGEXREPLACE(C792, "(.*)\/$", "https://extremismterms.adl.org\1")</f>
        <v>https://extremismterms.adl.org/glossary/milo-yiannopoulos</v>
      </c>
      <c r="F792" s="1" t="str" cm="1">
        <f t="array" ref="F792">_xlfn.LET(_xlpm.rowNum,MATCH(E792,'glossaryterms-export'!C:C,0),
IF(AND(NOT(ISBLANK(INDEX('glossaryterms-export'!H:H,_xlpm.rowNum))),ISBLANK(INDEX('glossaryterms-export'!I:I,_xlpm.rowNum))),"Ready to Fix",""))</f>
        <v>Ready to Fix</v>
      </c>
      <c r="G792">
        <v>41</v>
      </c>
      <c r="H792">
        <v>37</v>
      </c>
      <c r="I792">
        <v>1.1081081081080999</v>
      </c>
      <c r="J792">
        <v>18.675675675675599</v>
      </c>
      <c r="K792">
        <v>99</v>
      </c>
    </row>
    <row r="793" spans="1:11" ht="61.5">
      <c r="A793">
        <v>792</v>
      </c>
      <c r="B793" s="16"/>
      <c r="C793" t="s">
        <v>851</v>
      </c>
      <c r="D793" s="1"/>
      <c r="E793" s="1" t="str">
        <f>_xlfn.REGEXREPLACE(C793, "(.*)\/$", "https://extremismterms.adl.org\1")</f>
        <v>https://extremismterms.adl.org/glossary/optics-debate</v>
      </c>
      <c r="F793" s="1" t="str" cm="1">
        <f t="array" ref="F793">_xlfn.LET(_xlpm.rowNum,MATCH(E793,'glossaryterms-export'!C:C,0),
IF(AND(NOT(ISBLANK(INDEX('glossaryterms-export'!H:H,_xlpm.rowNum))),ISBLANK(INDEX('glossaryterms-export'!I:I,_xlpm.rowNum))),"Ready to Fix",""))</f>
        <v/>
      </c>
      <c r="G793">
        <v>41</v>
      </c>
      <c r="H793">
        <v>40</v>
      </c>
      <c r="I793">
        <v>1.0249999999999999</v>
      </c>
      <c r="J793">
        <v>17.975000000000001</v>
      </c>
      <c r="K793">
        <v>96</v>
      </c>
    </row>
    <row r="794" spans="1:11" ht="77.25">
      <c r="A794">
        <v>793</v>
      </c>
      <c r="B794" s="16"/>
      <c r="C794" t="s">
        <v>852</v>
      </c>
      <c r="D794" s="1"/>
      <c r="E794" s="1" t="str">
        <f>_xlfn.REGEXREPLACE(C794, "(.*)\/$", "https://extremismterms.adl.org\1")</f>
        <v>https://extremismterms.adl.org/glossary/sean-michael-gillespie</v>
      </c>
      <c r="F794" s="1" t="str" cm="1">
        <f t="array" ref="F794">_xlfn.LET(_xlpm.rowNum,MATCH(E794,'glossaryterms-export'!C:C,0),
IF(AND(NOT(ISBLANK(INDEX('glossaryterms-export'!H:H,_xlpm.rowNum))),ISBLANK(INDEX('glossaryterms-export'!I:I,_xlpm.rowNum))),"Ready to Fix",""))</f>
        <v/>
      </c>
      <c r="G794">
        <v>41</v>
      </c>
      <c r="H794">
        <v>35</v>
      </c>
      <c r="I794">
        <v>1.1714285714285699</v>
      </c>
      <c r="J794">
        <v>14.857142857142801</v>
      </c>
      <c r="K794">
        <v>138</v>
      </c>
    </row>
    <row r="795" spans="1:11" ht="61.5">
      <c r="A795">
        <v>794</v>
      </c>
      <c r="B795" s="16"/>
      <c r="C795" t="s">
        <v>853</v>
      </c>
      <c r="D795" s="1"/>
      <c r="E795" s="1" t="str">
        <f>_xlfn.REGEXREPLACE(C795, "(.*)\/$", "https://extremismterms.adl.org\1")</f>
        <v>https://extremismterms.adl.org/glossary/holohoax</v>
      </c>
      <c r="F795" s="1" t="str" cm="1">
        <f t="array" ref="F795">_xlfn.LET(_xlpm.rowNum,MATCH(E795,'glossaryterms-export'!C:C,0),
IF(AND(NOT(ISBLANK(INDEX('glossaryterms-export'!H:H,_xlpm.rowNum))),ISBLANK(INDEX('glossaryterms-export'!I:I,_xlpm.rowNum))),"Ready to Fix",""))</f>
        <v>Ready to Fix</v>
      </c>
      <c r="G795">
        <v>40</v>
      </c>
      <c r="H795">
        <v>37</v>
      </c>
      <c r="I795">
        <v>1.08108108108108</v>
      </c>
      <c r="J795">
        <v>10.2162162162162</v>
      </c>
      <c r="K795">
        <v>118</v>
      </c>
    </row>
    <row r="796" spans="1:11" ht="77.25">
      <c r="A796">
        <v>795</v>
      </c>
      <c r="B796" s="16"/>
      <c r="C796" t="s">
        <v>854</v>
      </c>
      <c r="D796" s="1"/>
      <c r="E796" s="1" t="str">
        <f>_xlfn.REGEXREPLACE(C796, "(.*)\/$", "https://extremismterms.adl.org\1")</f>
        <v>https://extremismterms.adl.org/glossary/identitarian-lambda-symbol</v>
      </c>
      <c r="F796" s="1" t="str" cm="1">
        <f t="array" ref="F796">_xlfn.LET(_xlpm.rowNum,MATCH(E796,'glossaryterms-export'!C:C,0),
IF(AND(NOT(ISBLANK(INDEX('glossaryterms-export'!H:H,_xlpm.rowNum))),ISBLANK(INDEX('glossaryterms-export'!I:I,_xlpm.rowNum))),"Ready to Fix",""))</f>
        <v>Ready to Fix</v>
      </c>
      <c r="G796">
        <v>40</v>
      </c>
      <c r="H796">
        <v>38</v>
      </c>
      <c r="I796">
        <v>1.0526315789473599</v>
      </c>
      <c r="J796">
        <v>12.552631578947301</v>
      </c>
      <c r="K796">
        <v>111</v>
      </c>
    </row>
    <row r="797" spans="1:11" ht="61.5">
      <c r="A797">
        <v>796</v>
      </c>
      <c r="B797" s="16"/>
      <c r="C797" t="s">
        <v>855</v>
      </c>
      <c r="D797" s="1"/>
      <c r="E797" s="1" t="str">
        <f>_xlfn.REGEXREPLACE(C797, "(.*)\/$", "https://extremismterms.adl.org\1")</f>
        <v>https://extremismterms.adl.org/glossary/jacob-robida</v>
      </c>
      <c r="F797" s="1" t="str" cm="1">
        <f t="array" ref="F797">_xlfn.LET(_xlpm.rowNum,MATCH(E797,'glossaryterms-export'!C:C,0),
IF(AND(NOT(ISBLANK(INDEX('glossaryterms-export'!H:H,_xlpm.rowNum))),ISBLANK(INDEX('glossaryterms-export'!I:I,_xlpm.rowNum))),"Ready to Fix",""))</f>
        <v/>
      </c>
      <c r="G797">
        <v>40</v>
      </c>
      <c r="H797">
        <v>39</v>
      </c>
      <c r="I797">
        <v>1.02564102564102</v>
      </c>
      <c r="J797">
        <v>18.410256410256402</v>
      </c>
      <c r="K797">
        <v>101</v>
      </c>
    </row>
    <row r="798" spans="1:11" ht="77.25">
      <c r="A798">
        <v>797</v>
      </c>
      <c r="B798" s="16"/>
      <c r="C798" t="s">
        <v>856</v>
      </c>
      <c r="D798" s="1"/>
      <c r="E798" s="1" t="str">
        <f>_xlfn.REGEXREPLACE(C798, "(.*)\/$", "https://extremismterms.adl.org\1")</f>
        <v>https://extremismterms.adl.org/glossary/khattab-media-foundation</v>
      </c>
      <c r="F798" s="1" t="str" cm="1">
        <f t="array" ref="F798">_xlfn.LET(_xlpm.rowNum,MATCH(E798,'glossaryterms-export'!C:C,0),
IF(AND(NOT(ISBLANK(INDEX('glossaryterms-export'!H:H,_xlpm.rowNum))),ISBLANK(INDEX('glossaryterms-export'!I:I,_xlpm.rowNum))),"Ready to Fix",""))</f>
        <v/>
      </c>
      <c r="G798">
        <v>40</v>
      </c>
      <c r="H798">
        <v>38</v>
      </c>
      <c r="I798">
        <v>1.0526315789473599</v>
      </c>
      <c r="J798">
        <v>14.5</v>
      </c>
      <c r="K798">
        <v>145</v>
      </c>
    </row>
    <row r="799" spans="1:11" ht="61.5">
      <c r="A799">
        <v>798</v>
      </c>
      <c r="B799" s="16"/>
      <c r="C799" t="s">
        <v>857</v>
      </c>
      <c r="D799" s="1"/>
      <c r="E799" s="1" t="str">
        <f>_xlfn.REGEXREPLACE(C799, "(.*)\/$", "https://extremismterms.adl.org\1")</f>
        <v>https://extremismterms.adl.org/glossary/paul-gottfried</v>
      </c>
      <c r="F799" s="1" t="str" cm="1">
        <f t="array" ref="F799">_xlfn.LET(_xlpm.rowNum,MATCH(E799,'glossaryterms-export'!C:C,0),
IF(AND(NOT(ISBLANK(INDEX('glossaryterms-export'!H:H,_xlpm.rowNum))),ISBLANK(INDEX('glossaryterms-export'!I:I,_xlpm.rowNum))),"Ready to Fix",""))</f>
        <v>Ready to Fix</v>
      </c>
      <c r="G799">
        <v>40</v>
      </c>
      <c r="H799">
        <v>35</v>
      </c>
      <c r="I799">
        <v>1.1428571428571399</v>
      </c>
      <c r="J799">
        <v>12.4571428571428</v>
      </c>
      <c r="K799">
        <v>116</v>
      </c>
    </row>
    <row r="800" spans="1:11" ht="77.25">
      <c r="A800">
        <v>799</v>
      </c>
      <c r="B800" s="16"/>
      <c r="C800" t="s">
        <v>858</v>
      </c>
      <c r="D800" s="1"/>
      <c r="E800" s="1" t="str">
        <f>_xlfn.REGEXREPLACE(C800, "(.*)\/$", "https://extremismterms.adl.org\1")</f>
        <v>https://extremismterms.adl.org/glossary/peckerwood-hand-sign</v>
      </c>
      <c r="F800" s="1" t="str" cm="1">
        <f t="array" ref="F800">_xlfn.LET(_xlpm.rowNum,MATCH(E800,'glossaryterms-export'!C:C,0),
IF(AND(NOT(ISBLANK(INDEX('glossaryterms-export'!H:H,_xlpm.rowNum))),ISBLANK(INDEX('glossaryterms-export'!I:I,_xlpm.rowNum))),"Ready to Fix",""))</f>
        <v>Ready to Fix</v>
      </c>
      <c r="G800">
        <v>40</v>
      </c>
      <c r="H800">
        <v>35</v>
      </c>
      <c r="I800">
        <v>1.1428571428571399</v>
      </c>
      <c r="J800">
        <v>28.628571428571401</v>
      </c>
      <c r="K800">
        <v>100</v>
      </c>
    </row>
    <row r="801" spans="1:11" ht="61.5">
      <c r="A801">
        <v>800</v>
      </c>
      <c r="B801" s="16"/>
      <c r="C801" t="s">
        <v>859</v>
      </c>
      <c r="D801" s="1"/>
      <c r="E801" s="1" t="str">
        <f>_xlfn.REGEXREPLACE(C801, "(.*)\/$", "https://extremismterms.adl.org\1")</f>
        <v>https://extremismterms.adl.org/glossary/sami-al-arian</v>
      </c>
      <c r="F801" s="1" t="str" cm="1">
        <f t="array" ref="F801">_xlfn.LET(_xlpm.rowNum,MATCH(E801,'glossaryterms-export'!C:C,0),
IF(AND(NOT(ISBLANK(INDEX('glossaryterms-export'!H:H,_xlpm.rowNum))),ISBLANK(INDEX('glossaryterms-export'!I:I,_xlpm.rowNum))),"Ready to Fix",""))</f>
        <v/>
      </c>
      <c r="G801">
        <v>40</v>
      </c>
      <c r="H801">
        <v>40</v>
      </c>
      <c r="I801">
        <v>1</v>
      </c>
      <c r="J801">
        <v>23.375</v>
      </c>
      <c r="K801">
        <v>141</v>
      </c>
    </row>
    <row r="802" spans="1:11" ht="61.5">
      <c r="A802">
        <v>801</v>
      </c>
      <c r="B802" s="16"/>
      <c r="C802" t="s">
        <v>860</v>
      </c>
      <c r="D802" s="1"/>
      <c r="E802" s="1" t="str">
        <f>_xlfn.REGEXREPLACE(C802, "(.*)\/$", "https://extremismterms.adl.org\1")</f>
        <v>https://extremismterms.adl.org/glossary/beatles</v>
      </c>
      <c r="F802" s="1" t="str" cm="1">
        <f t="array" ref="F802">_xlfn.LET(_xlpm.rowNum,MATCH(E802,'glossaryterms-export'!C:C,0),
IF(AND(NOT(ISBLANK(INDEX('glossaryterms-export'!H:H,_xlpm.rowNum))),ISBLANK(INDEX('glossaryterms-export'!I:I,_xlpm.rowNum))),"Ready to Fix",""))</f>
        <v/>
      </c>
      <c r="G802">
        <v>39</v>
      </c>
      <c r="H802">
        <v>38</v>
      </c>
      <c r="I802">
        <v>1.0263157894736801</v>
      </c>
      <c r="J802">
        <v>38.184210526315702</v>
      </c>
      <c r="K802">
        <v>89</v>
      </c>
    </row>
    <row r="803" spans="1:11" ht="77.25">
      <c r="A803">
        <v>802</v>
      </c>
      <c r="B803" s="16"/>
      <c r="C803" t="s">
        <v>861</v>
      </c>
      <c r="D803" s="1"/>
      <c r="E803" s="1" t="str">
        <f>_xlfn.REGEXREPLACE(C803, "(.*)\/$", "https://extremismterms.adl.org\1")</f>
        <v>https://extremismterms.adl.org/glossary/holy-land-foundation</v>
      </c>
      <c r="F803" s="1" t="str" cm="1">
        <f t="array" ref="F803">_xlfn.LET(_xlpm.rowNum,MATCH(E803,'glossaryterms-export'!C:C,0),
IF(AND(NOT(ISBLANK(INDEX('glossaryterms-export'!H:H,_xlpm.rowNum))),ISBLANK(INDEX('glossaryterms-export'!I:I,_xlpm.rowNum))),"Ready to Fix",""))</f>
        <v/>
      </c>
      <c r="G803">
        <v>39</v>
      </c>
      <c r="H803">
        <v>36</v>
      </c>
      <c r="I803">
        <v>1.0833333333333299</v>
      </c>
      <c r="J803">
        <v>9.3888888890000004</v>
      </c>
      <c r="K803">
        <v>95</v>
      </c>
    </row>
    <row r="804" spans="1:11" ht="61.5">
      <c r="A804">
        <v>803</v>
      </c>
      <c r="B804" s="16"/>
      <c r="C804" t="s">
        <v>862</v>
      </c>
      <c r="D804" s="1"/>
      <c r="E804" s="1" t="str">
        <f>_xlfn.REGEXREPLACE(C804, "(.*)\/$", "https://extremismterms.adl.org\1")</f>
        <v>https://extremismterms.adl.org/glossary/malinformation</v>
      </c>
      <c r="F804" s="1" t="str" cm="1">
        <f t="array" ref="F804">_xlfn.LET(_xlpm.rowNum,MATCH(E804,'glossaryterms-export'!C:C,0),
IF(AND(NOT(ISBLANK(INDEX('glossaryterms-export'!H:H,_xlpm.rowNum))),ISBLANK(INDEX('glossaryterms-export'!I:I,_xlpm.rowNum))),"Ready to Fix",""))</f>
        <v/>
      </c>
      <c r="G804">
        <v>39</v>
      </c>
      <c r="H804">
        <v>37</v>
      </c>
      <c r="I804">
        <v>1.0540540540540499</v>
      </c>
      <c r="J804">
        <v>12.567567567567499</v>
      </c>
      <c r="K804">
        <v>122</v>
      </c>
    </row>
    <row r="805" spans="1:11" ht="77.25">
      <c r="A805">
        <v>804</v>
      </c>
      <c r="B805" s="16"/>
      <c r="C805" t="s">
        <v>863</v>
      </c>
      <c r="D805" s="1"/>
      <c r="E805" s="1" t="str">
        <f>_xlfn.REGEXREPLACE(C805, "(.*)\/$", "https://extremismterms.adl.org\1")</f>
        <v>https://extremismterms.adl.org/glossary/pulse-nightclub-shooting</v>
      </c>
      <c r="F805" s="1" t="str" cm="1">
        <f t="array" ref="F805">_xlfn.LET(_xlpm.rowNum,MATCH(E805,'glossaryterms-export'!C:C,0),
IF(AND(NOT(ISBLANK(INDEX('glossaryterms-export'!H:H,_xlpm.rowNum))),ISBLANK(INDEX('glossaryterms-export'!I:I,_xlpm.rowNum))),"Ready to Fix",""))</f>
        <v>Ready to Fix</v>
      </c>
      <c r="G805">
        <v>39</v>
      </c>
      <c r="H805">
        <v>34</v>
      </c>
      <c r="I805">
        <v>1.1470588235294099</v>
      </c>
      <c r="J805">
        <v>20.794117647058801</v>
      </c>
      <c r="K805">
        <v>92</v>
      </c>
    </row>
    <row r="806" spans="1:11" ht="61.5">
      <c r="A806">
        <v>805</v>
      </c>
      <c r="B806" s="16"/>
      <c r="C806" t="s">
        <v>864</v>
      </c>
      <c r="D806" s="1"/>
      <c r="E806" s="1" t="str">
        <f>_xlfn.REGEXREPLACE(C806, "(.*)\/$", "https://extremismterms.adl.org\1")</f>
        <v>https://extremismterms.adl.org/glossary/aryan-circle</v>
      </c>
      <c r="F806" s="1" t="str" cm="1">
        <f t="array" ref="F806">_xlfn.LET(_xlpm.rowNum,MATCH(E806,'glossaryterms-export'!C:C,0),
IF(AND(NOT(ISBLANK(INDEX('glossaryterms-export'!H:H,_xlpm.rowNum))),ISBLANK(INDEX('glossaryterms-export'!I:I,_xlpm.rowNum))),"Ready to Fix",""))</f>
        <v>Ready to Fix</v>
      </c>
      <c r="G806">
        <v>38</v>
      </c>
      <c r="H806">
        <v>33</v>
      </c>
      <c r="I806">
        <v>1.15151515151515</v>
      </c>
      <c r="J806">
        <v>24.393939393939299</v>
      </c>
      <c r="K806">
        <v>97</v>
      </c>
    </row>
    <row r="807" spans="1:11" ht="61.5">
      <c r="A807">
        <v>806</v>
      </c>
      <c r="B807" s="16"/>
      <c r="C807" t="s">
        <v>865</v>
      </c>
      <c r="D807" s="1"/>
      <c r="E807" s="1" t="str">
        <f>_xlfn.REGEXREPLACE(C807, "(.*)\/$", "https://extremismterms.adl.org\1")</f>
        <v>https://extremismterms.adl.org/glossary/hate-crime</v>
      </c>
      <c r="F807" s="1" t="str" cm="1">
        <f t="array" ref="F807">_xlfn.LET(_xlpm.rowNum,MATCH(E807,'glossaryterms-export'!C:C,0),
IF(AND(NOT(ISBLANK(INDEX('glossaryterms-export'!H:H,_xlpm.rowNum))),ISBLANK(INDEX('glossaryterms-export'!I:I,_xlpm.rowNum))),"Ready to Fix",""))</f>
        <v/>
      </c>
      <c r="G807">
        <v>38</v>
      </c>
      <c r="H807">
        <v>35</v>
      </c>
      <c r="I807">
        <v>1.0857142857142801</v>
      </c>
      <c r="J807">
        <v>15.4285714285714</v>
      </c>
      <c r="K807">
        <v>103</v>
      </c>
    </row>
    <row r="808" spans="1:11" ht="61.5">
      <c r="A808">
        <v>807</v>
      </c>
      <c r="B808" s="16"/>
      <c r="C808" t="s">
        <v>866</v>
      </c>
      <c r="D808" s="1"/>
      <c r="E808" s="1" t="str">
        <f>_xlfn.REGEXREPLACE(C808, "(.*)\/$", "https://extremismterms.adl.org\1")</f>
        <v>https://extremismterms.adl.org/glossary/lavoy-finicum</v>
      </c>
      <c r="F808" s="1" t="str" cm="1">
        <f t="array" ref="F808">_xlfn.LET(_xlpm.rowNum,MATCH(E808,'glossaryterms-export'!C:C,0),
IF(AND(NOT(ISBLANK(INDEX('glossaryterms-export'!H:H,_xlpm.rowNum))),ISBLANK(INDEX('glossaryterms-export'!I:I,_xlpm.rowNum))),"Ready to Fix",""))</f>
        <v>Ready to Fix</v>
      </c>
      <c r="G808">
        <v>38</v>
      </c>
      <c r="H808">
        <v>37</v>
      </c>
      <c r="I808">
        <v>1.0270270270270201</v>
      </c>
      <c r="J808">
        <v>17.594594594594501</v>
      </c>
      <c r="K808">
        <v>90</v>
      </c>
    </row>
    <row r="809" spans="1:11" ht="77.25">
      <c r="A809">
        <v>808</v>
      </c>
      <c r="B809" s="16"/>
      <c r="C809" t="s">
        <v>867</v>
      </c>
      <c r="D809" s="1"/>
      <c r="E809" s="1" t="str">
        <f>_xlfn.REGEXREPLACE(C809, "(.*)\/$", "https://extremismterms.adl.org\1")</f>
        <v>https://extremismterms.adl.org/glossary/legion-saint-ambrose-losa</v>
      </c>
      <c r="F809" s="1" t="str" cm="1">
        <f t="array" ref="F809">_xlfn.LET(_xlpm.rowNum,MATCH(E809,'glossaryterms-export'!C:C,0),
IF(AND(NOT(ISBLANK(INDEX('glossaryterms-export'!H:H,_xlpm.rowNum))),ISBLANK(INDEX('glossaryterms-export'!I:I,_xlpm.rowNum))),"Ready to Fix",""))</f>
        <v>Ready to Fix</v>
      </c>
      <c r="G809">
        <v>38</v>
      </c>
      <c r="H809">
        <v>37</v>
      </c>
      <c r="I809">
        <v>1.0270270270270201</v>
      </c>
      <c r="J809">
        <v>11</v>
      </c>
      <c r="K809">
        <v>102</v>
      </c>
    </row>
    <row r="810" spans="1:11" ht="77.25">
      <c r="A810">
        <v>809</v>
      </c>
      <c r="B810" s="16"/>
      <c r="C810" t="s">
        <v>868</v>
      </c>
      <c r="D810" s="1"/>
      <c r="E810" s="1" t="str">
        <f>_xlfn.REGEXREPLACE(C810, "(.*)\/$", "https://extremismterms.adl.org\1")</f>
        <v>https://extremismterms.adl.org/glossary/might-right-survival-fittest</v>
      </c>
      <c r="F810" s="1" t="str" cm="1">
        <f t="array" ref="F810">_xlfn.LET(_xlpm.rowNum,MATCH(E810,'glossaryterms-export'!C:C,0),
IF(AND(NOT(ISBLANK(INDEX('glossaryterms-export'!H:H,_xlpm.rowNum))),ISBLANK(INDEX('glossaryterms-export'!I:I,_xlpm.rowNum))),"Ready to Fix",""))</f>
        <v/>
      </c>
      <c r="G810">
        <v>38</v>
      </c>
      <c r="H810">
        <v>36</v>
      </c>
      <c r="I810">
        <v>1.05555555555555</v>
      </c>
      <c r="J810">
        <v>16.4444444444444</v>
      </c>
      <c r="K810">
        <v>137</v>
      </c>
    </row>
    <row r="811" spans="1:11" ht="77.25">
      <c r="A811">
        <v>810</v>
      </c>
      <c r="B811" s="16"/>
      <c r="C811" t="s">
        <v>869</v>
      </c>
      <c r="D811" s="1"/>
      <c r="E811" s="1" t="str">
        <f>_xlfn.REGEXREPLACE(C811, "(.*)\/$", "https://extremismterms.adl.org\1")</f>
        <v>https://extremismterms.adl.org/glossary/sicarii-black-hebrew-israelites</v>
      </c>
      <c r="F811" s="1" t="str" cm="1">
        <f t="array" ref="F811">_xlfn.LET(_xlpm.rowNum,MATCH(E811,'glossaryterms-export'!C:C,0),
IF(AND(NOT(ISBLANK(INDEX('glossaryterms-export'!H:H,_xlpm.rowNum))),ISBLANK(INDEX('glossaryterms-export'!I:I,_xlpm.rowNum))),"Ready to Fix",""))</f>
        <v/>
      </c>
      <c r="G811">
        <v>38</v>
      </c>
      <c r="H811">
        <v>32</v>
      </c>
      <c r="I811">
        <v>1.1875</v>
      </c>
      <c r="J811">
        <v>14.9375</v>
      </c>
      <c r="K811">
        <v>114</v>
      </c>
    </row>
    <row r="812" spans="1:11" ht="77.25">
      <c r="A812">
        <v>811</v>
      </c>
      <c r="B812" s="16"/>
      <c r="C812" t="s">
        <v>870</v>
      </c>
      <c r="D812" s="1"/>
      <c r="E812" s="1" t="str">
        <f>_xlfn.REGEXREPLACE(C812, "(.*)\/$", "https://extremismterms.adl.org\1")</f>
        <v>https://extremismterms.adl.org/glossary/triangular-klan-symbol</v>
      </c>
      <c r="F812" s="1" t="str" cm="1">
        <f t="array" ref="F812">_xlfn.LET(_xlpm.rowNum,MATCH(E812,'glossaryterms-export'!C:C,0),
IF(AND(NOT(ISBLANK(INDEX('glossaryterms-export'!H:H,_xlpm.rowNum))),ISBLANK(INDEX('glossaryterms-export'!I:I,_xlpm.rowNum))),"Ready to Fix",""))</f>
        <v>Ready to Fix</v>
      </c>
      <c r="G812">
        <v>38</v>
      </c>
      <c r="H812">
        <v>35</v>
      </c>
      <c r="I812">
        <v>1.0857142857142801</v>
      </c>
      <c r="J812">
        <v>15.6285714285714</v>
      </c>
      <c r="K812">
        <v>105</v>
      </c>
    </row>
    <row r="813" spans="1:11" ht="77.25">
      <c r="A813">
        <v>812</v>
      </c>
      <c r="B813" s="16"/>
      <c r="C813" t="s">
        <v>871</v>
      </c>
      <c r="D813" s="1"/>
      <c r="E813" s="1" t="str">
        <f>_xlfn.REGEXREPLACE(C813, "(.*)\/$", "https://extremismterms.adl.org\1")</f>
        <v>https://extremismterms.adl.org/glossary/colleyville-synagogue-attack</v>
      </c>
      <c r="F813" s="1" t="str" cm="1">
        <f t="array" ref="F813">_xlfn.LET(_xlpm.rowNum,MATCH(E813,'glossaryterms-export'!C:C,0),
IF(AND(NOT(ISBLANK(INDEX('glossaryterms-export'!H:H,_xlpm.rowNum))),ISBLANK(INDEX('glossaryterms-export'!I:I,_xlpm.rowNum))),"Ready to Fix",""))</f>
        <v>Ready to Fix</v>
      </c>
      <c r="G813">
        <v>37</v>
      </c>
      <c r="H813">
        <v>35</v>
      </c>
      <c r="I813">
        <v>1.0571428571428501</v>
      </c>
      <c r="J813">
        <v>19.0857142857142</v>
      </c>
      <c r="K813">
        <v>91</v>
      </c>
    </row>
    <row r="814" spans="1:11" ht="61.5">
      <c r="A814">
        <v>813</v>
      </c>
      <c r="B814" s="16"/>
      <c r="C814" t="s">
        <v>872</v>
      </c>
      <c r="D814" s="1"/>
      <c r="E814" s="1" t="str">
        <f>_xlfn.REGEXREPLACE(C814, "(.*)\/$", "https://extremismterms.adl.org\1")</f>
        <v>https://extremismterms.adl.org/glossary/mein-kampf</v>
      </c>
      <c r="F814" s="1" t="str" cm="1">
        <f t="array" ref="F814">_xlfn.LET(_xlpm.rowNum,MATCH(E814,'glossaryterms-export'!C:C,0),
IF(AND(NOT(ISBLANK(INDEX('glossaryterms-export'!H:H,_xlpm.rowNum))),ISBLANK(INDEX('glossaryterms-export'!I:I,_xlpm.rowNum))),"Ready to Fix",""))</f>
        <v>Ready to Fix</v>
      </c>
      <c r="G814">
        <v>37</v>
      </c>
      <c r="H814">
        <v>29</v>
      </c>
      <c r="I814">
        <v>1.27586206896551</v>
      </c>
      <c r="J814">
        <v>10.2758620689655</v>
      </c>
      <c r="K814">
        <v>95</v>
      </c>
    </row>
    <row r="815" spans="1:11" ht="61.5">
      <c r="A815">
        <v>814</v>
      </c>
      <c r="B815" s="16"/>
      <c r="C815" t="s">
        <v>873</v>
      </c>
      <c r="D815" s="1"/>
      <c r="E815" s="1" t="str">
        <f>_xlfn.REGEXREPLACE(C815, "(.*)\/$", "https://extremismterms.adl.org\1")</f>
        <v>https://extremismterms.adl.org/glossary/militia-movement</v>
      </c>
      <c r="F815" s="1" t="str" cm="1">
        <f t="array" ref="F815">_xlfn.LET(_xlpm.rowNum,MATCH(E815,'glossaryterms-export'!C:C,0),
IF(AND(NOT(ISBLANK(INDEX('glossaryterms-export'!H:H,_xlpm.rowNum))),ISBLANK(INDEX('glossaryterms-export'!I:I,_xlpm.rowNum))),"Ready to Fix",""))</f>
        <v>Ready to Fix</v>
      </c>
      <c r="G815">
        <v>37</v>
      </c>
      <c r="H815">
        <v>32</v>
      </c>
      <c r="I815">
        <v>1.15625</v>
      </c>
      <c r="J815">
        <v>28.125</v>
      </c>
      <c r="K815">
        <v>132</v>
      </c>
    </row>
    <row r="816" spans="1:11" ht="61.5">
      <c r="A816">
        <v>815</v>
      </c>
      <c r="B816" s="16"/>
      <c r="C816" t="s">
        <v>874</v>
      </c>
      <c r="D816" s="1"/>
      <c r="E816" s="1" t="str">
        <f>_xlfn.REGEXREPLACE(C816, "(.*)\/$", "https://extremismterms.adl.org\1")</f>
        <v>https://extremismterms.adl.org/glossary/misinformation</v>
      </c>
      <c r="F816" s="1" t="str" cm="1">
        <f t="array" ref="F816">_xlfn.LET(_xlpm.rowNum,MATCH(E816,'glossaryterms-export'!C:C,0),
IF(AND(NOT(ISBLANK(INDEX('glossaryterms-export'!H:H,_xlpm.rowNum))),ISBLANK(INDEX('glossaryterms-export'!I:I,_xlpm.rowNum))),"Ready to Fix",""))</f>
        <v/>
      </c>
      <c r="G816">
        <v>37</v>
      </c>
      <c r="H816">
        <v>34</v>
      </c>
      <c r="I816">
        <v>1.0882352941176401</v>
      </c>
      <c r="J816">
        <v>14.117647058823501</v>
      </c>
      <c r="K816">
        <v>86</v>
      </c>
    </row>
    <row r="817" spans="1:11" ht="61.5">
      <c r="A817">
        <v>816</v>
      </c>
      <c r="B817" s="16"/>
      <c r="C817" t="s">
        <v>875</v>
      </c>
      <c r="D817" s="1"/>
      <c r="E817" s="1" t="str">
        <f>_xlfn.REGEXREPLACE(C817, "(.*)\/$", "https://extremismterms.adl.org\1")</f>
        <v>https://extremismterms.adl.org/glossary/not-equal-symbol</v>
      </c>
      <c r="F817" s="1" t="str" cm="1">
        <f t="array" ref="F817">_xlfn.LET(_xlpm.rowNum,MATCH(E817,'glossaryterms-export'!C:C,0),
IF(AND(NOT(ISBLANK(INDEX('glossaryterms-export'!H:H,_xlpm.rowNum))),ISBLANK(INDEX('glossaryterms-export'!I:I,_xlpm.rowNum))),"Ready to Fix",""))</f>
        <v>Ready to Fix</v>
      </c>
      <c r="G817">
        <v>37</v>
      </c>
      <c r="H817">
        <v>34</v>
      </c>
      <c r="I817">
        <v>1.0882352941176401</v>
      </c>
      <c r="J817">
        <v>10.323529411764699</v>
      </c>
      <c r="K817">
        <v>92</v>
      </c>
    </row>
    <row r="818" spans="1:11" ht="61.5">
      <c r="A818">
        <v>817</v>
      </c>
      <c r="B818" s="16"/>
      <c r="C818" t="s">
        <v>876</v>
      </c>
      <c r="D818" s="1"/>
      <c r="E818" s="1" t="str">
        <f>_xlfn.REGEXREPLACE(C818, "(.*)\/$", "https://extremismterms.adl.org\1")</f>
        <v>https://extremismterms.adl.org/glossary/tom-metzger</v>
      </c>
      <c r="F818" s="1" t="str" cm="1">
        <f t="array" ref="F818">_xlfn.LET(_xlpm.rowNum,MATCH(E818,'glossaryterms-export'!C:C,0),
IF(AND(NOT(ISBLANK(INDEX('glossaryterms-export'!H:H,_xlpm.rowNum))),ISBLANK(INDEX('glossaryterms-export'!I:I,_xlpm.rowNum))),"Ready to Fix",""))</f>
        <v>Ready to Fix</v>
      </c>
      <c r="G818">
        <v>37</v>
      </c>
      <c r="H818">
        <v>31</v>
      </c>
      <c r="I818">
        <v>1.19354838709677</v>
      </c>
      <c r="J818">
        <v>15.2903225806451</v>
      </c>
      <c r="K818">
        <v>96</v>
      </c>
    </row>
    <row r="819" spans="1:11" ht="92.25">
      <c r="A819">
        <v>818</v>
      </c>
      <c r="B819" s="16"/>
      <c r="C819" t="s">
        <v>877</v>
      </c>
      <c r="D819" s="1"/>
      <c r="E819" s="1" t="str">
        <f>_xlfn.REGEXREPLACE(C819, "(.*)\/$", "https://extremismterms.adl.org\1")</f>
        <v>https://extremismterms.adl.org/glossary/abu-sayyaf-groupisis-philippines</v>
      </c>
      <c r="F819" s="1" t="str" cm="1">
        <f t="array" ref="F819">_xlfn.LET(_xlpm.rowNum,MATCH(E819,'glossaryterms-export'!C:C,0),
IF(AND(NOT(ISBLANK(INDEX('glossaryterms-export'!H:H,_xlpm.rowNum))),ISBLANK(INDEX('glossaryterms-export'!I:I,_xlpm.rowNum))),"Ready to Fix",""))</f>
        <v/>
      </c>
      <c r="G819">
        <v>36</v>
      </c>
      <c r="H819">
        <v>36</v>
      </c>
      <c r="I819">
        <v>1</v>
      </c>
      <c r="J819">
        <v>10.6388888888888</v>
      </c>
      <c r="K819">
        <v>71</v>
      </c>
    </row>
    <row r="820" spans="1:11" ht="61.5">
      <c r="A820">
        <v>819</v>
      </c>
      <c r="B820" s="16"/>
      <c r="C820" t="s">
        <v>878</v>
      </c>
      <c r="D820" s="1"/>
      <c r="E820" s="1" t="str">
        <f>_xlfn.REGEXREPLACE(C820, "(.*)\/$", "https://extremismterms.adl.org\1")</f>
        <v>https://extremismterms.adl.org/glossary/al-walaa-wal-baraa</v>
      </c>
      <c r="F820" s="1" t="str" cm="1">
        <f t="array" ref="F820">_xlfn.LET(_xlpm.rowNum,MATCH(E820,'glossaryterms-export'!C:C,0),
IF(AND(NOT(ISBLANK(INDEX('glossaryterms-export'!H:H,_xlpm.rowNum))),ISBLANK(INDEX('glossaryterms-export'!I:I,_xlpm.rowNum))),"Ready to Fix",""))</f>
        <v/>
      </c>
      <c r="G820">
        <v>36</v>
      </c>
      <c r="H820">
        <v>35</v>
      </c>
      <c r="I820">
        <v>1.02857142857142</v>
      </c>
      <c r="J820">
        <v>24.485714285714199</v>
      </c>
      <c r="K820">
        <v>86</v>
      </c>
    </row>
    <row r="821" spans="1:11" ht="61.5">
      <c r="A821">
        <v>820</v>
      </c>
      <c r="B821" s="16"/>
      <c r="C821" t="s">
        <v>879</v>
      </c>
      <c r="D821" s="1"/>
      <c r="E821" s="1" t="str">
        <f>_xlfn.REGEXREPLACE(C821, "(.*)\/$", "https://extremismterms.adl.org\1")</f>
        <v>https://extremismterms.adl.org/glossary/identity-evropa</v>
      </c>
      <c r="F821" s="1" t="str" cm="1">
        <f t="array" ref="F821">_xlfn.LET(_xlpm.rowNum,MATCH(E821,'glossaryterms-export'!C:C,0),
IF(AND(NOT(ISBLANK(INDEX('glossaryterms-export'!H:H,_xlpm.rowNum))),ISBLANK(INDEX('glossaryterms-export'!I:I,_xlpm.rowNum))),"Ready to Fix",""))</f>
        <v>Ready to Fix</v>
      </c>
      <c r="G821">
        <v>36</v>
      </c>
      <c r="H821">
        <v>35</v>
      </c>
      <c r="I821">
        <v>1.02857142857142</v>
      </c>
      <c r="J821">
        <v>10</v>
      </c>
      <c r="K821">
        <v>89</v>
      </c>
    </row>
    <row r="822" spans="1:11" ht="61.5">
      <c r="A822">
        <v>821</v>
      </c>
      <c r="B822" s="16"/>
      <c r="C822" t="s">
        <v>880</v>
      </c>
      <c r="D822" s="1"/>
      <c r="E822" s="1" t="str">
        <f>_xlfn.REGEXREPLACE(C822, "(.*)\/$", "https://extremismterms.adl.org\1")</f>
        <v>https://extremismterms.adl.org/glossary/kevin-macdonald</v>
      </c>
      <c r="F822" s="1" t="str" cm="1">
        <f t="array" ref="F822">_xlfn.LET(_xlpm.rowNum,MATCH(E822,'glossaryterms-export'!C:C,0),
IF(AND(NOT(ISBLANK(INDEX('glossaryterms-export'!H:H,_xlpm.rowNum))),ISBLANK(INDEX('glossaryterms-export'!I:I,_xlpm.rowNum))),"Ready to Fix",""))</f>
        <v>Ready to Fix</v>
      </c>
      <c r="G822">
        <v>36</v>
      </c>
      <c r="H822">
        <v>31</v>
      </c>
      <c r="I822">
        <v>1.1612903225806399</v>
      </c>
      <c r="J822">
        <v>21.2903225806451</v>
      </c>
      <c r="K822">
        <v>88</v>
      </c>
    </row>
    <row r="823" spans="1:11" ht="61.5">
      <c r="A823">
        <v>822</v>
      </c>
      <c r="B823" s="16"/>
      <c r="C823" t="s">
        <v>881</v>
      </c>
      <c r="D823" s="1"/>
      <c r="E823" s="1" t="str">
        <f>_xlfn.REGEXREPLACE(C823, "(.*)\/$", "https://extremismterms.adl.org\1")</f>
        <v>https://extremismterms.adl.org/glossary/nazi-eagle</v>
      </c>
      <c r="F823" s="1" t="str" cm="1">
        <f t="array" ref="F823">_xlfn.LET(_xlpm.rowNum,MATCH(E823,'glossaryterms-export'!C:C,0),
IF(AND(NOT(ISBLANK(INDEX('glossaryterms-export'!H:H,_xlpm.rowNum))),ISBLANK(INDEX('glossaryterms-export'!I:I,_xlpm.rowNum))),"Ready to Fix",""))</f>
        <v>Ready to Fix</v>
      </c>
      <c r="G823">
        <v>36</v>
      </c>
      <c r="H823">
        <v>34</v>
      </c>
      <c r="I823">
        <v>1.0588235294117601</v>
      </c>
      <c r="J823">
        <v>11.647058823529401</v>
      </c>
      <c r="K823">
        <v>95</v>
      </c>
    </row>
    <row r="824" spans="1:11" ht="61.5">
      <c r="A824">
        <v>823</v>
      </c>
      <c r="B824" s="14" t="s">
        <v>495</v>
      </c>
      <c r="C824" t="s">
        <v>882</v>
      </c>
      <c r="D824" s="1" t="s">
        <v>20</v>
      </c>
      <c r="E824" s="1" t="str">
        <f>_xlfn.REGEXREPLACE(C824, "(.*)\/$", "https://extremismterms.adl.org\1")</f>
        <v>https://extremismterms.adl.org/glossary/tim-gionet</v>
      </c>
      <c r="F824" s="1" t="str" cm="1">
        <f t="array" ref="F824">_xlfn.LET(_xlpm.rowNum,MATCH(E824,'glossaryterms-export'!C:C,0),
IF(AND(NOT(ISBLANK(INDEX('glossaryterms-export'!H:H,_xlpm.rowNum))),ISBLANK(INDEX('glossaryterms-export'!I:I,_xlpm.rowNum))),"Ready to Fix",""))</f>
        <v>Ready to Fix</v>
      </c>
      <c r="G824">
        <v>36</v>
      </c>
      <c r="H824">
        <v>32</v>
      </c>
      <c r="I824">
        <v>1.125</v>
      </c>
      <c r="J824">
        <v>8.59375</v>
      </c>
      <c r="K824">
        <v>110</v>
      </c>
    </row>
    <row r="825" spans="1:11" ht="77.25">
      <c r="A825">
        <v>824</v>
      </c>
      <c r="B825" s="16"/>
      <c r="C825" t="s">
        <v>883</v>
      </c>
      <c r="D825" s="1"/>
      <c r="E825" s="1" t="str">
        <f>_xlfn.REGEXREPLACE(C825, "(.*)\/$", "https://extremismterms.adl.org\1")</f>
        <v>https://extremismterms.adl.org/glossary/time-and-what-must-be-done</v>
      </c>
      <c r="F825" s="1" t="str" cm="1">
        <f t="array" ref="F825">_xlfn.LET(_xlpm.rowNum,MATCH(E825,'glossaryterms-export'!C:C,0),
IF(AND(NOT(ISBLANK(INDEX('glossaryterms-export'!H:H,_xlpm.rowNum))),ISBLANK(INDEX('glossaryterms-export'!I:I,_xlpm.rowNum))),"Ready to Fix",""))</f>
        <v>Ready to Fix</v>
      </c>
      <c r="G825">
        <v>36</v>
      </c>
      <c r="H825">
        <v>34</v>
      </c>
      <c r="I825">
        <v>1.0588235294117601</v>
      </c>
      <c r="J825">
        <v>9.7647058823529402</v>
      </c>
      <c r="K825">
        <v>83</v>
      </c>
    </row>
    <row r="826" spans="1:11" ht="77.25">
      <c r="A826">
        <v>825</v>
      </c>
      <c r="B826" s="16"/>
      <c r="C826" t="s">
        <v>884</v>
      </c>
      <c r="D826" s="1"/>
      <c r="E826" s="1" t="str">
        <f>_xlfn.REGEXREPLACE(C826, "(.*)\/$", "https://extremismterms.adl.org\1")</f>
        <v>https://extremismterms.adl.org/glossary/aryan-nationalist-alliance</v>
      </c>
      <c r="F826" s="1" t="str" cm="1">
        <f t="array" ref="F826">_xlfn.LET(_xlpm.rowNum,MATCH(E826,'glossaryterms-export'!C:C,0),
IF(AND(NOT(ISBLANK(INDEX('glossaryterms-export'!H:H,_xlpm.rowNum))),ISBLANK(INDEX('glossaryterms-export'!I:I,_xlpm.rowNum))),"Ready to Fix",""))</f>
        <v>Ready to Fix</v>
      </c>
      <c r="G826">
        <v>35</v>
      </c>
      <c r="H826">
        <v>28</v>
      </c>
      <c r="I826">
        <v>1.25</v>
      </c>
      <c r="J826">
        <v>15.107142857142801</v>
      </c>
      <c r="K826">
        <v>76</v>
      </c>
    </row>
    <row r="827" spans="1:11" ht="61.5">
      <c r="A827">
        <v>826</v>
      </c>
      <c r="B827" s="16"/>
      <c r="C827" t="s">
        <v>885</v>
      </c>
      <c r="D827" s="1"/>
      <c r="E827" s="1" t="str">
        <f>_xlfn.REGEXREPLACE(C827, "(.*)\/$", "https://extremismterms.adl.org\1")</f>
        <v>https://extremismterms.adl.org/glossary/blut-und-ehre</v>
      </c>
      <c r="F827" s="1" t="str" cm="1">
        <f t="array" ref="F827">_xlfn.LET(_xlpm.rowNum,MATCH(E827,'glossaryterms-export'!C:C,0),
IF(AND(NOT(ISBLANK(INDEX('glossaryterms-export'!H:H,_xlpm.rowNum))),ISBLANK(INDEX('glossaryterms-export'!I:I,_xlpm.rowNum))),"Ready to Fix",""))</f>
        <v>Ready to Fix</v>
      </c>
      <c r="G827">
        <v>35</v>
      </c>
      <c r="H827">
        <v>33</v>
      </c>
      <c r="I827">
        <v>1.0606060606060601</v>
      </c>
      <c r="J827">
        <v>14.060606060606</v>
      </c>
      <c r="K827">
        <v>88</v>
      </c>
    </row>
    <row r="828" spans="1:11" ht="77.25">
      <c r="A828">
        <v>827</v>
      </c>
      <c r="B828" s="16"/>
      <c r="C828" t="s">
        <v>886</v>
      </c>
      <c r="D828" s="1"/>
      <c r="E828" s="1" t="str">
        <f>_xlfn.REGEXREPLACE(C828, "(.*)\/$", "https://extremismterms.adl.org\1")</f>
        <v>https://extremismterms.adl.org/glossary/branch-davidian-standoff</v>
      </c>
      <c r="F828" s="1" t="str" cm="1">
        <f t="array" ref="F828">_xlfn.LET(_xlpm.rowNum,MATCH(E828,'glossaryterms-export'!C:C,0),
IF(AND(NOT(ISBLANK(INDEX('glossaryterms-export'!H:H,_xlpm.rowNum))),ISBLANK(INDEX('glossaryterms-export'!I:I,_xlpm.rowNum))),"Ready to Fix",""))</f>
        <v>Ready to Fix</v>
      </c>
      <c r="G828">
        <v>35</v>
      </c>
      <c r="H828">
        <v>31</v>
      </c>
      <c r="I828">
        <v>1.12903225806451</v>
      </c>
      <c r="J828">
        <v>27</v>
      </c>
      <c r="K828">
        <v>116</v>
      </c>
    </row>
    <row r="829" spans="1:11" ht="61.5">
      <c r="A829">
        <v>828</v>
      </c>
      <c r="B829" s="14" t="s">
        <v>22</v>
      </c>
      <c r="C829" t="s">
        <v>887</v>
      </c>
      <c r="D829" s="1" t="s">
        <v>20</v>
      </c>
      <c r="E829" s="1" t="str">
        <f>_xlfn.REGEXREPLACE(C829, "(.*)\/$", "https://extremismterms.adl.org\1")</f>
        <v>https://extremismterms.adl.org/glossary/marc-lepine</v>
      </c>
      <c r="F829" s="1" t="str" cm="1">
        <f t="array" ref="F829">_xlfn.LET(_xlpm.rowNum,MATCH(E829,'glossaryterms-export'!C:C,0),
IF(AND(NOT(ISBLANK(INDEX('glossaryterms-export'!H:H,_xlpm.rowNum))),ISBLANK(INDEX('glossaryterms-export'!I:I,_xlpm.rowNum))),"Ready to Fix",""))</f>
        <v/>
      </c>
      <c r="G829">
        <v>35</v>
      </c>
      <c r="H829">
        <v>34</v>
      </c>
      <c r="I829">
        <v>1.02941176470588</v>
      </c>
      <c r="J829">
        <v>9.6764705882352899</v>
      </c>
      <c r="K829">
        <v>107</v>
      </c>
    </row>
    <row r="830" spans="1:11" ht="61.5">
      <c r="A830">
        <v>829</v>
      </c>
      <c r="B830" s="16"/>
      <c r="C830" t="s">
        <v>888</v>
      </c>
      <c r="D830" s="1"/>
      <c r="E830" s="1" t="str">
        <f>_xlfn.REGEXREPLACE(C830, "(.*)\/$", "https://extremismterms.adl.org\1")</f>
        <v>https://extremismterms.adl.org/glossary/peni</v>
      </c>
      <c r="F830" s="1" t="str" cm="1">
        <f t="array" ref="F830">_xlfn.LET(_xlpm.rowNum,MATCH(E830,'glossaryterms-export'!C:C,0),
IF(AND(NOT(ISBLANK(INDEX('glossaryterms-export'!H:H,_xlpm.rowNum))),ISBLANK(INDEX('glossaryterms-export'!I:I,_xlpm.rowNum))),"Ready to Fix",""))</f>
        <v>Ready to Fix</v>
      </c>
      <c r="G830">
        <v>35</v>
      </c>
      <c r="H830">
        <v>31</v>
      </c>
      <c r="I830">
        <v>1.12903225806451</v>
      </c>
      <c r="J830">
        <v>24.096774193548299</v>
      </c>
      <c r="K830">
        <v>99</v>
      </c>
    </row>
    <row r="831" spans="1:11" ht="77.25">
      <c r="A831">
        <v>830</v>
      </c>
      <c r="B831" s="16"/>
      <c r="C831" t="s">
        <v>889</v>
      </c>
      <c r="D831" s="1"/>
      <c r="E831" s="1" t="str">
        <f>_xlfn.REGEXREPLACE(C831, "(.*)\/$", "https://extremismterms.adl.org\1")</f>
        <v>https://extremismterms.adl.org/glossary/revolt-through-tradition</v>
      </c>
      <c r="F831" s="1" t="str" cm="1">
        <f t="array" ref="F831">_xlfn.LET(_xlpm.rowNum,MATCH(E831,'glossaryterms-export'!C:C,0),
IF(AND(NOT(ISBLANK(INDEX('glossaryterms-export'!H:H,_xlpm.rowNum))),ISBLANK(INDEX('glossaryterms-export'!I:I,_xlpm.rowNum))),"Ready to Fix",""))</f>
        <v/>
      </c>
      <c r="G831">
        <v>35</v>
      </c>
      <c r="H831">
        <v>30</v>
      </c>
      <c r="I831">
        <v>1.1666666666666601</v>
      </c>
      <c r="J831">
        <v>15.566666666666601</v>
      </c>
      <c r="K831">
        <v>119</v>
      </c>
    </row>
    <row r="832" spans="1:11" ht="77.25">
      <c r="A832">
        <v>831</v>
      </c>
      <c r="B832" s="16"/>
      <c r="C832" t="s">
        <v>890</v>
      </c>
      <c r="D832" s="1"/>
      <c r="E832" s="1" t="str">
        <f>_xlfn.REGEXREPLACE(C832, "(.*)\/$", "https://extremismterms.adl.org\1")</f>
        <v>https://extremismterms.adl.org/glossary/clashing-swords-parts-i-and-ii</v>
      </c>
      <c r="F832" s="1" t="str" cm="1">
        <f t="array" ref="F832">_xlfn.LET(_xlpm.rowNum,MATCH(E832,'glossaryterms-export'!C:C,0),
IF(AND(NOT(ISBLANK(INDEX('glossaryterms-export'!H:H,_xlpm.rowNum))),ISBLANK(INDEX('glossaryterms-export'!I:I,_xlpm.rowNum))),"Ready to Fix",""))</f>
        <v/>
      </c>
      <c r="G832">
        <v>34</v>
      </c>
      <c r="H832">
        <v>31</v>
      </c>
      <c r="I832">
        <v>1.0967741935483799</v>
      </c>
      <c r="J832">
        <v>8.1290322580645107</v>
      </c>
      <c r="K832">
        <v>109</v>
      </c>
    </row>
    <row r="833" spans="1:11" ht="61.5">
      <c r="A833">
        <v>832</v>
      </c>
      <c r="B833" s="16"/>
      <c r="C833" t="s">
        <v>891</v>
      </c>
      <c r="D833" s="1"/>
      <c r="E833" s="1" t="str">
        <f>_xlfn.REGEXREPLACE(C833, "(.*)\/$", "https://extremismterms.adl.org\1")</f>
        <v>https://extremismterms.adl.org/glossary/european-kindred</v>
      </c>
      <c r="F833" s="1" t="str" cm="1">
        <f t="array" ref="F833">_xlfn.LET(_xlpm.rowNum,MATCH(E833,'glossaryterms-export'!C:C,0),
IF(AND(NOT(ISBLANK(INDEX('glossaryterms-export'!H:H,_xlpm.rowNum))),ISBLANK(INDEX('glossaryterms-export'!I:I,_xlpm.rowNum))),"Ready to Fix",""))</f>
        <v>Ready to Fix</v>
      </c>
      <c r="G833">
        <v>34</v>
      </c>
      <c r="H833">
        <v>33</v>
      </c>
      <c r="I833">
        <v>1.0303030303030301</v>
      </c>
      <c r="J833">
        <v>12.757575757575699</v>
      </c>
      <c r="K833">
        <v>88</v>
      </c>
    </row>
    <row r="834" spans="1:11" ht="61.5">
      <c r="A834">
        <v>833</v>
      </c>
      <c r="B834" s="16"/>
      <c r="C834" t="s">
        <v>892</v>
      </c>
      <c r="D834" s="1"/>
      <c r="E834" s="1" t="str">
        <f>_xlfn.REGEXREPLACE(C834, "(.*)\/$", "https://extremismterms.adl.org\1")</f>
        <v>https://extremismterms.adl.org/glossary/ghostezra</v>
      </c>
      <c r="F834" s="1" t="str" cm="1">
        <f t="array" ref="F834">_xlfn.LET(_xlpm.rowNum,MATCH(E834,'glossaryterms-export'!C:C,0),
IF(AND(NOT(ISBLANK(INDEX('glossaryterms-export'!H:H,_xlpm.rowNum))),ISBLANK(INDEX('glossaryterms-export'!I:I,_xlpm.rowNum))),"Ready to Fix",""))</f>
        <v/>
      </c>
      <c r="G834">
        <v>34</v>
      </c>
      <c r="H834">
        <v>34</v>
      </c>
      <c r="I834">
        <v>1</v>
      </c>
      <c r="J834">
        <v>4.2647058823529402</v>
      </c>
      <c r="K834">
        <v>79</v>
      </c>
    </row>
    <row r="835" spans="1:11" ht="77.25">
      <c r="A835">
        <v>834</v>
      </c>
      <c r="B835" s="16"/>
      <c r="C835" t="s">
        <v>893</v>
      </c>
      <c r="D835" s="1"/>
      <c r="E835" s="1" t="str">
        <f>_xlfn.REGEXREPLACE(C835, "(.*)\/$", "https://extremismterms.adl.org\1")</f>
        <v>https://extremismterms.adl.org/glossary/hammerskin-hand-sign</v>
      </c>
      <c r="F835" s="1" t="str" cm="1">
        <f t="array" ref="F835">_xlfn.LET(_xlpm.rowNum,MATCH(E835,'glossaryterms-export'!C:C,0),
IF(AND(NOT(ISBLANK(INDEX('glossaryterms-export'!H:H,_xlpm.rowNum))),ISBLANK(INDEX('glossaryterms-export'!I:I,_xlpm.rowNum))),"Ready to Fix",""))</f>
        <v>Ready to Fix</v>
      </c>
      <c r="G835">
        <v>34</v>
      </c>
      <c r="H835">
        <v>32</v>
      </c>
      <c r="I835">
        <v>1.0625</v>
      </c>
      <c r="J835">
        <v>18.1875</v>
      </c>
      <c r="K835">
        <v>92</v>
      </c>
    </row>
    <row r="836" spans="1:11" ht="61.5">
      <c r="A836">
        <v>835</v>
      </c>
      <c r="B836" s="14" t="s">
        <v>15</v>
      </c>
      <c r="C836" t="s">
        <v>894</v>
      </c>
      <c r="D836" s="1" t="s">
        <v>20</v>
      </c>
      <c r="E836" s="1" t="str">
        <f>_xlfn.REGEXREPLACE(C836, "(.*)\/$", "https://extremismterms.adl.org\1")</f>
        <v>https://extremismterms.adl.org/glossary/pedogate</v>
      </c>
      <c r="F836" s="1" t="str" cm="1">
        <f t="array" ref="F836">_xlfn.LET(_xlpm.rowNum,MATCH(E836,'glossaryterms-export'!C:C,0),
IF(AND(NOT(ISBLANK(INDEX('glossaryterms-export'!H:H,_xlpm.rowNum))),ISBLANK(INDEX('glossaryterms-export'!I:I,_xlpm.rowNum))),"Ready to Fix",""))</f>
        <v/>
      </c>
      <c r="G836">
        <v>34</v>
      </c>
      <c r="H836">
        <v>32</v>
      </c>
      <c r="I836">
        <v>1.0625</v>
      </c>
      <c r="J836">
        <v>6.28125</v>
      </c>
      <c r="K836">
        <v>98</v>
      </c>
    </row>
    <row r="837" spans="1:11" ht="77.25">
      <c r="A837">
        <v>836</v>
      </c>
      <c r="B837" s="16"/>
      <c r="C837" t="s">
        <v>895</v>
      </c>
      <c r="D837" s="1"/>
      <c r="E837" s="1" t="str">
        <f>_xlfn.REGEXREPLACE(C837, "(.*)\/$", "https://extremismterms.adl.org\1")</f>
        <v>https://extremismterms.adl.org/glossary/thomas-stockheimer</v>
      </c>
      <c r="F837" s="1" t="str" cm="1">
        <f t="array" ref="F837">_xlfn.LET(_xlpm.rowNum,MATCH(E837,'glossaryterms-export'!C:C,0),
IF(AND(NOT(ISBLANK(INDEX('glossaryterms-export'!H:H,_xlpm.rowNum))),ISBLANK(INDEX('glossaryterms-export'!I:I,_xlpm.rowNum))),"Ready to Fix",""))</f>
        <v>Ready to Fix</v>
      </c>
      <c r="G837">
        <v>34</v>
      </c>
      <c r="H837">
        <v>30</v>
      </c>
      <c r="I837">
        <v>1.13333333333333</v>
      </c>
      <c r="J837">
        <v>26.3333333333333</v>
      </c>
      <c r="K837">
        <v>128</v>
      </c>
    </row>
    <row r="838" spans="1:11" ht="61.5">
      <c r="A838">
        <v>837</v>
      </c>
      <c r="B838" s="16"/>
      <c r="C838" t="s">
        <v>896</v>
      </c>
      <c r="D838" s="1"/>
      <c r="E838" s="1" t="str">
        <f>_xlfn.REGEXREPLACE(C838, "(.*)\/$", "https://extremismterms.adl.org\1")</f>
        <v>https://extremismterms.adl.org/glossary/2316</v>
      </c>
      <c r="F838" s="1" t="str" cm="1">
        <f t="array" ref="F838">_xlfn.LET(_xlpm.rowNum,MATCH(E838,'glossaryterms-export'!C:C,0),
IF(AND(NOT(ISBLANK(INDEX('glossaryterms-export'!H:H,_xlpm.rowNum))),ISBLANK(INDEX('glossaryterms-export'!I:I,_xlpm.rowNum))),"Ready to Fix",""))</f>
        <v>Ready to Fix</v>
      </c>
      <c r="G838">
        <v>33</v>
      </c>
      <c r="H838">
        <v>31</v>
      </c>
      <c r="I838">
        <v>1.06451612903225</v>
      </c>
      <c r="J838">
        <v>14.935483870967699</v>
      </c>
      <c r="K838">
        <v>72</v>
      </c>
    </row>
    <row r="839" spans="1:11" ht="61.5">
      <c r="A839">
        <v>838</v>
      </c>
      <c r="B839" s="16"/>
      <c r="C839" t="s">
        <v>897</v>
      </c>
      <c r="D839" s="1"/>
      <c r="E839" s="1" t="str">
        <f>_xlfn.REGEXREPLACE(C839, "(.*)\/$", "https://extremismterms.adl.org\1")</f>
        <v>https://extremismterms.adl.org/glossary/free-boys</v>
      </c>
      <c r="F839" s="1" t="str" cm="1">
        <f t="array" ref="F839">_xlfn.LET(_xlpm.rowNum,MATCH(E839,'glossaryterms-export'!C:C,0),
IF(AND(NOT(ISBLANK(INDEX('glossaryterms-export'!H:H,_xlpm.rowNum))),ISBLANK(INDEX('glossaryterms-export'!I:I,_xlpm.rowNum))),"Ready to Fix",""))</f>
        <v/>
      </c>
      <c r="G839">
        <v>33</v>
      </c>
      <c r="H839">
        <v>33</v>
      </c>
      <c r="I839">
        <v>1</v>
      </c>
      <c r="J839">
        <v>6.3030303030303001</v>
      </c>
      <c r="K839">
        <v>66</v>
      </c>
    </row>
    <row r="840" spans="1:11" ht="77.25">
      <c r="A840">
        <v>839</v>
      </c>
      <c r="B840" s="16"/>
      <c r="C840" t="s">
        <v>898</v>
      </c>
      <c r="D840" s="1"/>
      <c r="E840" s="1" t="str">
        <f>_xlfn.REGEXREPLACE(C840, "(.*)\/$", "https://extremismterms.adl.org\1")</f>
        <v>https://extremismterms.adl.org/glossary/global-islamic-media-front</v>
      </c>
      <c r="F840" s="1" t="str" cm="1">
        <f t="array" ref="F840">_xlfn.LET(_xlpm.rowNum,MATCH(E840,'glossaryterms-export'!C:C,0),
IF(AND(NOT(ISBLANK(INDEX('glossaryterms-export'!H:H,_xlpm.rowNum))),ISBLANK(INDEX('glossaryterms-export'!I:I,_xlpm.rowNum))),"Ready to Fix",""))</f>
        <v>Ready to Fix</v>
      </c>
      <c r="G840">
        <v>33</v>
      </c>
      <c r="H840">
        <v>31</v>
      </c>
      <c r="I840">
        <v>1.06451612903225</v>
      </c>
      <c r="J840">
        <v>35.612903225806399</v>
      </c>
      <c r="K840">
        <v>120</v>
      </c>
    </row>
    <row r="841" spans="1:11" ht="61.5">
      <c r="A841">
        <v>840</v>
      </c>
      <c r="B841" s="16"/>
      <c r="C841" t="s">
        <v>899</v>
      </c>
      <c r="D841" s="1"/>
      <c r="E841" s="1" t="str">
        <f>_xlfn.REGEXREPLACE(C841, "(.*)\/$", "https://extremismterms.adl.org\1")</f>
        <v>https://extremismterms.adl.org/glossary/keith-luke</v>
      </c>
      <c r="F841" s="1" t="str" cm="1">
        <f t="array" ref="F841">_xlfn.LET(_xlpm.rowNum,MATCH(E841,'glossaryterms-export'!C:C,0),
IF(AND(NOT(ISBLANK(INDEX('glossaryterms-export'!H:H,_xlpm.rowNum))),ISBLANK(INDEX('glossaryterms-export'!I:I,_xlpm.rowNum))),"Ready to Fix",""))</f>
        <v>Ready to Fix</v>
      </c>
      <c r="G841">
        <v>33</v>
      </c>
      <c r="H841">
        <v>32</v>
      </c>
      <c r="I841">
        <v>1.03125</v>
      </c>
      <c r="J841">
        <v>16.25</v>
      </c>
      <c r="K841">
        <v>79</v>
      </c>
    </row>
    <row r="842" spans="1:11" ht="61.5">
      <c r="A842">
        <v>841</v>
      </c>
      <c r="B842" s="16"/>
      <c r="C842" t="s">
        <v>900</v>
      </c>
      <c r="D842" s="1"/>
      <c r="E842" s="1" t="str">
        <f>_xlfn.REGEXREPLACE(C842, "(.*)\/$", "https://extremismterms.adl.org\1")</f>
        <v>https://extremismterms.adl.org/glossary/skrewdriver</v>
      </c>
      <c r="F842" s="1" t="str" cm="1">
        <f t="array" ref="F842">_xlfn.LET(_xlpm.rowNum,MATCH(E842,'glossaryterms-export'!C:C,0),
IF(AND(NOT(ISBLANK(INDEX('glossaryterms-export'!H:H,_xlpm.rowNum))),ISBLANK(INDEX('glossaryterms-export'!I:I,_xlpm.rowNum))),"Ready to Fix",""))</f>
        <v>Ready to Fix</v>
      </c>
      <c r="G842">
        <v>33</v>
      </c>
      <c r="H842">
        <v>32</v>
      </c>
      <c r="I842">
        <v>1.03125</v>
      </c>
      <c r="J842">
        <v>12.3125</v>
      </c>
      <c r="K842">
        <v>88</v>
      </c>
    </row>
    <row r="843" spans="1:11" ht="61.5">
      <c r="A843">
        <v>842</v>
      </c>
      <c r="B843" s="16"/>
      <c r="C843" t="s">
        <v>901</v>
      </c>
      <c r="D843" s="1"/>
      <c r="E843" s="1" t="str">
        <f>_xlfn.REGEXREPLACE(C843, "(.*)\/$", "https://extremismterms.adl.org\1")</f>
        <v>https://extremismterms.adl.org/glossary/wolves-manhattan</v>
      </c>
      <c r="F843" s="1" t="str" cm="1">
        <f t="array" ref="F843">_xlfn.LET(_xlpm.rowNum,MATCH(E843,'glossaryterms-export'!C:C,0),
IF(AND(NOT(ISBLANK(INDEX('glossaryterms-export'!H:H,_xlpm.rowNum))),ISBLANK(INDEX('glossaryterms-export'!I:I,_xlpm.rowNum))),"Ready to Fix",""))</f>
        <v/>
      </c>
      <c r="G843">
        <v>33</v>
      </c>
      <c r="H843">
        <v>29</v>
      </c>
      <c r="I843">
        <v>1.13793103448275</v>
      </c>
      <c r="J843">
        <v>38.724137931034399</v>
      </c>
      <c r="K843">
        <v>120</v>
      </c>
    </row>
    <row r="844" spans="1:11" ht="77.25">
      <c r="A844">
        <v>843</v>
      </c>
      <c r="B844" s="16"/>
      <c r="C844" t="s">
        <v>902</v>
      </c>
      <c r="D844" s="1"/>
      <c r="E844" s="1" t="str">
        <f>_xlfn.REGEXREPLACE(C844, "(.*)\/$", "https://extremismterms.adl.org\1")</f>
        <v>https://extremismterms.adl.org/glossary/international-keystone-knights</v>
      </c>
      <c r="F844" s="1" t="str" cm="1">
        <f t="array" ref="F844">_xlfn.LET(_xlpm.rowNum,MATCH(E844,'glossaryterms-export'!C:C,0),
IF(AND(NOT(ISBLANK(INDEX('glossaryterms-export'!H:H,_xlpm.rowNum))),ISBLANK(INDEX('glossaryterms-export'!I:I,_xlpm.rowNum))),"Ready to Fix",""))</f>
        <v>Ready to Fix</v>
      </c>
      <c r="G844">
        <v>32</v>
      </c>
      <c r="H844">
        <v>30</v>
      </c>
      <c r="I844">
        <v>1.06666666666666</v>
      </c>
      <c r="J844">
        <v>40.633333333333297</v>
      </c>
      <c r="K844">
        <v>112</v>
      </c>
    </row>
    <row r="845" spans="1:11" ht="61.5">
      <c r="A845">
        <v>844</v>
      </c>
      <c r="B845" s="16"/>
      <c r="C845" t="s">
        <v>903</v>
      </c>
      <c r="D845" s="1"/>
      <c r="E845" s="1" t="str">
        <f>_xlfn.REGEXREPLACE(C845, "(.*)\/$", "https://extremismterms.adl.org\1")</f>
        <v>https://extremismterms.adl.org/glossary/jew-coup</v>
      </c>
      <c r="F845" s="1" t="str" cm="1">
        <f t="array" ref="F845">_xlfn.LET(_xlpm.rowNum,MATCH(E845,'glossaryterms-export'!C:C,0),
IF(AND(NOT(ISBLANK(INDEX('glossaryterms-export'!H:H,_xlpm.rowNum))),ISBLANK(INDEX('glossaryterms-export'!I:I,_xlpm.rowNum))),"Ready to Fix",""))</f>
        <v/>
      </c>
      <c r="G845">
        <v>32</v>
      </c>
      <c r="H845">
        <v>28</v>
      </c>
      <c r="I845">
        <v>1.1428571428571399</v>
      </c>
      <c r="J845">
        <v>12.1428571428571</v>
      </c>
      <c r="K845">
        <v>84</v>
      </c>
    </row>
    <row r="846" spans="1:11" ht="92.25">
      <c r="A846">
        <v>845</v>
      </c>
      <c r="B846" s="16"/>
      <c r="C846" t="s">
        <v>904</v>
      </c>
      <c r="D846" s="1"/>
      <c r="E846" s="1" t="str">
        <f>_xlfn.REGEXREPLACE(C846, "(.*)\/$", "https://extremismterms.adl.org\1")</f>
        <v>https://extremismterms.adl.org/glossary/loyal-white-knights-ku-klux-klan</v>
      </c>
      <c r="F846" s="1" t="str" cm="1">
        <f t="array" ref="F846">_xlfn.LET(_xlpm.rowNum,MATCH(E846,'glossaryterms-export'!C:C,0),
IF(AND(NOT(ISBLANK(INDEX('glossaryterms-export'!H:H,_xlpm.rowNum))),ISBLANK(INDEX('glossaryterms-export'!I:I,_xlpm.rowNum))),"Ready to Fix",""))</f>
        <v>Ready to Fix</v>
      </c>
      <c r="G846">
        <v>32</v>
      </c>
      <c r="H846">
        <v>29</v>
      </c>
      <c r="I846">
        <v>1.1034482758620601</v>
      </c>
      <c r="J846">
        <v>16.965517241379299</v>
      </c>
      <c r="K846">
        <v>94</v>
      </c>
    </row>
    <row r="847" spans="1:11" ht="61.5">
      <c r="A847">
        <v>846</v>
      </c>
      <c r="B847" s="16"/>
      <c r="C847" t="s">
        <v>905</v>
      </c>
      <c r="D847" s="1"/>
      <c r="E847" s="1" t="str">
        <f>_xlfn.REGEXREPLACE(C847, "(.*)\/$", "https://extremismterms.adl.org\1")</f>
        <v>https://extremismterms.adl.org/glossary/pit-bull-symbol</v>
      </c>
      <c r="F847" s="1" t="str" cm="1">
        <f t="array" ref="F847">_xlfn.LET(_xlpm.rowNum,MATCH(E847,'glossaryterms-export'!C:C,0),
IF(AND(NOT(ISBLANK(INDEX('glossaryterms-export'!H:H,_xlpm.rowNum))),ISBLANK(INDEX('glossaryterms-export'!I:I,_xlpm.rowNum))),"Ready to Fix",""))</f>
        <v>Ready to Fix</v>
      </c>
      <c r="G847">
        <v>32</v>
      </c>
      <c r="H847">
        <v>30</v>
      </c>
      <c r="I847">
        <v>1.06666666666666</v>
      </c>
      <c r="J847">
        <v>13.4</v>
      </c>
      <c r="K847">
        <v>85</v>
      </c>
    </row>
    <row r="848" spans="1:11" ht="77.25">
      <c r="A848">
        <v>847</v>
      </c>
      <c r="B848" s="16"/>
      <c r="C848" t="s">
        <v>906</v>
      </c>
      <c r="D848" s="1"/>
      <c r="E848" s="1" t="str">
        <f>_xlfn.REGEXREPLACE(C848, "(.*)\/$", "https://extremismterms.adl.org\1")</f>
        <v>https://extremismterms.adl.org/glossary/traditionalist-worker-party</v>
      </c>
      <c r="F848" s="1" t="str" cm="1">
        <f t="array" ref="F848">_xlfn.LET(_xlpm.rowNum,MATCH(E848,'glossaryterms-export'!C:C,0),
IF(AND(NOT(ISBLANK(INDEX('glossaryterms-export'!H:H,_xlpm.rowNum))),ISBLANK(INDEX('glossaryterms-export'!I:I,_xlpm.rowNum))),"Ready to Fix",""))</f>
        <v>Ready to Fix</v>
      </c>
      <c r="G848">
        <v>32</v>
      </c>
      <c r="H848">
        <v>27</v>
      </c>
      <c r="I848">
        <v>1.18518518518518</v>
      </c>
      <c r="J848">
        <v>21.370370370370299</v>
      </c>
      <c r="K848">
        <v>76</v>
      </c>
    </row>
    <row r="849" spans="1:11" ht="61.5">
      <c r="A849">
        <v>848</v>
      </c>
      <c r="B849" s="16"/>
      <c r="C849" t="s">
        <v>907</v>
      </c>
      <c r="D849" s="1"/>
      <c r="E849" s="1" t="str">
        <f>_xlfn.REGEXREPLACE(C849, "(.*)\/$", "https://extremismterms.adl.org\1")</f>
        <v>https://extremismterms.adl.org/glossary/unite-right</v>
      </c>
      <c r="F849" s="1" t="str" cm="1">
        <f t="array" ref="F849">_xlfn.LET(_xlpm.rowNum,MATCH(E849,'glossaryterms-export'!C:C,0),
IF(AND(NOT(ISBLANK(INDEX('glossaryterms-export'!H:H,_xlpm.rowNum))),ISBLANK(INDEX('glossaryterms-export'!I:I,_xlpm.rowNum))),"Ready to Fix",""))</f>
        <v/>
      </c>
      <c r="G849">
        <v>32</v>
      </c>
      <c r="H849">
        <v>26</v>
      </c>
      <c r="I849">
        <v>1.2307692307692299</v>
      </c>
      <c r="J849">
        <v>14.6538461538461</v>
      </c>
      <c r="K849">
        <v>74</v>
      </c>
    </row>
    <row r="850" spans="1:11" ht="77.25">
      <c r="A850">
        <v>849</v>
      </c>
      <c r="B850" s="16"/>
      <c r="C850" t="s">
        <v>908</v>
      </c>
      <c r="D850" s="1"/>
      <c r="E850" s="1" t="str">
        <f>_xlfn.REGEXREPLACE(C850, "(.*)\/$", "https://extremismterms.adl.org\1")</f>
        <v>https://extremismterms.adl.org/glossary/ahmad-khan-rahimi</v>
      </c>
      <c r="F850" s="1" t="str" cm="1">
        <f t="array" ref="F850">_xlfn.LET(_xlpm.rowNum,MATCH(E850,'glossaryterms-export'!C:C,0),
IF(AND(NOT(ISBLANK(INDEX('glossaryterms-export'!H:H,_xlpm.rowNum))),ISBLANK(INDEX('glossaryterms-export'!I:I,_xlpm.rowNum))),"Ready to Fix",""))</f>
        <v/>
      </c>
      <c r="G850">
        <v>31</v>
      </c>
      <c r="H850">
        <v>28</v>
      </c>
      <c r="I850">
        <v>1.1071428571428501</v>
      </c>
      <c r="J850">
        <v>22.3928571428571</v>
      </c>
      <c r="K850">
        <v>65</v>
      </c>
    </row>
    <row r="851" spans="1:11" ht="77.25">
      <c r="A851">
        <v>850</v>
      </c>
      <c r="B851" s="16"/>
      <c r="C851" t="s">
        <v>909</v>
      </c>
      <c r="D851" s="1"/>
      <c r="E851" s="1" t="str">
        <f>_xlfn.REGEXREPLACE(C851, "(.*)\/$", "https://extremismterms.adl.org\1")</f>
        <v>https://extremismterms.adl.org/glossary/american-renaissance</v>
      </c>
      <c r="F851" s="1" t="str" cm="1">
        <f t="array" ref="F851">_xlfn.LET(_xlpm.rowNum,MATCH(E851,'glossaryterms-export'!C:C,0),
IF(AND(NOT(ISBLANK(INDEX('glossaryterms-export'!H:H,_xlpm.rowNum))),ISBLANK(INDEX('glossaryterms-export'!I:I,_xlpm.rowNum))),"Ready to Fix",""))</f>
        <v/>
      </c>
      <c r="G851">
        <v>31</v>
      </c>
      <c r="H851">
        <v>26</v>
      </c>
      <c r="I851">
        <v>1.1923076923076901</v>
      </c>
      <c r="J851">
        <v>14.7307692307692</v>
      </c>
      <c r="K851">
        <v>85</v>
      </c>
    </row>
    <row r="852" spans="1:11" ht="61.5">
      <c r="A852">
        <v>851</v>
      </c>
      <c r="B852" s="16"/>
      <c r="C852" t="s">
        <v>910</v>
      </c>
      <c r="D852" s="1"/>
      <c r="E852" s="1" t="str">
        <f>_xlfn.REGEXREPLACE(C852, "(.*)\/$", "https://extremismterms.adl.org\1")</f>
        <v>https://extremismterms.adl.org/glossary/buffalo-shooting</v>
      </c>
      <c r="F852" s="1" t="str" cm="1">
        <f t="array" ref="F852">_xlfn.LET(_xlpm.rowNum,MATCH(E852,'glossaryterms-export'!C:C,0),
IF(AND(NOT(ISBLANK(INDEX('glossaryterms-export'!H:H,_xlpm.rowNum))),ISBLANK(INDEX('glossaryterms-export'!I:I,_xlpm.rowNum))),"Ready to Fix",""))</f>
        <v>Ready to Fix</v>
      </c>
      <c r="G852">
        <v>31</v>
      </c>
      <c r="H852">
        <v>29</v>
      </c>
      <c r="I852">
        <v>1.0689655172413699</v>
      </c>
      <c r="J852">
        <v>12.586206896551699</v>
      </c>
      <c r="K852">
        <v>66</v>
      </c>
    </row>
    <row r="853" spans="1:11" ht="61.5">
      <c r="A853">
        <v>852</v>
      </c>
      <c r="B853" s="16"/>
      <c r="C853" t="s">
        <v>911</v>
      </c>
      <c r="D853" s="1"/>
      <c r="E853" s="1" t="str">
        <f>_xlfn.REGEXREPLACE(C853, "(.*)\/$", "https://extremismterms.adl.org\1")</f>
        <v>https://extremismterms.adl.org/glossary/national-alliance</v>
      </c>
      <c r="F853" s="1" t="str" cm="1">
        <f t="array" ref="F853">_xlfn.LET(_xlpm.rowNum,MATCH(E853,'glossaryterms-export'!C:C,0),
IF(AND(NOT(ISBLANK(INDEX('glossaryterms-export'!H:H,_xlpm.rowNum))),ISBLANK(INDEX('glossaryterms-export'!I:I,_xlpm.rowNum))),"Ready to Fix",""))</f>
        <v>Ready to Fix</v>
      </c>
      <c r="G853">
        <v>31</v>
      </c>
      <c r="H853">
        <v>29</v>
      </c>
      <c r="I853">
        <v>1.0689655172413699</v>
      </c>
      <c r="J853">
        <v>16.344827586206801</v>
      </c>
      <c r="K853">
        <v>73</v>
      </c>
    </row>
    <row r="854" spans="1:11" ht="77.25">
      <c r="A854">
        <v>853</v>
      </c>
      <c r="B854" s="16"/>
      <c r="C854" t="s">
        <v>912</v>
      </c>
      <c r="D854" s="1"/>
      <c r="E854" s="1" t="str">
        <f>_xlfn.REGEXREPLACE(C854, "(.*)\/$", "https://extremismterms.adl.org\1")</f>
        <v>https://extremismterms.adl.org/glossary/national-socialist-legion</v>
      </c>
      <c r="F854" s="1" t="str" cm="1">
        <f t="array" ref="F854">_xlfn.LET(_xlpm.rowNum,MATCH(E854,'glossaryterms-export'!C:C,0),
IF(AND(NOT(ISBLANK(INDEX('glossaryterms-export'!H:H,_xlpm.rowNum))),ISBLANK(INDEX('glossaryterms-export'!I:I,_xlpm.rowNum))),"Ready to Fix",""))</f>
        <v>Ready to Fix</v>
      </c>
      <c r="G854">
        <v>31</v>
      </c>
      <c r="H854">
        <v>29</v>
      </c>
      <c r="I854">
        <v>1.0689655172413699</v>
      </c>
      <c r="J854">
        <v>15.6206896551724</v>
      </c>
      <c r="K854">
        <v>76</v>
      </c>
    </row>
    <row r="855" spans="1:11" ht="77.25">
      <c r="A855">
        <v>854</v>
      </c>
      <c r="B855" s="16"/>
      <c r="C855" t="s">
        <v>913</v>
      </c>
      <c r="D855" s="1"/>
      <c r="E855" s="1" t="str">
        <f>_xlfn.REGEXREPLACE(C855, "(.*)\/$", "https://extremismterms.adl.org\1")</f>
        <v>https://extremismterms.adl.org/glossary/occidental-observer</v>
      </c>
      <c r="F855" s="1" t="str" cm="1">
        <f t="array" ref="F855">_xlfn.LET(_xlpm.rowNum,MATCH(E855,'glossaryterms-export'!C:C,0),
IF(AND(NOT(ISBLANK(INDEX('glossaryterms-export'!H:H,_xlpm.rowNum))),ISBLANK(INDEX('glossaryterms-export'!I:I,_xlpm.rowNum))),"Ready to Fix",""))</f>
        <v>Ready to Fix</v>
      </c>
      <c r="G855">
        <v>31</v>
      </c>
      <c r="H855">
        <v>28</v>
      </c>
      <c r="I855">
        <v>1.1071428571428501</v>
      </c>
      <c r="J855">
        <v>15</v>
      </c>
      <c r="K855">
        <v>118</v>
      </c>
    </row>
    <row r="856" spans="1:11" ht="77.25">
      <c r="A856">
        <v>855</v>
      </c>
      <c r="B856" s="16"/>
      <c r="C856" t="s">
        <v>914</v>
      </c>
      <c r="D856" s="1"/>
      <c r="E856" s="1" t="str">
        <f>_xlfn.REGEXREPLACE(C856, "(.*)\/$", "https://extremismterms.adl.org\1")</f>
        <v>https://extremismterms.adl.org/glossary/oklahoma-city-bombing</v>
      </c>
      <c r="F856" s="1" t="str" cm="1">
        <f t="array" ref="F856">_xlfn.LET(_xlpm.rowNum,MATCH(E856,'glossaryterms-export'!C:C,0),
IF(AND(NOT(ISBLANK(INDEX('glossaryterms-export'!H:H,_xlpm.rowNum))),ISBLANK(INDEX('glossaryterms-export'!I:I,_xlpm.rowNum))),"Ready to Fix",""))</f>
        <v>Ready to Fix</v>
      </c>
      <c r="G856">
        <v>31</v>
      </c>
      <c r="H856">
        <v>31</v>
      </c>
      <c r="I856">
        <v>1</v>
      </c>
      <c r="J856">
        <v>17.096774193548299</v>
      </c>
      <c r="K856">
        <v>70</v>
      </c>
    </row>
    <row r="857" spans="1:11" ht="61.5">
      <c r="A857">
        <v>856</v>
      </c>
      <c r="B857" s="16"/>
      <c r="C857" t="s">
        <v>915</v>
      </c>
      <c r="D857" s="1"/>
      <c r="E857" s="1" t="str">
        <f>_xlfn.REGEXREPLACE(C857, "(.*)\/$", "https://extremismterms.adl.org\1")</f>
        <v>https://extremismterms.adl.org/glossary/robert-bowers</v>
      </c>
      <c r="F857" s="1" t="str" cm="1">
        <f t="array" ref="F857">_xlfn.LET(_xlpm.rowNum,MATCH(E857,'glossaryterms-export'!C:C,0),
IF(AND(NOT(ISBLANK(INDEX('glossaryterms-export'!H:H,_xlpm.rowNum))),ISBLANK(INDEX('glossaryterms-export'!I:I,_xlpm.rowNum))),"Ready to Fix",""))</f>
        <v/>
      </c>
      <c r="G857">
        <v>31</v>
      </c>
      <c r="H857">
        <v>27</v>
      </c>
      <c r="I857">
        <v>1.1481481481481399</v>
      </c>
      <c r="J857">
        <v>12.7407407407407</v>
      </c>
      <c r="K857">
        <v>86</v>
      </c>
    </row>
    <row r="858" spans="1:11" ht="61.5">
      <c r="A858">
        <v>857</v>
      </c>
      <c r="B858" s="16"/>
      <c r="C858" t="s">
        <v>916</v>
      </c>
      <c r="D858" s="1"/>
      <c r="E858" s="1" t="str">
        <f>_xlfn.REGEXREPLACE(C858, "(.*)\/$", "https://extremismterms.adl.org\1")</f>
        <v>https://extremismterms.adl.org/glossary/rodney-coronado</v>
      </c>
      <c r="F858" s="1" t="str" cm="1">
        <f t="array" ref="F858">_xlfn.LET(_xlpm.rowNum,MATCH(E858,'glossaryterms-export'!C:C,0),
IF(AND(NOT(ISBLANK(INDEX('glossaryterms-export'!H:H,_xlpm.rowNum))),ISBLANK(INDEX('glossaryterms-export'!I:I,_xlpm.rowNum))),"Ready to Fix",""))</f>
        <v/>
      </c>
      <c r="G858">
        <v>31</v>
      </c>
      <c r="H858">
        <v>31</v>
      </c>
      <c r="I858">
        <v>1</v>
      </c>
      <c r="J858">
        <v>17.7419354838709</v>
      </c>
      <c r="K858">
        <v>81</v>
      </c>
    </row>
    <row r="859" spans="1:11" ht="77.25">
      <c r="A859">
        <v>858</v>
      </c>
      <c r="B859" s="16"/>
      <c r="C859" t="s">
        <v>917</v>
      </c>
      <c r="D859" s="1"/>
      <c r="E859" s="1" t="str">
        <f>_xlfn.REGEXREPLACE(C859, "(.*)\/$", "https://extremismterms.adl.org\1")</f>
        <v>https://extremismterms.adl.org/glossary/russia-imperial-movement-rim</v>
      </c>
      <c r="F859" s="1" t="str" cm="1">
        <f t="array" ref="F859">_xlfn.LET(_xlpm.rowNum,MATCH(E859,'glossaryterms-export'!C:C,0),
IF(AND(NOT(ISBLANK(INDEX('glossaryterms-export'!H:H,_xlpm.rowNum))),ISBLANK(INDEX('glossaryterms-export'!I:I,_xlpm.rowNum))),"Ready to Fix",""))</f>
        <v/>
      </c>
      <c r="G859">
        <v>31</v>
      </c>
      <c r="H859">
        <v>28</v>
      </c>
      <c r="I859">
        <v>1.1071428571428501</v>
      </c>
      <c r="J859">
        <v>13.535714285714199</v>
      </c>
      <c r="K859">
        <v>78</v>
      </c>
    </row>
    <row r="860" spans="1:11" ht="108">
      <c r="A860">
        <v>859</v>
      </c>
      <c r="B860" s="16"/>
      <c r="C860" t="s">
        <v>918</v>
      </c>
      <c r="D860" s="1"/>
      <c r="E860" s="1" t="str">
        <f>_xlfn.REGEXREPLACE(C860, "(.*)\/$", "https://extremismterms.adl.org\1")</f>
        <v>https://extremismterms.adl.org/glossary/white-supremacist-physical-propaganda</v>
      </c>
      <c r="F860" s="1" t="str" cm="1">
        <f t="array" ref="F860">_xlfn.LET(_xlpm.rowNum,MATCH(E860,'glossaryterms-export'!C:C,0),
IF(AND(NOT(ISBLANK(INDEX('glossaryterms-export'!H:H,_xlpm.rowNum))),ISBLANK(INDEX('glossaryterms-export'!I:I,_xlpm.rowNum))),"Ready to Fix",""))</f>
        <v/>
      </c>
      <c r="G860">
        <v>31</v>
      </c>
      <c r="H860">
        <v>24</v>
      </c>
      <c r="I860">
        <v>1.2916666666666601</v>
      </c>
      <c r="J860">
        <v>13</v>
      </c>
      <c r="K860">
        <v>71</v>
      </c>
    </row>
    <row r="861" spans="1:11" ht="77.25">
      <c r="A861">
        <v>860</v>
      </c>
      <c r="B861" s="16"/>
      <c r="C861" t="s">
        <v>919</v>
      </c>
      <c r="D861" s="1"/>
      <c r="E861" s="1" t="str">
        <f>_xlfn.REGEXREPLACE(C861, "(.*)\/$", "https://extremismterms.adl.org\1")</f>
        <v>https://extremismterms.adl.org/glossary/jean-francois-gariepy</v>
      </c>
      <c r="F861" s="1" t="str" cm="1">
        <f t="array" ref="F861">_xlfn.LET(_xlpm.rowNum,MATCH(E861,'glossaryterms-export'!C:C,0),
IF(AND(NOT(ISBLANK(INDEX('glossaryterms-export'!H:H,_xlpm.rowNum))),ISBLANK(INDEX('glossaryterms-export'!I:I,_xlpm.rowNum))),"Ready to Fix",""))</f>
        <v/>
      </c>
      <c r="G861">
        <v>30</v>
      </c>
      <c r="H861">
        <v>24</v>
      </c>
      <c r="I861">
        <v>1.25</v>
      </c>
      <c r="J861">
        <v>9.75</v>
      </c>
      <c r="K861">
        <v>73</v>
      </c>
    </row>
    <row r="862" spans="1:11" ht="77.25">
      <c r="A862">
        <v>861</v>
      </c>
      <c r="B862" s="14" t="s">
        <v>495</v>
      </c>
      <c r="C862" t="s">
        <v>920</v>
      </c>
      <c r="D862" s="1" t="s">
        <v>20</v>
      </c>
      <c r="E862" s="1" t="str">
        <f>_xlfn.REGEXREPLACE(C862, "(.*)\/$", "https://extremismterms.adl.org\1")</f>
        <v>https://extremismterms.adl.org/glossary/matthew-heimbach</v>
      </c>
      <c r="F862" s="1" t="str" cm="1">
        <f t="array" ref="F862">_xlfn.LET(_xlpm.rowNum,MATCH(E862,'glossaryterms-export'!C:C,0),
IF(AND(NOT(ISBLANK(INDEX('glossaryterms-export'!H:H,_xlpm.rowNum))),ISBLANK(INDEX('glossaryterms-export'!I:I,_xlpm.rowNum))),"Ready to Fix",""))</f>
        <v/>
      </c>
      <c r="G862">
        <v>30</v>
      </c>
      <c r="H862">
        <v>29</v>
      </c>
      <c r="I862">
        <v>1.03448275862068</v>
      </c>
      <c r="J862">
        <v>12.068965517241301</v>
      </c>
      <c r="K862">
        <v>73</v>
      </c>
    </row>
    <row r="863" spans="1:11" ht="61.5">
      <c r="A863">
        <v>862</v>
      </c>
      <c r="B863" s="16"/>
      <c r="C863" t="s">
        <v>921</v>
      </c>
      <c r="D863" s="1"/>
      <c r="E863" s="1" t="str">
        <f>_xlfn.REGEXREPLACE(C863, "(.*)\/$", "https://extremismterms.adl.org\1")</f>
        <v>https://extremismterms.adl.org/glossary/noose-symbol</v>
      </c>
      <c r="F863" s="1" t="str" cm="1">
        <f t="array" ref="F863">_xlfn.LET(_xlpm.rowNum,MATCH(E863,'glossaryterms-export'!C:C,0),
IF(AND(NOT(ISBLANK(INDEX('glossaryterms-export'!H:H,_xlpm.rowNum))),ISBLANK(INDEX('glossaryterms-export'!I:I,_xlpm.rowNum))),"Ready to Fix",""))</f>
        <v>Ready to Fix</v>
      </c>
      <c r="G863">
        <v>30</v>
      </c>
      <c r="H863">
        <v>26</v>
      </c>
      <c r="I863">
        <v>1.15384615384615</v>
      </c>
      <c r="J863">
        <v>6.5384615384615303</v>
      </c>
      <c r="K863">
        <v>70</v>
      </c>
    </row>
    <row r="864" spans="1:11" ht="77.25">
      <c r="A864">
        <v>863</v>
      </c>
      <c r="B864" s="16"/>
      <c r="C864" t="s">
        <v>922</v>
      </c>
      <c r="D864" s="1"/>
      <c r="E864" s="1" t="str">
        <f>_xlfn.REGEXREPLACE(C864, "(.*)\/$", "https://extremismterms.adl.org\1")</f>
        <v>https://extremismterms.adl.org/glossary/phineas-priesthood-symbol</v>
      </c>
      <c r="F864" s="1" t="str" cm="1">
        <f t="array" ref="F864">_xlfn.LET(_xlpm.rowNum,MATCH(E864,'glossaryterms-export'!C:C,0),
IF(AND(NOT(ISBLANK(INDEX('glossaryterms-export'!H:H,_xlpm.rowNum))),ISBLANK(INDEX('glossaryterms-export'!I:I,_xlpm.rowNum))),"Ready to Fix",""))</f>
        <v>Ready to Fix</v>
      </c>
      <c r="G864">
        <v>30</v>
      </c>
      <c r="H864">
        <v>29</v>
      </c>
      <c r="I864">
        <v>1.03448275862068</v>
      </c>
      <c r="J864">
        <v>24.034482758620602</v>
      </c>
      <c r="K864">
        <v>102</v>
      </c>
    </row>
    <row r="865" spans="1:11" ht="77.25">
      <c r="A865">
        <v>864</v>
      </c>
      <c r="B865" s="16"/>
      <c r="C865" t="s">
        <v>923</v>
      </c>
      <c r="D865" s="1"/>
      <c r="E865" s="1" t="str">
        <f>_xlfn.REGEXREPLACE(C865, "(.*)\/$", "https://extremismterms.adl.org\1")</f>
        <v>https://extremismterms.adl.org/glossary/racial-holy-warrahowa</v>
      </c>
      <c r="F865" s="1" t="str" cm="1">
        <f t="array" ref="F865">_xlfn.LET(_xlpm.rowNum,MATCH(E865,'glossaryterms-export'!C:C,0),
IF(AND(NOT(ISBLANK(INDEX('glossaryterms-export'!H:H,_xlpm.rowNum))),ISBLANK(INDEX('glossaryterms-export'!I:I,_xlpm.rowNum))),"Ready to Fix",""))</f>
        <v>Ready to Fix</v>
      </c>
      <c r="G865">
        <v>30</v>
      </c>
      <c r="H865">
        <v>30</v>
      </c>
      <c r="I865">
        <v>1</v>
      </c>
      <c r="J865">
        <v>15.9333333333333</v>
      </c>
      <c r="K865">
        <v>98</v>
      </c>
    </row>
    <row r="866" spans="1:11" ht="61.5">
      <c r="A866">
        <v>865</v>
      </c>
      <c r="B866" s="16"/>
      <c r="C866" t="s">
        <v>924</v>
      </c>
      <c r="D866" s="1"/>
      <c r="E866" s="1" t="str">
        <f>_xlfn.REGEXREPLACE(C866, "(.*)\/$", "https://extremismterms.adl.org\1")</f>
        <v>https://extremismterms.adl.org/glossary/andrew-torba</v>
      </c>
      <c r="F866" s="1" t="str" cm="1">
        <f t="array" ref="F866">_xlfn.LET(_xlpm.rowNum,MATCH(E866,'glossaryterms-export'!C:C,0),
IF(AND(NOT(ISBLANK(INDEX('glossaryterms-export'!H:H,_xlpm.rowNum))),ISBLANK(INDEX('glossaryterms-export'!I:I,_xlpm.rowNum))),"Ready to Fix",""))</f>
        <v>Ready to Fix</v>
      </c>
      <c r="G866">
        <v>29</v>
      </c>
      <c r="H866">
        <v>26</v>
      </c>
      <c r="I866">
        <v>1.1153846153846101</v>
      </c>
      <c r="J866">
        <v>19.807692307692299</v>
      </c>
      <c r="K866">
        <v>76</v>
      </c>
    </row>
    <row r="867" spans="1:11" ht="61.5">
      <c r="A867">
        <v>866</v>
      </c>
      <c r="B867" s="32" t="s">
        <v>124</v>
      </c>
      <c r="C867" t="s">
        <v>925</v>
      </c>
      <c r="D867" s="1" t="s">
        <v>20</v>
      </c>
      <c r="E867" s="1" t="str">
        <f>_xlfn.REGEXREPLACE(C867, "(.*)\/$", "https://extremismterms.adl.org\1")</f>
        <v>https://extremismterms.adl.org/glossary/bogus-liens</v>
      </c>
      <c r="F867" s="1" t="str" cm="1">
        <f t="array" ref="F867">_xlfn.LET(_xlpm.rowNum,MATCH(E867,'glossaryterms-export'!C:C,0),
IF(AND(NOT(ISBLANK(INDEX('glossaryterms-export'!H:H,_xlpm.rowNum))),ISBLANK(INDEX('glossaryterms-export'!I:I,_xlpm.rowNum))),"Ready to Fix",""))</f>
        <v/>
      </c>
      <c r="G867">
        <v>29</v>
      </c>
      <c r="H867">
        <v>28</v>
      </c>
      <c r="I867">
        <v>1.03571428571428</v>
      </c>
      <c r="J867">
        <v>14.3928571428571</v>
      </c>
      <c r="K867">
        <v>55</v>
      </c>
    </row>
    <row r="868" spans="1:11" ht="77.25">
      <c r="A868">
        <v>867</v>
      </c>
      <c r="B868" s="16"/>
      <c r="C868" t="s">
        <v>926</v>
      </c>
      <c r="D868" s="1"/>
      <c r="E868" s="1" t="str">
        <f>_xlfn.REGEXREPLACE(C868, "(.*)\/$", "https://extremismterms.adl.org\1")</f>
        <v>https://extremismterms.adl.org/glossary/holy-day-atonement</v>
      </c>
      <c r="F868" s="1" t="str" cm="1">
        <f t="array" ref="F868">_xlfn.LET(_xlpm.rowNum,MATCH(E868,'glossaryterms-export'!C:C,0),
IF(AND(NOT(ISBLANK(INDEX('glossaryterms-export'!H:H,_xlpm.rowNum))),ISBLANK(INDEX('glossaryterms-export'!I:I,_xlpm.rowNum))),"Ready to Fix",""))</f>
        <v>Ready to Fix</v>
      </c>
      <c r="G868">
        <v>29</v>
      </c>
      <c r="H868">
        <v>27</v>
      </c>
      <c r="I868">
        <v>1.07407407407407</v>
      </c>
      <c r="J868">
        <v>9.4074074074073994</v>
      </c>
      <c r="K868">
        <v>62</v>
      </c>
    </row>
    <row r="869" spans="1:11" ht="77.25">
      <c r="A869">
        <v>868</v>
      </c>
      <c r="B869" s="16"/>
      <c r="C869" t="s">
        <v>927</v>
      </c>
      <c r="D869" s="1"/>
      <c r="E869" s="1" t="str">
        <f>_xlfn.REGEXREPLACE(C869, "(.*)\/$", "https://extremismterms.adl.org\1")</f>
        <v>https://extremismterms.adl.org/glossary/indiana-aryan-brotherhood</v>
      </c>
      <c r="F869" s="1" t="str" cm="1">
        <f t="array" ref="F869">_xlfn.LET(_xlpm.rowNum,MATCH(E869,'glossaryterms-export'!C:C,0),
IF(AND(NOT(ISBLANK(INDEX('glossaryterms-export'!H:H,_xlpm.rowNum))),ISBLANK(INDEX('glossaryterms-export'!I:I,_xlpm.rowNum))),"Ready to Fix",""))</f>
        <v>Ready to Fix</v>
      </c>
      <c r="G869">
        <v>29</v>
      </c>
      <c r="H869">
        <v>24</v>
      </c>
      <c r="I869">
        <v>1.2083333333333299</v>
      </c>
      <c r="J869">
        <v>26.5833333333333</v>
      </c>
      <c r="K869">
        <v>85</v>
      </c>
    </row>
    <row r="870" spans="1:11" ht="61.5">
      <c r="A870">
        <v>869</v>
      </c>
      <c r="B870" s="11" t="s">
        <v>223</v>
      </c>
      <c r="C870" t="s">
        <v>928</v>
      </c>
      <c r="D870" s="1" t="s">
        <v>20</v>
      </c>
      <c r="E870" s="1" t="str">
        <f>_xlfn.REGEXREPLACE(C870, "(.*)\/$", "https://extremismterms.adl.org\1")</f>
        <v>https://extremismterms.adl.org/glossary/iron-pill</v>
      </c>
      <c r="F870" s="1" t="str" cm="1">
        <f t="array" ref="F870">_xlfn.LET(_xlpm.rowNum,MATCH(E870,'glossaryterms-export'!C:C,0),
IF(AND(NOT(ISBLANK(INDEX('glossaryterms-export'!H:H,_xlpm.rowNum))),ISBLANK(INDEX('glossaryterms-export'!I:I,_xlpm.rowNum))),"Ready to Fix",""))</f>
        <v/>
      </c>
      <c r="G870">
        <v>29</v>
      </c>
      <c r="H870">
        <v>27</v>
      </c>
      <c r="I870">
        <v>1.07407407407407</v>
      </c>
      <c r="J870">
        <v>7.2592592592592498</v>
      </c>
      <c r="K870">
        <v>64</v>
      </c>
    </row>
    <row r="871" spans="1:11" ht="61.5">
      <c r="A871">
        <v>870</v>
      </c>
      <c r="B871" s="14" t="s">
        <v>25</v>
      </c>
      <c r="C871" t="s">
        <v>929</v>
      </c>
      <c r="D871" s="1" t="s">
        <v>20</v>
      </c>
      <c r="E871" s="1" t="str">
        <f>_xlfn.REGEXREPLACE(C871, "(.*)\/$", "https://extremismterms.adl.org\1")</f>
        <v>https://extremismterms.adl.org/glossary/montana-freemen</v>
      </c>
      <c r="F871" s="1" t="str" cm="1">
        <f t="array" ref="F871">_xlfn.LET(_xlpm.rowNum,MATCH(E871,'glossaryterms-export'!C:C,0),
IF(AND(NOT(ISBLANK(INDEX('glossaryterms-export'!H:H,_xlpm.rowNum))),ISBLANK(INDEX('glossaryterms-export'!I:I,_xlpm.rowNum))),"Ready to Fix",""))</f>
        <v/>
      </c>
      <c r="G871">
        <v>29</v>
      </c>
      <c r="H871">
        <v>27</v>
      </c>
      <c r="I871">
        <v>1.07407407407407</v>
      </c>
      <c r="J871">
        <v>14</v>
      </c>
      <c r="K871">
        <v>89</v>
      </c>
    </row>
    <row r="872" spans="1:11" ht="61.5">
      <c r="A872">
        <v>871</v>
      </c>
      <c r="B872" s="16"/>
      <c r="C872" t="s">
        <v>930</v>
      </c>
      <c r="D872" s="1"/>
      <c r="E872" s="1" t="str">
        <f>_xlfn.REGEXREPLACE(C872, "(.*)\/$", "https://extremismterms.adl.org\1")</f>
        <v>https://extremismterms.adl.org/glossary/osama-bin-laden</v>
      </c>
      <c r="F872" s="1" t="str" cm="1">
        <f t="array" ref="F872">_xlfn.LET(_xlpm.rowNum,MATCH(E872,'glossaryterms-export'!C:C,0),
IF(AND(NOT(ISBLANK(INDEX('glossaryterms-export'!H:H,_xlpm.rowNum))),ISBLANK(INDEX('glossaryterms-export'!I:I,_xlpm.rowNum))),"Ready to Fix",""))</f>
        <v/>
      </c>
      <c r="G872">
        <v>29</v>
      </c>
      <c r="H872">
        <v>27</v>
      </c>
      <c r="I872">
        <v>1.07407407407407</v>
      </c>
      <c r="J872">
        <v>28.7777777777777</v>
      </c>
      <c r="K872">
        <v>79</v>
      </c>
    </row>
    <row r="873" spans="1:11" ht="61.5">
      <c r="A873">
        <v>872</v>
      </c>
      <c r="B873" s="16"/>
      <c r="C873" t="s">
        <v>931</v>
      </c>
      <c r="D873" s="1"/>
      <c r="E873" s="1" t="str">
        <f>_xlfn.REGEXREPLACE(C873, "(.*)\/$", "https://extremismterms.adl.org\1")</f>
        <v>https://extremismterms.adl.org/glossary/vaxtheblacks</v>
      </c>
      <c r="F873" s="1" t="str" cm="1">
        <f t="array" ref="F873">_xlfn.LET(_xlpm.rowNum,MATCH(E873,'glossaryterms-export'!C:C,0),
IF(AND(NOT(ISBLANK(INDEX('glossaryterms-export'!H:H,_xlpm.rowNum))),ISBLANK(INDEX('glossaryterms-export'!I:I,_xlpm.rowNum))),"Ready to Fix",""))</f>
        <v/>
      </c>
      <c r="G873">
        <v>29</v>
      </c>
      <c r="H873">
        <v>29</v>
      </c>
      <c r="I873">
        <v>1</v>
      </c>
      <c r="J873">
        <v>8.896551724</v>
      </c>
      <c r="K873">
        <v>65</v>
      </c>
    </row>
    <row r="874" spans="1:11" ht="77.25">
      <c r="A874">
        <v>873</v>
      </c>
      <c r="B874" s="16"/>
      <c r="C874" t="s">
        <v>932</v>
      </c>
      <c r="D874" s="1"/>
      <c r="E874" s="1" t="str">
        <f>_xlfn.REGEXREPLACE(C874, "(.*)\/$", "https://extremismterms.adl.org\1")</f>
        <v>https://extremismterms.adl.org/glossary/white-aryan-resistance-war</v>
      </c>
      <c r="F874" s="1" t="str" cm="1">
        <f t="array" ref="F874">_xlfn.LET(_xlpm.rowNum,MATCH(E874,'glossaryterms-export'!C:C,0),
IF(AND(NOT(ISBLANK(INDEX('glossaryterms-export'!H:H,_xlpm.rowNum))),ISBLANK(INDEX('glossaryterms-export'!I:I,_xlpm.rowNum))),"Ready to Fix",""))</f>
        <v/>
      </c>
      <c r="G874">
        <v>29</v>
      </c>
      <c r="H874">
        <v>26</v>
      </c>
      <c r="I874">
        <v>1.1153846153846101</v>
      </c>
      <c r="J874">
        <v>44.230769230769198</v>
      </c>
      <c r="K874">
        <v>81</v>
      </c>
    </row>
    <row r="875" spans="1:11" ht="77.25">
      <c r="A875">
        <v>874</v>
      </c>
      <c r="B875" s="14" t="s">
        <v>25</v>
      </c>
      <c r="C875" t="s">
        <v>933</v>
      </c>
      <c r="D875" s="1" t="s">
        <v>20</v>
      </c>
      <c r="E875" s="1" t="str">
        <f>_xlfn.REGEXREPLACE(C875, "(.*)\/$", "https://extremismterms.adl.org\1")</f>
        <v>https://extremismterms.adl.org/glossary/fictitious-financial-instruments</v>
      </c>
      <c r="F875" s="1" t="str" cm="1">
        <f t="array" ref="F875">_xlfn.LET(_xlpm.rowNum,MATCH(E875,'glossaryterms-export'!C:C,0),
IF(AND(NOT(ISBLANK(INDEX('glossaryterms-export'!H:H,_xlpm.rowNum))),ISBLANK(INDEX('glossaryterms-export'!I:I,_xlpm.rowNum))),"Ready to Fix",""))</f>
        <v/>
      </c>
      <c r="G875">
        <v>28</v>
      </c>
      <c r="H875">
        <v>26</v>
      </c>
      <c r="I875">
        <v>1.07692307692307</v>
      </c>
      <c r="J875">
        <v>14.807692307692299</v>
      </c>
      <c r="K875">
        <v>62</v>
      </c>
    </row>
    <row r="876" spans="1:11" ht="77.25">
      <c r="A876">
        <v>875</v>
      </c>
      <c r="B876" s="14" t="s">
        <v>15</v>
      </c>
      <c r="C876" t="s">
        <v>934</v>
      </c>
      <c r="D876" s="1" t="s">
        <v>20</v>
      </c>
      <c r="E876" s="1" t="str">
        <f>_xlfn.REGEXREPLACE(C876, "(.*)\/$", "https://extremismterms.adl.org\1")</f>
        <v>https://extremismterms.adl.org/glossary/flesh-and-blood-manwomanperson</v>
      </c>
      <c r="F876" s="1" t="str" cm="1">
        <f t="array" ref="F876">_xlfn.LET(_xlpm.rowNum,MATCH(E876,'glossaryterms-export'!C:C,0),
IF(AND(NOT(ISBLANK(INDEX('glossaryterms-export'!H:H,_xlpm.rowNum))),ISBLANK(INDEX('glossaryterms-export'!I:I,_xlpm.rowNum))),"Ready to Fix",""))</f>
        <v>Ready to Fix</v>
      </c>
      <c r="G876">
        <v>28</v>
      </c>
      <c r="H876">
        <v>26</v>
      </c>
      <c r="I876">
        <v>1.07692307692307</v>
      </c>
      <c r="J876">
        <v>17.115384615384599</v>
      </c>
      <c r="K876">
        <v>61</v>
      </c>
    </row>
    <row r="877" spans="1:11" ht="61.5">
      <c r="A877">
        <v>876</v>
      </c>
      <c r="B877" s="16"/>
      <c r="C877" t="s">
        <v>935</v>
      </c>
      <c r="D877" s="1"/>
      <c r="E877" s="1" t="str">
        <f>_xlfn.REGEXREPLACE(C877, "(.*)\/$", "https://extremismterms.adl.org\1")</f>
        <v>https://extremismterms.adl.org/glossary/identitarianism</v>
      </c>
      <c r="F877" s="1" t="str" cm="1">
        <f t="array" ref="F877">_xlfn.LET(_xlpm.rowNum,MATCH(E877,'glossaryterms-export'!C:C,0),
IF(AND(NOT(ISBLANK(INDEX('glossaryterms-export'!H:H,_xlpm.rowNum))),ISBLANK(INDEX('glossaryterms-export'!I:I,_xlpm.rowNum))),"Ready to Fix",""))</f>
        <v/>
      </c>
      <c r="G877">
        <v>28</v>
      </c>
      <c r="H877">
        <v>26</v>
      </c>
      <c r="I877">
        <v>1.07692307692307</v>
      </c>
      <c r="J877">
        <v>12.5</v>
      </c>
      <c r="K877">
        <v>68</v>
      </c>
    </row>
    <row r="878" spans="1:11" ht="61.5">
      <c r="A878">
        <v>877</v>
      </c>
      <c r="B878" s="16"/>
      <c r="C878" t="s">
        <v>936</v>
      </c>
      <c r="D878" s="1"/>
      <c r="E878" s="1" t="str">
        <f>_xlfn.REGEXREPLACE(C878, "(.*)\/$", "https://extremismterms.adl.org\1")</f>
        <v>https://extremismterms.adl.org/glossary/iron-march</v>
      </c>
      <c r="F878" s="1" t="str" cm="1">
        <f t="array" ref="F878">_xlfn.LET(_xlpm.rowNum,MATCH(E878,'glossaryterms-export'!C:C,0),
IF(AND(NOT(ISBLANK(INDEX('glossaryterms-export'!H:H,_xlpm.rowNum))),ISBLANK(INDEX('glossaryterms-export'!I:I,_xlpm.rowNum))),"Ready to Fix",""))</f>
        <v>Ready to Fix</v>
      </c>
      <c r="G878">
        <v>28</v>
      </c>
      <c r="H878">
        <v>28</v>
      </c>
      <c r="I878">
        <v>1</v>
      </c>
      <c r="J878">
        <v>9.6785714285714199</v>
      </c>
      <c r="K878">
        <v>75</v>
      </c>
    </row>
    <row r="879" spans="1:11" ht="61.5">
      <c r="A879">
        <v>878</v>
      </c>
      <c r="B879" s="14" t="s">
        <v>495</v>
      </c>
      <c r="C879" t="s">
        <v>937</v>
      </c>
      <c r="D879" s="1" t="s">
        <v>20</v>
      </c>
      <c r="E879" s="1" t="str">
        <f>_xlfn.REGEXREPLACE(C879, "(.*)\/$", "https://extremismterms.adl.org\1")</f>
        <v>https://extremismterms.adl.org/glossary/jason-kessler</v>
      </c>
      <c r="F879" s="1" t="str" cm="1">
        <f t="array" ref="F879">_xlfn.LET(_xlpm.rowNum,MATCH(E879,'glossaryterms-export'!C:C,0),
IF(AND(NOT(ISBLANK(INDEX('glossaryterms-export'!H:H,_xlpm.rowNum))),ISBLANK(INDEX('glossaryterms-export'!I:I,_xlpm.rowNum))),"Ready to Fix",""))</f>
        <v/>
      </c>
      <c r="G879">
        <v>28</v>
      </c>
      <c r="H879">
        <v>27</v>
      </c>
      <c r="I879">
        <v>1.0370370370370301</v>
      </c>
      <c r="J879">
        <v>5.6296296300000002</v>
      </c>
      <c r="K879">
        <v>61</v>
      </c>
    </row>
    <row r="880" spans="1:11" ht="61.5">
      <c r="A880">
        <v>879</v>
      </c>
      <c r="B880" s="16"/>
      <c r="C880" t="s">
        <v>938</v>
      </c>
      <c r="D880" s="1"/>
      <c r="E880" s="1" t="str">
        <f>_xlfn.REGEXREPLACE(C880, "(.*)\/$", "https://extremismterms.adl.org\1")</f>
        <v>https://extremismterms.adl.org/glossary/new-aryan-empire</v>
      </c>
      <c r="F880" s="1" t="str" cm="1">
        <f t="array" ref="F880">_xlfn.LET(_xlpm.rowNum,MATCH(E880,'glossaryterms-export'!C:C,0),
IF(AND(NOT(ISBLANK(INDEX('glossaryterms-export'!H:H,_xlpm.rowNum))),ISBLANK(INDEX('glossaryterms-export'!I:I,_xlpm.rowNum))),"Ready to Fix",""))</f>
        <v>Ready to Fix</v>
      </c>
      <c r="G880">
        <v>28</v>
      </c>
      <c r="H880">
        <v>26</v>
      </c>
      <c r="I880">
        <v>1.07692307692307</v>
      </c>
      <c r="J880">
        <v>15.346153846153801</v>
      </c>
      <c r="K880">
        <v>95</v>
      </c>
    </row>
    <row r="881" spans="1:11" ht="61.5">
      <c r="A881">
        <v>880</v>
      </c>
      <c r="B881" s="14" t="s">
        <v>15</v>
      </c>
      <c r="C881" t="s">
        <v>939</v>
      </c>
      <c r="D881" s="1" t="s">
        <v>20</v>
      </c>
      <c r="E881" s="1" t="str">
        <f>_xlfn.REGEXREPLACE(C881, "(.*)\/$", "https://extremismterms.adl.org\1")</f>
        <v>https://extremismterms.adl.org/glossary/q-clearance</v>
      </c>
      <c r="F881" s="1" t="str" cm="1">
        <f t="array" ref="F881">_xlfn.LET(_xlpm.rowNum,MATCH(E881,'glossaryterms-export'!C:C,0),
IF(AND(NOT(ISBLANK(INDEX('glossaryterms-export'!H:H,_xlpm.rowNum))),ISBLANK(INDEX('glossaryterms-export'!I:I,_xlpm.rowNum))),"Ready to Fix",""))</f>
        <v/>
      </c>
      <c r="G881">
        <v>28</v>
      </c>
      <c r="H881">
        <v>27</v>
      </c>
      <c r="I881">
        <v>1.0370370370370301</v>
      </c>
      <c r="J881">
        <v>19.037037037036999</v>
      </c>
      <c r="K881">
        <v>92</v>
      </c>
    </row>
    <row r="882" spans="1:11" ht="61.5">
      <c r="A882">
        <v>881</v>
      </c>
      <c r="B882" s="16"/>
      <c r="C882" t="s">
        <v>940</v>
      </c>
      <c r="D882" s="1"/>
      <c r="E882" s="1" t="str">
        <f>_xlfn.REGEXREPLACE(C882, "(.*)\/$", "https://extremismterms.adl.org\1")</f>
        <v>https://extremismterms.adl.org/glossary/rizza-islam</v>
      </c>
      <c r="F882" s="1" t="str" cm="1">
        <f t="array" ref="F882">_xlfn.LET(_xlpm.rowNum,MATCH(E882,'glossaryterms-export'!C:C,0),
IF(AND(NOT(ISBLANK(INDEX('glossaryterms-export'!H:H,_xlpm.rowNum))),ISBLANK(INDEX('glossaryterms-export'!I:I,_xlpm.rowNum))),"Ready to Fix",""))</f>
        <v>Ready to Fix</v>
      </c>
      <c r="G882">
        <v>28</v>
      </c>
      <c r="H882">
        <v>24</v>
      </c>
      <c r="I882">
        <v>1.1666666666666601</v>
      </c>
      <c r="J882">
        <v>17.2916666666666</v>
      </c>
      <c r="K882">
        <v>74</v>
      </c>
    </row>
    <row r="883" spans="1:11" ht="61.5">
      <c r="A883">
        <v>882</v>
      </c>
      <c r="B883" s="16"/>
      <c r="C883" t="s">
        <v>941</v>
      </c>
      <c r="D883" s="1"/>
      <c r="E883" s="1" t="str">
        <f>_xlfn.REGEXREPLACE(C883, "(.*)\/$", "https://extremismterms.adl.org\1")</f>
        <v>https://extremismterms.adl.org/glossary/stefan-molyneux</v>
      </c>
      <c r="F883" s="1" t="str" cm="1">
        <f t="array" ref="F883">_xlfn.LET(_xlpm.rowNum,MATCH(E883,'glossaryterms-export'!C:C,0),
IF(AND(NOT(ISBLANK(INDEX('glossaryterms-export'!H:H,_xlpm.rowNum))),ISBLANK(INDEX('glossaryterms-export'!I:I,_xlpm.rowNum))),"Ready to Fix",""))</f>
        <v/>
      </c>
      <c r="G883">
        <v>28</v>
      </c>
      <c r="H883">
        <v>27</v>
      </c>
      <c r="I883">
        <v>1.0370370370370301</v>
      </c>
      <c r="J883">
        <v>13.5555555555555</v>
      </c>
      <c r="K883">
        <v>77</v>
      </c>
    </row>
    <row r="884" spans="1:11" ht="61.5">
      <c r="A884">
        <v>883</v>
      </c>
      <c r="B884" s="16"/>
      <c r="C884" t="s">
        <v>942</v>
      </c>
      <c r="D884" s="1"/>
      <c r="E884" s="1" t="str">
        <f>_xlfn.REGEXREPLACE(C884, "(.*)\/$", "https://extremismterms.adl.org\1")</f>
        <v>https://extremismterms.adl.org/glossary/trunews</v>
      </c>
      <c r="F884" s="1" t="str" cm="1">
        <f t="array" ref="F884">_xlfn.LET(_xlpm.rowNum,MATCH(E884,'glossaryterms-export'!C:C,0),
IF(AND(NOT(ISBLANK(INDEX('glossaryterms-export'!H:H,_xlpm.rowNum))),ISBLANK(INDEX('glossaryterms-export'!I:I,_xlpm.rowNum))),"Ready to Fix",""))</f>
        <v>Ready to Fix</v>
      </c>
      <c r="G884">
        <v>28</v>
      </c>
      <c r="H884">
        <v>26</v>
      </c>
      <c r="I884">
        <v>1.07692307692307</v>
      </c>
      <c r="J884">
        <v>16.192307692307601</v>
      </c>
      <c r="K884">
        <v>73</v>
      </c>
    </row>
    <row r="885" spans="1:11" ht="61.5">
      <c r="A885">
        <v>884</v>
      </c>
      <c r="B885" s="16"/>
      <c r="C885" t="s">
        <v>943</v>
      </c>
      <c r="D885" s="1"/>
      <c r="E885" s="1" t="str">
        <f>_xlfn.REGEXREPLACE(C885, "(.*)\/$", "https://extremismterms.adl.org\1")</f>
        <v>https://extremismterms.adl.org/glossary/vanguard-america</v>
      </c>
      <c r="F885" s="1" t="str" cm="1">
        <f t="array" ref="F885">_xlfn.LET(_xlpm.rowNum,MATCH(E885,'glossaryterms-export'!C:C,0),
IF(AND(NOT(ISBLANK(INDEX('glossaryterms-export'!H:H,_xlpm.rowNum))),ISBLANK(INDEX('glossaryterms-export'!I:I,_xlpm.rowNum))),"Ready to Fix",""))</f>
        <v/>
      </c>
      <c r="G885">
        <v>28</v>
      </c>
      <c r="H885">
        <v>26</v>
      </c>
      <c r="I885">
        <v>1.07692307692307</v>
      </c>
      <c r="J885">
        <v>20.6538461538461</v>
      </c>
      <c r="K885">
        <v>67</v>
      </c>
    </row>
    <row r="886" spans="1:11" ht="61.5">
      <c r="A886">
        <v>885</v>
      </c>
      <c r="B886" s="16"/>
      <c r="C886" t="s">
        <v>944</v>
      </c>
      <c r="D886" s="1"/>
      <c r="E886" s="1" t="str">
        <f>_xlfn.REGEXREPLACE(C886, "(.*)\/$", "https://extremismterms.adl.org\1")</f>
        <v>https://extremismterms.adl.org/glossary/ahmad-abousamra</v>
      </c>
      <c r="F886" s="1" t="str" cm="1">
        <f t="array" ref="F886">_xlfn.LET(_xlpm.rowNum,MATCH(E886,'glossaryterms-export'!C:C,0),
IF(AND(NOT(ISBLANK(INDEX('glossaryterms-export'!H:H,_xlpm.rowNum))),ISBLANK(INDEX('glossaryterms-export'!I:I,_xlpm.rowNum))),"Ready to Fix",""))</f>
        <v>Ready to Fix</v>
      </c>
      <c r="G886">
        <v>27</v>
      </c>
      <c r="H886">
        <v>24</v>
      </c>
      <c r="I886">
        <v>1.125</v>
      </c>
      <c r="J886">
        <v>9.9166666666666607</v>
      </c>
      <c r="K886">
        <v>55</v>
      </c>
    </row>
    <row r="887" spans="1:11" ht="61.5">
      <c r="A887">
        <v>886</v>
      </c>
      <c r="B887" s="16"/>
      <c r="C887" t="s">
        <v>945</v>
      </c>
      <c r="D887" s="1"/>
      <c r="E887" s="1" t="str">
        <f>_xlfn.REGEXREPLACE(C887, "(.*)\/$", "https://extremismterms.adl.org\1")</f>
        <v>https://extremismterms.adl.org/glossary/aryan-fist-symbol</v>
      </c>
      <c r="F887" s="1" t="str" cm="1">
        <f t="array" ref="F887">_xlfn.LET(_xlpm.rowNum,MATCH(E887,'glossaryterms-export'!C:C,0),
IF(AND(NOT(ISBLANK(INDEX('glossaryterms-export'!H:H,_xlpm.rowNum))),ISBLANK(INDEX('glossaryterms-export'!I:I,_xlpm.rowNum))),"Ready to Fix",""))</f>
        <v>Ready to Fix</v>
      </c>
      <c r="G887">
        <v>27</v>
      </c>
      <c r="H887">
        <v>26</v>
      </c>
      <c r="I887">
        <v>1.0384615384615301</v>
      </c>
      <c r="J887">
        <v>17.4615384615384</v>
      </c>
      <c r="K887">
        <v>85</v>
      </c>
    </row>
    <row r="888" spans="1:11" ht="46.5">
      <c r="A888">
        <v>887</v>
      </c>
      <c r="B888" s="16"/>
      <c r="C888" t="s">
        <v>946</v>
      </c>
      <c r="D888" s="1"/>
      <c r="E888" s="1" t="str">
        <f>_xlfn.REGEXREPLACE(C888, "(.*)\/$", "https://extremismterms.adl.org\1")</f>
        <v>https://extremismterms.adl.org/glossary/fgrn</v>
      </c>
      <c r="F888" s="1" t="str" cm="1">
        <f t="array" ref="F888">_xlfn.LET(_xlpm.rowNum,MATCH(E888,'glossaryterms-export'!C:C,0),
IF(AND(NOT(ISBLANK(INDEX('glossaryterms-export'!H:H,_xlpm.rowNum))),ISBLANK(INDEX('glossaryterms-export'!I:I,_xlpm.rowNum))),"Ready to Fix",""))</f>
        <v>Ready to Fix</v>
      </c>
      <c r="G888">
        <v>27</v>
      </c>
      <c r="H888">
        <v>25</v>
      </c>
      <c r="I888">
        <v>1.08</v>
      </c>
      <c r="J888">
        <v>8.8000000000000007</v>
      </c>
      <c r="K888">
        <v>65</v>
      </c>
    </row>
    <row r="889" spans="1:11" ht="61.5">
      <c r="A889">
        <v>888</v>
      </c>
      <c r="B889" s="16"/>
      <c r="C889" t="s">
        <v>947</v>
      </c>
      <c r="D889" s="1"/>
      <c r="E889" s="1" t="str">
        <f>_xlfn.REGEXREPLACE(C889, "(.*)\/$", "https://extremismterms.adl.org\1")</f>
        <v>https://extremismterms.adl.org/glossary/hundred-handers</v>
      </c>
      <c r="F889" s="1" t="str" cm="1">
        <f t="array" ref="F889">_xlfn.LET(_xlpm.rowNum,MATCH(E889,'glossaryterms-export'!C:C,0),
IF(AND(NOT(ISBLANK(INDEX('glossaryterms-export'!H:H,_xlpm.rowNum))),ISBLANK(INDEX('glossaryterms-export'!I:I,_xlpm.rowNum))),"Ready to Fix",""))</f>
        <v>Ready to Fix</v>
      </c>
      <c r="G889">
        <v>27</v>
      </c>
      <c r="H889">
        <v>26</v>
      </c>
      <c r="I889">
        <v>1.0384615384615301</v>
      </c>
      <c r="J889">
        <v>13</v>
      </c>
      <c r="K889">
        <v>73</v>
      </c>
    </row>
    <row r="890" spans="1:11" ht="61.5">
      <c r="A890">
        <v>889</v>
      </c>
      <c r="B890" s="16"/>
      <c r="C890" t="s">
        <v>948</v>
      </c>
      <c r="D890" s="1"/>
      <c r="E890" s="1" t="str">
        <f>_xlfn.REGEXREPLACE(C890, "(.*)\/$", "https://extremismterms.adl.org\1")</f>
        <v>https://extremismterms.adl.org/glossary/orion-symbol</v>
      </c>
      <c r="F890" s="1" t="str" cm="1">
        <f t="array" ref="F890">_xlfn.LET(_xlpm.rowNum,MATCH(E890,'glossaryterms-export'!C:C,0),
IF(AND(NOT(ISBLANK(INDEX('glossaryterms-export'!H:H,_xlpm.rowNum))),ISBLANK(INDEX('glossaryterms-export'!I:I,_xlpm.rowNum))),"Ready to Fix",""))</f>
        <v>Ready to Fix</v>
      </c>
      <c r="G890">
        <v>27</v>
      </c>
      <c r="H890">
        <v>24</v>
      </c>
      <c r="I890">
        <v>1.125</v>
      </c>
      <c r="J890">
        <v>13</v>
      </c>
      <c r="K890">
        <v>64</v>
      </c>
    </row>
    <row r="891" spans="1:11" ht="46.5">
      <c r="A891">
        <v>890</v>
      </c>
      <c r="B891" s="14" t="s">
        <v>15</v>
      </c>
      <c r="C891" t="s">
        <v>949</v>
      </c>
      <c r="D891" s="1" t="s">
        <v>20</v>
      </c>
      <c r="E891" s="1" t="str">
        <f>_xlfn.REGEXREPLACE(C891, "(.*)\/$", "https://extremismterms.adl.org\1")</f>
        <v>https://extremismterms.adl.org/glossary/q</v>
      </c>
      <c r="F891" s="1" t="str" cm="1">
        <f t="array" ref="F891">_xlfn.LET(_xlpm.rowNum,MATCH(E891,'glossaryterms-export'!C:C,0),
IF(AND(NOT(ISBLANK(INDEX('glossaryterms-export'!H:H,_xlpm.rowNum))),ISBLANK(INDEX('glossaryterms-export'!I:I,_xlpm.rowNum))),"Ready to Fix",""))</f>
        <v/>
      </c>
      <c r="G891">
        <v>27</v>
      </c>
      <c r="H891">
        <v>27</v>
      </c>
      <c r="I891">
        <v>1</v>
      </c>
      <c r="J891">
        <v>20.407407407407401</v>
      </c>
      <c r="K891">
        <v>65</v>
      </c>
    </row>
    <row r="892" spans="1:11" ht="77.25">
      <c r="A892">
        <v>891</v>
      </c>
      <c r="B892" s="16"/>
      <c r="C892" t="s">
        <v>950</v>
      </c>
      <c r="D892" s="1"/>
      <c r="E892" s="1" t="str">
        <f>_xlfn.REGEXREPLACE(C892, "(.*)\/$", "https://extremismterms.adl.org\1")</f>
        <v>https://extremismterms.adl.org/glossary/women-aryan-unity-wau</v>
      </c>
      <c r="F892" s="1" t="str" cm="1">
        <f t="array" ref="F892">_xlfn.LET(_xlpm.rowNum,MATCH(E892,'glossaryterms-export'!C:C,0),
IF(AND(NOT(ISBLANK(INDEX('glossaryterms-export'!H:H,_xlpm.rowNum))),ISBLANK(INDEX('glossaryterms-export'!I:I,_xlpm.rowNum))),"Ready to Fix",""))</f>
        <v/>
      </c>
      <c r="G892">
        <v>27</v>
      </c>
      <c r="H892">
        <v>24</v>
      </c>
      <c r="I892">
        <v>1.125</v>
      </c>
      <c r="J892">
        <v>18.2083333333333</v>
      </c>
      <c r="K892">
        <v>76</v>
      </c>
    </row>
    <row r="893" spans="1:11" ht="46.5">
      <c r="A893">
        <v>892</v>
      </c>
      <c r="B893" s="16"/>
      <c r="C893" t="s">
        <v>951</v>
      </c>
      <c r="D893" s="1"/>
      <c r="E893" s="1" t="str">
        <f>_xlfn.REGEXREPLACE(C893, "(.*)\/$", "https://extremismterms.adl.org\1")</f>
        <v>https://extremismterms.adl.org/glossary/311</v>
      </c>
      <c r="F893" s="1" t="str" cm="1">
        <f t="array" ref="F893">_xlfn.LET(_xlpm.rowNum,MATCH(E893,'glossaryterms-export'!C:C,0),
IF(AND(NOT(ISBLANK(INDEX('glossaryterms-export'!H:H,_xlpm.rowNum))),ISBLANK(INDEX('glossaryterms-export'!I:I,_xlpm.rowNum))),"Ready to Fix",""))</f>
        <v>Ready to Fix</v>
      </c>
      <c r="G893">
        <v>26</v>
      </c>
      <c r="H893">
        <v>20</v>
      </c>
      <c r="I893">
        <v>1.3</v>
      </c>
      <c r="J893">
        <v>11.45</v>
      </c>
      <c r="K893">
        <v>64</v>
      </c>
    </row>
    <row r="894" spans="1:11" ht="77.25">
      <c r="A894">
        <v>893</v>
      </c>
      <c r="B894" s="16"/>
      <c r="C894" t="s">
        <v>952</v>
      </c>
      <c r="D894" s="1"/>
      <c r="E894" s="1" t="str">
        <f>_xlfn.REGEXREPLACE(C894, "(.*)\/$", "https://extremismterms.adl.org\1")</f>
        <v>https://extremismterms.adl.org/glossary/adam-yahiye-gadahn</v>
      </c>
      <c r="F894" s="1" t="str" cm="1">
        <f t="array" ref="F894">_xlfn.LET(_xlpm.rowNum,MATCH(E894,'glossaryterms-export'!C:C,0),
IF(AND(NOT(ISBLANK(INDEX('glossaryterms-export'!H:H,_xlpm.rowNum))),ISBLANK(INDEX('glossaryterms-export'!I:I,_xlpm.rowNum))),"Ready to Fix",""))</f>
        <v/>
      </c>
      <c r="G894">
        <v>26</v>
      </c>
      <c r="H894">
        <v>26</v>
      </c>
      <c r="I894">
        <v>1</v>
      </c>
      <c r="J894">
        <v>18.538461538461501</v>
      </c>
      <c r="K894">
        <v>62</v>
      </c>
    </row>
    <row r="895" spans="1:11" ht="61.5">
      <c r="A895">
        <v>894</v>
      </c>
      <c r="B895" s="16"/>
      <c r="C895" t="s">
        <v>953</v>
      </c>
      <c r="D895" s="1"/>
      <c r="E895" s="1" t="str">
        <f>_xlfn.REGEXREPLACE(C895, "(.*)\/$", "https://extremismterms.adl.org\1")</f>
        <v>https://extremismterms.adl.org/glossary/anjem-choudary</v>
      </c>
      <c r="F895" s="1" t="str" cm="1">
        <f t="array" ref="F895">_xlfn.LET(_xlpm.rowNum,MATCH(E895,'glossaryterms-export'!C:C,0),
IF(AND(NOT(ISBLANK(INDEX('glossaryterms-export'!H:H,_xlpm.rowNum))),ISBLANK(INDEX('glossaryterms-export'!I:I,_xlpm.rowNum))),"Ready to Fix",""))</f>
        <v/>
      </c>
      <c r="G895">
        <v>26</v>
      </c>
      <c r="H895">
        <v>26</v>
      </c>
      <c r="I895">
        <v>1</v>
      </c>
      <c r="J895">
        <v>26.384615384615302</v>
      </c>
      <c r="K895">
        <v>65</v>
      </c>
    </row>
    <row r="896" spans="1:11" ht="77.25">
      <c r="A896">
        <v>895</v>
      </c>
      <c r="B896" s="16"/>
      <c r="C896" t="s">
        <v>954</v>
      </c>
      <c r="D896" s="1"/>
      <c r="E896" s="1" t="str">
        <f>_xlfn.REGEXREPLACE(C896, "(.*)\/$", "https://extremismterms.adl.org\1")</f>
        <v>https://extremismterms.adl.org/glossary/burning-neo-nazi-symbols</v>
      </c>
      <c r="F896" s="1" t="str" cm="1">
        <f t="array" ref="F896">_xlfn.LET(_xlpm.rowNum,MATCH(E896,'glossaryterms-export'!C:C,0),
IF(AND(NOT(ISBLANK(INDEX('glossaryterms-export'!H:H,_xlpm.rowNum))),ISBLANK(INDEX('glossaryterms-export'!I:I,_xlpm.rowNum))),"Ready to Fix",""))</f>
        <v/>
      </c>
      <c r="G896">
        <v>26</v>
      </c>
      <c r="H896">
        <v>26</v>
      </c>
      <c r="I896">
        <v>1</v>
      </c>
      <c r="J896">
        <v>13.192307692307599</v>
      </c>
      <c r="K896">
        <v>54</v>
      </c>
    </row>
    <row r="897" spans="1:11" ht="77.25">
      <c r="A897">
        <v>896</v>
      </c>
      <c r="B897" s="16"/>
      <c r="C897" t="s">
        <v>955</v>
      </c>
      <c r="D897" s="1"/>
      <c r="E897" s="1" t="str">
        <f>_xlfn.REGEXREPLACE(C897, "(.*)\/$", "https://extremismterms.adl.org\1")</f>
        <v>https://extremismterms.adl.org/glossary/catechism-revolutionary</v>
      </c>
      <c r="F897" s="1" t="str" cm="1">
        <f t="array" ref="F897">_xlfn.LET(_xlpm.rowNum,MATCH(E897,'glossaryterms-export'!C:C,0),
IF(AND(NOT(ISBLANK(INDEX('glossaryterms-export'!H:H,_xlpm.rowNum))),ISBLANK(INDEX('glossaryterms-export'!I:I,_xlpm.rowNum))),"Ready to Fix",""))</f>
        <v/>
      </c>
      <c r="G897">
        <v>26</v>
      </c>
      <c r="H897">
        <v>26</v>
      </c>
      <c r="I897">
        <v>1</v>
      </c>
      <c r="J897">
        <v>19.9615384615384</v>
      </c>
      <c r="K897">
        <v>94</v>
      </c>
    </row>
    <row r="898" spans="1:11" ht="61.5">
      <c r="A898">
        <v>897</v>
      </c>
      <c r="B898" s="16"/>
      <c r="C898" t="s">
        <v>956</v>
      </c>
      <c r="D898" s="1"/>
      <c r="E898" s="1" t="str">
        <f>_xlfn.REGEXREPLACE(C898, "(.*)\/$", "https://extremismterms.adl.org\1")</f>
        <v>https://extremismterms.adl.org/glossary/guillaume-faye</v>
      </c>
      <c r="F898" s="1" t="str" cm="1">
        <f t="array" ref="F898">_xlfn.LET(_xlpm.rowNum,MATCH(E898,'glossaryterms-export'!C:C,0),
IF(AND(NOT(ISBLANK(INDEX('glossaryterms-export'!H:H,_xlpm.rowNum))),ISBLANK(INDEX('glossaryterms-export'!I:I,_xlpm.rowNum))),"Ready to Fix",""))</f>
        <v/>
      </c>
      <c r="G898">
        <v>26</v>
      </c>
      <c r="H898">
        <v>24</v>
      </c>
      <c r="I898">
        <v>1.0833333333333299</v>
      </c>
      <c r="J898">
        <v>15.0416666666666</v>
      </c>
      <c r="K898">
        <v>73</v>
      </c>
    </row>
    <row r="899" spans="1:11" ht="77.25">
      <c r="A899">
        <v>898</v>
      </c>
      <c r="B899" s="16"/>
      <c r="C899" t="s">
        <v>957</v>
      </c>
      <c r="D899" s="1"/>
      <c r="E899" s="1" t="str">
        <f>_xlfn.REGEXREPLACE(C899, "(.*)\/$", "https://extremismterms.adl.org\1")</f>
        <v>https://extremismterms.adl.org/glossary/khalid-sheikh-mohammed</v>
      </c>
      <c r="F899" s="1" t="str" cm="1">
        <f t="array" ref="F899">_xlfn.LET(_xlpm.rowNum,MATCH(E899,'glossaryterms-export'!C:C,0),
IF(AND(NOT(ISBLANK(INDEX('glossaryterms-export'!H:H,_xlpm.rowNum))),ISBLANK(INDEX('glossaryterms-export'!I:I,_xlpm.rowNum))),"Ready to Fix",""))</f>
        <v/>
      </c>
      <c r="G899">
        <v>26</v>
      </c>
      <c r="H899">
        <v>21</v>
      </c>
      <c r="I899">
        <v>1.2380952380952299</v>
      </c>
      <c r="J899">
        <v>13.619047619047601</v>
      </c>
      <c r="K899">
        <v>60</v>
      </c>
    </row>
    <row r="900" spans="1:11" ht="77.25">
      <c r="A900">
        <v>899</v>
      </c>
      <c r="B900" s="16"/>
      <c r="C900" t="s">
        <v>958</v>
      </c>
      <c r="D900" s="1"/>
      <c r="E900" s="1" t="str">
        <f>_xlfn.REGEXREPLACE(C900, "(.*)\/$", "https://extremismterms.adl.org\1")</f>
        <v>https://extremismterms.adl.org/glossary/non-silba-sed-anthar</v>
      </c>
      <c r="F900" s="1" t="str" cm="1">
        <f t="array" ref="F900">_xlfn.LET(_xlpm.rowNum,MATCH(E900,'glossaryterms-export'!C:C,0),
IF(AND(NOT(ISBLANK(INDEX('glossaryterms-export'!H:H,_xlpm.rowNum))),ISBLANK(INDEX('glossaryterms-export'!I:I,_xlpm.rowNum))),"Ready to Fix",""))</f>
        <v>Ready to Fix</v>
      </c>
      <c r="G900">
        <v>26</v>
      </c>
      <c r="H900">
        <v>24</v>
      </c>
      <c r="I900">
        <v>1.0833333333333299</v>
      </c>
      <c r="J900">
        <v>12.0416666666666</v>
      </c>
      <c r="K900">
        <v>68</v>
      </c>
    </row>
    <row r="901" spans="1:11" ht="61.5">
      <c r="A901">
        <v>900</v>
      </c>
      <c r="B901" s="16"/>
      <c r="C901" t="s">
        <v>959</v>
      </c>
      <c r="D901" s="1"/>
      <c r="E901" s="1" t="str">
        <f>_xlfn.REGEXREPLACE(C901, "(.*)\/$", "https://extremismterms.adl.org\1")</f>
        <v>https://extremismterms.adl.org/glossary/patrick-little</v>
      </c>
      <c r="F901" s="1" t="str" cm="1">
        <f t="array" ref="F901">_xlfn.LET(_xlpm.rowNum,MATCH(E901,'glossaryterms-export'!C:C,0),
IF(AND(NOT(ISBLANK(INDEX('glossaryterms-export'!H:H,_xlpm.rowNum))),ISBLANK(INDEX('glossaryterms-export'!I:I,_xlpm.rowNum))),"Ready to Fix",""))</f>
        <v>Ready to Fix</v>
      </c>
      <c r="G901">
        <v>26</v>
      </c>
      <c r="H901">
        <v>26</v>
      </c>
      <c r="I901">
        <v>1</v>
      </c>
      <c r="J901">
        <v>14.576923076923</v>
      </c>
      <c r="K901">
        <v>71</v>
      </c>
    </row>
    <row r="902" spans="1:11" ht="61.5">
      <c r="A902">
        <v>901</v>
      </c>
      <c r="B902" s="14" t="s">
        <v>15</v>
      </c>
      <c r="C902" t="s">
        <v>960</v>
      </c>
      <c r="D902" s="1" t="s">
        <v>20</v>
      </c>
      <c r="E902" s="1" t="str">
        <f>_xlfn.REGEXREPLACE(C902, "(.*)\/$", "https://extremismterms.adl.org\1")</f>
        <v>https://extremismterms.adl.org/glossary/q-sent-meus</v>
      </c>
      <c r="F902" s="1" t="str" cm="1">
        <f t="array" ref="F902">_xlfn.LET(_xlpm.rowNum,MATCH(E902,'glossaryterms-export'!C:C,0),
IF(AND(NOT(ISBLANK(INDEX('glossaryterms-export'!H:H,_xlpm.rowNum))),ISBLANK(INDEX('glossaryterms-export'!I:I,_xlpm.rowNum))),"Ready to Fix",""))</f>
        <v/>
      </c>
      <c r="G902">
        <v>26</v>
      </c>
      <c r="H902">
        <v>21</v>
      </c>
      <c r="I902">
        <v>1.2380952380952299</v>
      </c>
      <c r="J902">
        <v>9.8571428571428505</v>
      </c>
      <c r="K902">
        <v>90</v>
      </c>
    </row>
    <row r="903" spans="1:11" ht="77.25">
      <c r="A903">
        <v>902</v>
      </c>
      <c r="B903" s="16"/>
      <c r="C903" t="s">
        <v>961</v>
      </c>
      <c r="D903" s="1"/>
      <c r="E903" s="1" t="str">
        <f>_xlfn.REGEXREPLACE(C903, "(.*)\/$", "https://extremismterms.adl.org\1")</f>
        <v>https://extremismterms.adl.org/glossary/shoe-bomber-richard-reid</v>
      </c>
      <c r="F903" s="1" t="str" cm="1">
        <f t="array" ref="F903">_xlfn.LET(_xlpm.rowNum,MATCH(E903,'glossaryterms-export'!C:C,0),
IF(AND(NOT(ISBLANK(INDEX('glossaryterms-export'!H:H,_xlpm.rowNum))),ISBLANK(INDEX('glossaryterms-export'!I:I,_xlpm.rowNum))),"Ready to Fix",""))</f>
        <v/>
      </c>
      <c r="G903">
        <v>26</v>
      </c>
      <c r="H903">
        <v>26</v>
      </c>
      <c r="I903">
        <v>1</v>
      </c>
      <c r="J903">
        <v>18.923076923076898</v>
      </c>
      <c r="K903">
        <v>96</v>
      </c>
    </row>
    <row r="904" spans="1:11" ht="61.5">
      <c r="A904">
        <v>903</v>
      </c>
      <c r="B904" s="16"/>
      <c r="C904" t="s">
        <v>962</v>
      </c>
      <c r="D904" s="1"/>
      <c r="E904" s="1" t="str">
        <f>_xlfn.REGEXREPLACE(C904, "(.*)\/$", "https://extremismterms.adl.org\1")</f>
        <v>https://extremismterms.adl.org/glossary/stop-steal-rallies</v>
      </c>
      <c r="F904" s="1" t="str" cm="1">
        <f t="array" ref="F904">_xlfn.LET(_xlpm.rowNum,MATCH(E904,'glossaryterms-export'!C:C,0),
IF(AND(NOT(ISBLANK(INDEX('glossaryterms-export'!H:H,_xlpm.rowNum))),ISBLANK(INDEX('glossaryterms-export'!I:I,_xlpm.rowNum))),"Ready to Fix",""))</f>
        <v/>
      </c>
      <c r="G904">
        <v>26</v>
      </c>
      <c r="H904">
        <v>24</v>
      </c>
      <c r="I904">
        <v>1.0833333333333299</v>
      </c>
      <c r="J904">
        <v>11.375</v>
      </c>
      <c r="K904">
        <v>67</v>
      </c>
    </row>
    <row r="905" spans="1:11" ht="77.25">
      <c r="A905">
        <v>904</v>
      </c>
      <c r="B905" s="16"/>
      <c r="C905" t="s">
        <v>963</v>
      </c>
      <c r="D905" s="1"/>
      <c r="E905" s="1" t="str">
        <f>_xlfn.REGEXREPLACE(C905, "(.*)\/$", "https://extremismterms.adl.org\1")</f>
        <v>https://extremismterms.adl.org/glossary/anti-abortion-extremism</v>
      </c>
      <c r="F905" s="1" t="str" cm="1">
        <f t="array" ref="F905">_xlfn.LET(_xlpm.rowNum,MATCH(E905,'glossaryterms-export'!C:C,0),
IF(AND(NOT(ISBLANK(INDEX('glossaryterms-export'!H:H,_xlpm.rowNum))),ISBLANK(INDEX('glossaryterms-export'!I:I,_xlpm.rowNum))),"Ready to Fix",""))</f>
        <v/>
      </c>
      <c r="G905">
        <v>25</v>
      </c>
      <c r="H905">
        <v>20</v>
      </c>
      <c r="I905">
        <v>1.25</v>
      </c>
      <c r="J905">
        <v>14.1</v>
      </c>
      <c r="K905">
        <v>73</v>
      </c>
    </row>
    <row r="906" spans="1:11" ht="77.25">
      <c r="A906">
        <v>905</v>
      </c>
      <c r="B906" s="16"/>
      <c r="C906" t="s">
        <v>964</v>
      </c>
      <c r="D906" s="1"/>
      <c r="E906" s="1" t="str">
        <f>_xlfn.REGEXREPLACE(C906, "(.*)\/$", "https://extremismterms.adl.org\1")</f>
        <v>https://extremismterms.adl.org/glossary/aryan-circle-hand-sign</v>
      </c>
      <c r="F906" s="1" t="str" cm="1">
        <f t="array" ref="F906">_xlfn.LET(_xlpm.rowNum,MATCH(E906,'glossaryterms-export'!C:C,0),
IF(AND(NOT(ISBLANK(INDEX('glossaryterms-export'!H:H,_xlpm.rowNum))),ISBLANK(INDEX('glossaryterms-export'!I:I,_xlpm.rowNum))),"Ready to Fix",""))</f>
        <v>Ready to Fix</v>
      </c>
      <c r="G906">
        <v>25</v>
      </c>
      <c r="H906">
        <v>24</v>
      </c>
      <c r="I906">
        <v>1.0416666666666601</v>
      </c>
      <c r="J906">
        <v>13.9583333333333</v>
      </c>
      <c r="K906">
        <v>52</v>
      </c>
    </row>
    <row r="907" spans="1:11" ht="77.25">
      <c r="A907">
        <v>906</v>
      </c>
      <c r="B907" s="16"/>
      <c r="C907" t="s">
        <v>965</v>
      </c>
      <c r="D907" s="1"/>
      <c r="E907" s="1" t="str">
        <f>_xlfn.REGEXREPLACE(C907, "(.*)\/$", "https://extremismterms.adl.org\1")</f>
        <v>https://extremismterms.adl.org/glossary/benjamin-matthew-williams</v>
      </c>
      <c r="F907" s="1" t="str" cm="1">
        <f t="array" ref="F907">_xlfn.LET(_xlpm.rowNum,MATCH(E907,'glossaryterms-export'!C:C,0),
IF(AND(NOT(ISBLANK(INDEX('glossaryterms-export'!H:H,_xlpm.rowNum))),ISBLANK(INDEX('glossaryterms-export'!I:I,_xlpm.rowNum))),"Ready to Fix",""))</f>
        <v/>
      </c>
      <c r="G907">
        <v>25</v>
      </c>
      <c r="H907">
        <v>24</v>
      </c>
      <c r="I907">
        <v>1.0416666666666601</v>
      </c>
      <c r="J907">
        <v>18.7083333333333</v>
      </c>
      <c r="K907">
        <v>64</v>
      </c>
    </row>
    <row r="908" spans="1:11" ht="77.25">
      <c r="A908">
        <v>907</v>
      </c>
      <c r="B908" s="16"/>
      <c r="C908" t="s">
        <v>966</v>
      </c>
      <c r="D908" s="1"/>
      <c r="E908" s="1" t="str">
        <f>_xlfn.REGEXREPLACE(C908, "(.*)\/$", "https://extremismterms.adl.org\1")</f>
        <v>https://extremismterms.adl.org/glossary/georgia-aryan-brotherhood</v>
      </c>
      <c r="F908" s="1" t="str" cm="1">
        <f t="array" ref="F908">_xlfn.LET(_xlpm.rowNum,MATCH(E908,'glossaryterms-export'!C:C,0),
IF(AND(NOT(ISBLANK(INDEX('glossaryterms-export'!H:H,_xlpm.rowNum))),ISBLANK(INDEX('glossaryterms-export'!I:I,_xlpm.rowNum))),"Ready to Fix",""))</f>
        <v>Ready to Fix</v>
      </c>
      <c r="G908">
        <v>25</v>
      </c>
      <c r="H908">
        <v>25</v>
      </c>
      <c r="I908">
        <v>1</v>
      </c>
      <c r="J908">
        <v>17.440000000000001</v>
      </c>
      <c r="K908">
        <v>61</v>
      </c>
    </row>
    <row r="909" spans="1:11" ht="61.5">
      <c r="A909">
        <v>908</v>
      </c>
      <c r="B909" s="16"/>
      <c r="C909" t="s">
        <v>967</v>
      </c>
      <c r="D909" s="1"/>
      <c r="E909" s="1" t="str">
        <f>_xlfn.REGEXREPLACE(C909, "(.*)\/$", "https://extremismterms.adl.org\1")</f>
        <v>https://extremismterms.adl.org/glossary/mark-koernke</v>
      </c>
      <c r="F909" s="1" t="str" cm="1">
        <f t="array" ref="F909">_xlfn.LET(_xlpm.rowNum,MATCH(E909,'glossaryterms-export'!C:C,0),
IF(AND(NOT(ISBLANK(INDEX('glossaryterms-export'!H:H,_xlpm.rowNum))),ISBLANK(INDEX('glossaryterms-export'!I:I,_xlpm.rowNum))),"Ready to Fix",""))</f>
        <v>Ready to Fix</v>
      </c>
      <c r="G909">
        <v>25</v>
      </c>
      <c r="H909">
        <v>23</v>
      </c>
      <c r="I909">
        <v>1.0869565217391299</v>
      </c>
      <c r="J909">
        <v>31.739130434782599</v>
      </c>
      <c r="K909">
        <v>87</v>
      </c>
    </row>
    <row r="910" spans="1:11" ht="77.25">
      <c r="A910">
        <v>909</v>
      </c>
      <c r="B910" s="16"/>
      <c r="C910" t="s">
        <v>968</v>
      </c>
      <c r="D910" s="1"/>
      <c r="E910" s="1" t="str">
        <f>_xlfn.REGEXREPLACE(C910, "(.*)\/$", "https://extremismterms.adl.org\1")</f>
        <v>https://extremismterms.adl.org/glossary/national-rebirth-poland</v>
      </c>
      <c r="F910" s="1" t="str" cm="1">
        <f t="array" ref="F910">_xlfn.LET(_xlpm.rowNum,MATCH(E910,'glossaryterms-export'!C:C,0),
IF(AND(NOT(ISBLANK(INDEX('glossaryterms-export'!H:H,_xlpm.rowNum))),ISBLANK(INDEX('glossaryterms-export'!I:I,_xlpm.rowNum))),"Ready to Fix",""))</f>
        <v>Ready to Fix</v>
      </c>
      <c r="G910">
        <v>25</v>
      </c>
      <c r="H910">
        <v>23</v>
      </c>
      <c r="I910">
        <v>1.0869565217391299</v>
      </c>
      <c r="J910">
        <v>8.9565217391304301</v>
      </c>
      <c r="K910">
        <v>57</v>
      </c>
    </row>
    <row r="911" spans="1:11" ht="61.5">
      <c r="A911">
        <v>910</v>
      </c>
      <c r="B911" s="16"/>
      <c r="C911" t="s">
        <v>969</v>
      </c>
      <c r="D911" s="1"/>
      <c r="E911" s="1" t="str">
        <f>_xlfn.REGEXREPLACE(C911, "(.*)\/$", "https://extremismterms.adl.org\1")</f>
        <v>https://extremismterms.adl.org/glossary/neo-reactionaries</v>
      </c>
      <c r="F911" s="1" t="str" cm="1">
        <f t="array" ref="F911">_xlfn.LET(_xlpm.rowNum,MATCH(E911,'glossaryterms-export'!C:C,0),
IF(AND(NOT(ISBLANK(INDEX('glossaryterms-export'!H:H,_xlpm.rowNum))),ISBLANK(INDEX('glossaryterms-export'!I:I,_xlpm.rowNum))),"Ready to Fix",""))</f>
        <v/>
      </c>
      <c r="G911">
        <v>25</v>
      </c>
      <c r="H911">
        <v>25</v>
      </c>
      <c r="I911">
        <v>1</v>
      </c>
      <c r="J911">
        <v>8.08</v>
      </c>
      <c r="K911">
        <v>74</v>
      </c>
    </row>
    <row r="912" spans="1:11" ht="92.25">
      <c r="A912">
        <v>911</v>
      </c>
      <c r="B912" s="16"/>
      <c r="C912" t="s">
        <v>970</v>
      </c>
      <c r="D912" s="1"/>
      <c r="E912" s="1" t="str">
        <f>_xlfn.REGEXREPLACE(C912, "(.*)\/$", "https://extremismterms.adl.org\1")</f>
        <v>https://extremismterms.adl.org/glossary/white-supremacist-prison-gang</v>
      </c>
      <c r="F912" s="1" t="str" cm="1">
        <f t="array" ref="F912">_xlfn.LET(_xlpm.rowNum,MATCH(E912,'glossaryterms-export'!C:C,0),
IF(AND(NOT(ISBLANK(INDEX('glossaryterms-export'!H:H,_xlpm.rowNum))),ISBLANK(INDEX('glossaryterms-export'!I:I,_xlpm.rowNum))),"Ready to Fix",""))</f>
        <v/>
      </c>
      <c r="G912">
        <v>25</v>
      </c>
      <c r="H912">
        <v>24</v>
      </c>
      <c r="I912">
        <v>1.0416666666666601</v>
      </c>
      <c r="J912">
        <v>14.625</v>
      </c>
      <c r="K912">
        <v>83</v>
      </c>
    </row>
    <row r="913" spans="1:11" ht="61.5">
      <c r="A913">
        <v>912</v>
      </c>
      <c r="B913" s="14" t="s">
        <v>15</v>
      </c>
      <c r="C913" t="s">
        <v>971</v>
      </c>
      <c r="D913" s="1" t="s">
        <v>20</v>
      </c>
      <c r="E913" s="1" t="str">
        <f>_xlfn.REGEXREPLACE(C913, "(.*)\/$", "https://extremismterms.adl.org\1")</f>
        <v>https://extremismterms.adl.org/glossary/3-stars</v>
      </c>
      <c r="F913" s="1" t="str" cm="1">
        <f t="array" ref="F913">_xlfn.LET(_xlpm.rowNum,MATCH(E913,'glossaryterms-export'!C:C,0),
IF(AND(NOT(ISBLANK(INDEX('glossaryterms-export'!H:H,_xlpm.rowNum))),ISBLANK(INDEX('glossaryterms-export'!I:I,_xlpm.rowNum))),"Ready to Fix",""))</f>
        <v/>
      </c>
      <c r="G913">
        <v>24</v>
      </c>
      <c r="H913">
        <v>24</v>
      </c>
      <c r="I913">
        <v>1</v>
      </c>
      <c r="J913">
        <v>8.1666666666666607</v>
      </c>
      <c r="K913">
        <v>61</v>
      </c>
    </row>
    <row r="914" spans="1:11" ht="77.25">
      <c r="A914">
        <v>913</v>
      </c>
      <c r="B914" s="16"/>
      <c r="C914" t="s">
        <v>972</v>
      </c>
      <c r="D914" s="1"/>
      <c r="E914" s="1" t="str">
        <f>_xlfn.REGEXREPLACE(C914, "(.*)\/$", "https://extremismterms.adl.org\1")</f>
        <v>https://extremismterms.adl.org/glossary/aryan-nations-worldwide</v>
      </c>
      <c r="F914" s="1" t="str" cm="1">
        <f t="array" ref="F914">_xlfn.LET(_xlpm.rowNum,MATCH(E914,'glossaryterms-export'!C:C,0),
IF(AND(NOT(ISBLANK(INDEX('glossaryterms-export'!H:H,_xlpm.rowNum))),ISBLANK(INDEX('glossaryterms-export'!I:I,_xlpm.rowNum))),"Ready to Fix",""))</f>
        <v/>
      </c>
      <c r="G914">
        <v>24</v>
      </c>
      <c r="H914">
        <v>22</v>
      </c>
      <c r="I914">
        <v>1.0909090909090899</v>
      </c>
      <c r="J914">
        <v>6.6363636363636296</v>
      </c>
      <c r="K914">
        <v>55</v>
      </c>
    </row>
    <row r="915" spans="1:11" ht="61.5">
      <c r="A915">
        <v>914</v>
      </c>
      <c r="B915" s="16"/>
      <c r="C915" t="s">
        <v>973</v>
      </c>
      <c r="D915" s="1"/>
      <c r="E915" s="1" t="str">
        <f>_xlfn.REGEXREPLACE(C915, "(.*)\/$", "https://extremismterms.adl.org\1")</f>
        <v>https://extremismterms.adl.org/glossary/blood-honour</v>
      </c>
      <c r="F915" s="1" t="str" cm="1">
        <f t="array" ref="F915">_xlfn.LET(_xlpm.rowNum,MATCH(E915,'glossaryterms-export'!C:C,0),
IF(AND(NOT(ISBLANK(INDEX('glossaryterms-export'!H:H,_xlpm.rowNum))),ISBLANK(INDEX('glossaryterms-export'!I:I,_xlpm.rowNum))),"Ready to Fix",""))</f>
        <v>Ready to Fix</v>
      </c>
      <c r="G915">
        <v>24</v>
      </c>
      <c r="H915">
        <v>23</v>
      </c>
      <c r="I915">
        <v>1.0434782608695601</v>
      </c>
      <c r="J915">
        <v>13.695652173913</v>
      </c>
      <c r="K915">
        <v>63</v>
      </c>
    </row>
    <row r="916" spans="1:11" ht="61.5">
      <c r="A916">
        <v>915</v>
      </c>
      <c r="B916" s="16"/>
      <c r="C916" t="s">
        <v>974</v>
      </c>
      <c r="D916" s="1"/>
      <c r="E916" s="1" t="str">
        <f>_xlfn.REGEXREPLACE(C916, "(.*)\/$", "https://extremismterms.adl.org\1")</f>
        <v>https://extremismterms.adl.org/glossary/dabiq</v>
      </c>
      <c r="F916" s="1" t="str" cm="1">
        <f t="array" ref="F916">_xlfn.LET(_xlpm.rowNum,MATCH(E916,'glossaryterms-export'!C:C,0),
IF(AND(NOT(ISBLANK(INDEX('glossaryterms-export'!H:H,_xlpm.rowNum))),ISBLANK(INDEX('glossaryterms-export'!I:I,_xlpm.rowNum))),"Ready to Fix",""))</f>
        <v>Ready to Fix</v>
      </c>
      <c r="G916">
        <v>24</v>
      </c>
      <c r="H916">
        <v>22</v>
      </c>
      <c r="I916">
        <v>1.0909090909090899</v>
      </c>
      <c r="J916">
        <v>16.818181818181799</v>
      </c>
      <c r="K916">
        <v>52</v>
      </c>
    </row>
    <row r="917" spans="1:11" ht="77.25">
      <c r="A917">
        <v>916</v>
      </c>
      <c r="B917" s="16"/>
      <c r="C917" t="s">
        <v>975</v>
      </c>
      <c r="D917" s="1"/>
      <c r="E917" s="1" t="str">
        <f>_xlfn.REGEXREPLACE(C917, "(.*)\/$", "https://extremismterms.adl.org\1")</f>
        <v>https://extremismterms.adl.org/glossary/disinformation-necessary</v>
      </c>
      <c r="F917" s="1" t="str" cm="1">
        <f t="array" ref="F917">_xlfn.LET(_xlpm.rowNum,MATCH(E917,'glossaryterms-export'!C:C,0),
IF(AND(NOT(ISBLANK(INDEX('glossaryterms-export'!H:H,_xlpm.rowNum))),ISBLANK(INDEX('glossaryterms-export'!I:I,_xlpm.rowNum))),"Ready to Fix",""))</f>
        <v/>
      </c>
      <c r="G917">
        <v>24</v>
      </c>
      <c r="H917">
        <v>22</v>
      </c>
      <c r="I917">
        <v>1.0909090909090899</v>
      </c>
      <c r="J917">
        <v>7.7272727272727204</v>
      </c>
      <c r="K917">
        <v>59</v>
      </c>
    </row>
    <row r="918" spans="1:11" ht="61.5">
      <c r="A918">
        <v>917</v>
      </c>
      <c r="B918" s="16"/>
      <c r="C918" t="s">
        <v>976</v>
      </c>
      <c r="D918" s="1"/>
      <c r="E918" s="1" t="str">
        <f>_xlfn.REGEXREPLACE(C918, "(.*)\/$", "https://extremismterms.adl.org\1")</f>
        <v>https://extremismterms.adl.org/glossary/maurice-diggins</v>
      </c>
      <c r="F918" s="1" t="str" cm="1">
        <f t="array" ref="F918">_xlfn.LET(_xlpm.rowNum,MATCH(E918,'glossaryterms-export'!C:C,0),
IF(AND(NOT(ISBLANK(INDEX('glossaryterms-export'!H:H,_xlpm.rowNum))),ISBLANK(INDEX('glossaryterms-export'!I:I,_xlpm.rowNum))),"Ready to Fix",""))</f>
        <v/>
      </c>
      <c r="G918">
        <v>24</v>
      </c>
      <c r="H918">
        <v>23</v>
      </c>
      <c r="I918">
        <v>1.0434782608695601</v>
      </c>
      <c r="J918">
        <v>16.2173913043478</v>
      </c>
      <c r="K918">
        <v>73</v>
      </c>
    </row>
    <row r="919" spans="1:11" ht="61.5">
      <c r="A919">
        <v>918</v>
      </c>
      <c r="B919" s="16"/>
      <c r="C919" t="s">
        <v>977</v>
      </c>
      <c r="D919" s="1"/>
      <c r="E919" s="1" t="str">
        <f>_xlfn.REGEXREPLACE(C919, "(.*)\/$", "https://extremismterms.adl.org\1")</f>
        <v>https://extremismterms.adl.org/glossary/sacco-vandal</v>
      </c>
      <c r="F919" s="1" t="str" cm="1">
        <f t="array" ref="F919">_xlfn.LET(_xlpm.rowNum,MATCH(E919,'glossaryterms-export'!C:C,0),
IF(AND(NOT(ISBLANK(INDEX('glossaryterms-export'!H:H,_xlpm.rowNum))),ISBLANK(INDEX('glossaryterms-export'!I:I,_xlpm.rowNum))),"Ready to Fix",""))</f>
        <v/>
      </c>
      <c r="G919">
        <v>24</v>
      </c>
      <c r="H919">
        <v>19</v>
      </c>
      <c r="I919">
        <v>1.26315789473684</v>
      </c>
      <c r="J919">
        <v>14.2631578947368</v>
      </c>
      <c r="K919">
        <v>86</v>
      </c>
    </row>
    <row r="920" spans="1:11" ht="77.25">
      <c r="A920">
        <v>919</v>
      </c>
      <c r="B920" s="16"/>
      <c r="C920" t="s">
        <v>978</v>
      </c>
      <c r="D920" s="1"/>
      <c r="E920" s="1" t="str">
        <f>_xlfn.REGEXREPLACE(C920, "(.*)\/$", "https://extremismterms.adl.org\1")</f>
        <v>https://extremismterms.adl.org/glossary/shariashariahshariashariah-0</v>
      </c>
      <c r="F920" s="1" t="str" cm="1">
        <f t="array" ref="F920">_xlfn.LET(_xlpm.rowNum,MATCH(E920,'glossaryterms-export'!C:C,0),
IF(AND(NOT(ISBLANK(INDEX('glossaryterms-export'!H:H,_xlpm.rowNum))),ISBLANK(INDEX('glossaryterms-export'!I:I,_xlpm.rowNum))),"Ready to Fix",""))</f>
        <v/>
      </c>
      <c r="G920">
        <v>24</v>
      </c>
      <c r="H920">
        <v>23</v>
      </c>
      <c r="I920">
        <v>1.0434782608695601</v>
      </c>
      <c r="J920">
        <v>20.434782608695599</v>
      </c>
      <c r="K920">
        <v>59</v>
      </c>
    </row>
    <row r="921" spans="1:11" ht="61.5">
      <c r="A921">
        <v>920</v>
      </c>
      <c r="B921" s="16"/>
      <c r="C921" t="s">
        <v>979</v>
      </c>
      <c r="D921" s="1"/>
      <c r="E921" s="1" t="str">
        <f>_xlfn.REGEXREPLACE(C921, "(.*)\/$", "https://extremismterms.adl.org\1")</f>
        <v>https://extremismterms.adl.org/glossary/taliban</v>
      </c>
      <c r="F921" s="1" t="str" cm="1">
        <f t="array" ref="F921">_xlfn.LET(_xlpm.rowNum,MATCH(E921,'glossaryterms-export'!C:C,0),
IF(AND(NOT(ISBLANK(INDEX('glossaryterms-export'!H:H,_xlpm.rowNum))),ISBLANK(INDEX('glossaryterms-export'!I:I,_xlpm.rowNum))),"Ready to Fix",""))</f>
        <v/>
      </c>
      <c r="G921">
        <v>24</v>
      </c>
      <c r="H921">
        <v>17</v>
      </c>
      <c r="I921">
        <v>1.4117647058823499</v>
      </c>
      <c r="J921">
        <v>26.823529411764699</v>
      </c>
      <c r="K921">
        <v>75</v>
      </c>
    </row>
    <row r="922" spans="1:11" ht="61.5">
      <c r="A922">
        <v>921</v>
      </c>
      <c r="B922" s="16"/>
      <c r="C922" t="s">
        <v>980</v>
      </c>
      <c r="D922" s="1"/>
      <c r="E922" s="1" t="str">
        <f>_xlfn.REGEXREPLACE(C922, "(.*)\/$", "https://extremismterms.adl.org\1")</f>
        <v>https://extremismterms.adl.org/glossary/thomas-robb</v>
      </c>
      <c r="F922" s="1" t="str" cm="1">
        <f t="array" ref="F922">_xlfn.LET(_xlpm.rowNum,MATCH(E922,'glossaryterms-export'!C:C,0),
IF(AND(NOT(ISBLANK(INDEX('glossaryterms-export'!H:H,_xlpm.rowNum))),ISBLANK(INDEX('glossaryterms-export'!I:I,_xlpm.rowNum))),"Ready to Fix",""))</f>
        <v/>
      </c>
      <c r="G922">
        <v>24</v>
      </c>
      <c r="H922">
        <v>22</v>
      </c>
      <c r="I922">
        <v>1.0909090909090899</v>
      </c>
      <c r="J922">
        <v>13.636363636363599</v>
      </c>
      <c r="K922">
        <v>72</v>
      </c>
    </row>
    <row r="923" spans="1:11" ht="77.25">
      <c r="A923">
        <v>922</v>
      </c>
      <c r="B923" s="16"/>
      <c r="C923" t="s">
        <v>981</v>
      </c>
      <c r="D923" s="1"/>
      <c r="E923" s="1" t="str">
        <f>_xlfn.REGEXREPLACE(C923, "(.*)\/$", "https://extremismterms.adl.org\1")</f>
        <v>https://extremismterms.adl.org/glossary/traditionalist-youth-network</v>
      </c>
      <c r="F923" s="1" t="str" cm="1">
        <f t="array" ref="F923">_xlfn.LET(_xlpm.rowNum,MATCH(E923,'glossaryterms-export'!C:C,0),
IF(AND(NOT(ISBLANK(INDEX('glossaryterms-export'!H:H,_xlpm.rowNum))),ISBLANK(INDEX('glossaryterms-export'!I:I,_xlpm.rowNum))),"Ready to Fix",""))</f>
        <v>Ready to Fix</v>
      </c>
      <c r="G923">
        <v>24</v>
      </c>
      <c r="H923">
        <v>19</v>
      </c>
      <c r="I923">
        <v>1.26315789473684</v>
      </c>
      <c r="J923">
        <v>18.368421052631501</v>
      </c>
      <c r="K923">
        <v>59</v>
      </c>
    </row>
    <row r="924" spans="1:11" ht="46.5">
      <c r="A924">
        <v>923</v>
      </c>
      <c r="B924" s="16"/>
      <c r="C924" t="s">
        <v>982</v>
      </c>
      <c r="D924" s="1"/>
      <c r="E924" s="1" t="str">
        <f>_xlfn.REGEXREPLACE(C924, "(.*)\/$", "https://extremismterms.adl.org\1")</f>
        <v>https://extremismterms.adl.org/glossary/38</v>
      </c>
      <c r="F924" s="1" t="str" cm="1">
        <f t="array" ref="F924">_xlfn.LET(_xlpm.rowNum,MATCH(E924,'glossaryterms-export'!C:C,0),
IF(AND(NOT(ISBLANK(INDEX('glossaryterms-export'!H:H,_xlpm.rowNum))),ISBLANK(INDEX('glossaryterms-export'!I:I,_xlpm.rowNum))),"Ready to Fix",""))</f>
        <v>Ready to Fix</v>
      </c>
      <c r="G924">
        <v>23</v>
      </c>
      <c r="H924">
        <v>19</v>
      </c>
      <c r="I924">
        <v>1.2105263157894699</v>
      </c>
      <c r="J924">
        <v>13.736842105263101</v>
      </c>
      <c r="K924">
        <v>68</v>
      </c>
    </row>
    <row r="925" spans="1:11" ht="46.5">
      <c r="A925">
        <v>924</v>
      </c>
      <c r="B925" s="16"/>
      <c r="C925" t="s">
        <v>983</v>
      </c>
      <c r="D925" s="1"/>
      <c r="E925" s="1" t="str">
        <f>_xlfn.REGEXREPLACE(C925, "(.*)\/$", "https://extremismterms.adl.org\1")</f>
        <v>https://extremismterms.adl.org/glossary/9</v>
      </c>
      <c r="F925" s="1" t="str" cm="1">
        <f t="array" ref="F925">_xlfn.LET(_xlpm.rowNum,MATCH(E925,'glossaryterms-export'!C:C,0),
IF(AND(NOT(ISBLANK(INDEX('glossaryterms-export'!H:H,_xlpm.rowNum))),ISBLANK(INDEX('glossaryterms-export'!I:I,_xlpm.rowNum))),"Ready to Fix",""))</f>
        <v>Ready to Fix</v>
      </c>
      <c r="G925">
        <v>23</v>
      </c>
      <c r="H925">
        <v>23</v>
      </c>
      <c r="I925">
        <v>1</v>
      </c>
      <c r="J925">
        <v>3.52173913043478</v>
      </c>
      <c r="K925">
        <v>41</v>
      </c>
    </row>
    <row r="926" spans="1:11" ht="77.25">
      <c r="A926">
        <v>925</v>
      </c>
      <c r="B926" s="16"/>
      <c r="C926" t="s">
        <v>984</v>
      </c>
      <c r="D926" s="1"/>
      <c r="E926" s="1" t="str">
        <f>_xlfn.REGEXREPLACE(C926, "(.*)\/$", "https://extremismterms.adl.org\1")</f>
        <v>https://extremismterms.adl.org/glossary/american-identity-movement</v>
      </c>
      <c r="F926" s="1" t="str" cm="1">
        <f t="array" ref="F926">_xlfn.LET(_xlpm.rowNum,MATCH(E926,'glossaryterms-export'!C:C,0),
IF(AND(NOT(ISBLANK(INDEX('glossaryterms-export'!H:H,_xlpm.rowNum))),ISBLANK(INDEX('glossaryterms-export'!I:I,_xlpm.rowNum))),"Ready to Fix",""))</f>
        <v>Ready to Fix</v>
      </c>
      <c r="G926">
        <v>23</v>
      </c>
      <c r="H926">
        <v>20</v>
      </c>
      <c r="I926">
        <v>1.1499999999999999</v>
      </c>
      <c r="J926">
        <v>60.55</v>
      </c>
      <c r="K926">
        <v>74</v>
      </c>
    </row>
    <row r="927" spans="1:11" ht="77.25">
      <c r="A927">
        <v>926</v>
      </c>
      <c r="B927" s="16"/>
      <c r="C927" t="s">
        <v>985</v>
      </c>
      <c r="D927" s="1"/>
      <c r="E927" s="1" t="str">
        <f>_xlfn.REGEXREPLACE(C927, "(.*)\/$", "https://extremismterms.adl.org\1")</f>
        <v>https://extremismterms.adl.org/glossary/american-patriots-usa</v>
      </c>
      <c r="F927" s="1" t="str" cm="1">
        <f t="array" ref="F927">_xlfn.LET(_xlpm.rowNum,MATCH(E927,'glossaryterms-export'!C:C,0),
IF(AND(NOT(ISBLANK(INDEX('glossaryterms-export'!H:H,_xlpm.rowNum))),ISBLANK(INDEX('glossaryterms-export'!I:I,_xlpm.rowNum))),"Ready to Fix",""))</f>
        <v>Ready to Fix</v>
      </c>
      <c r="G927">
        <v>23</v>
      </c>
      <c r="H927">
        <v>22</v>
      </c>
      <c r="I927">
        <v>1.0454545454545401</v>
      </c>
      <c r="J927">
        <v>18.772727272727199</v>
      </c>
      <c r="K927">
        <v>60</v>
      </c>
    </row>
    <row r="928" spans="1:11" ht="77.25">
      <c r="A928">
        <v>927</v>
      </c>
      <c r="B928" s="16"/>
      <c r="C928" t="s">
        <v>986</v>
      </c>
      <c r="D928" s="1"/>
      <c r="E928" s="1" t="str">
        <f>_xlfn.REGEXREPLACE(C928, "(.*)\/$", "https://extremismterms.adl.org\1")</f>
        <v>https://extremismterms.adl.org/glossary/crossed-grenades-symbol</v>
      </c>
      <c r="F928" s="1" t="str" cm="1">
        <f t="array" ref="F928">_xlfn.LET(_xlpm.rowNum,MATCH(E928,'glossaryterms-export'!C:C,0),
IF(AND(NOT(ISBLANK(INDEX('glossaryterms-export'!H:H,_xlpm.rowNum))),ISBLANK(INDEX('glossaryterms-export'!I:I,_xlpm.rowNum))),"Ready to Fix",""))</f>
        <v>Ready to Fix</v>
      </c>
      <c r="G928">
        <v>23</v>
      </c>
      <c r="H928">
        <v>23</v>
      </c>
      <c r="I928">
        <v>1</v>
      </c>
      <c r="J928">
        <v>13.695652173913</v>
      </c>
      <c r="K928">
        <v>61</v>
      </c>
    </row>
    <row r="929" spans="1:11" ht="61.5">
      <c r="A929">
        <v>928</v>
      </c>
      <c r="B929" s="16"/>
      <c r="C929" t="s">
        <v>987</v>
      </c>
      <c r="D929" s="1"/>
      <c r="E929" s="1" t="str">
        <f>_xlfn.REGEXREPLACE(C929, "(.*)\/$", "https://extremismterms.adl.org\1")</f>
        <v>https://extremismterms.adl.org/glossary/fascist-forge</v>
      </c>
      <c r="F929" s="1" t="str" cm="1">
        <f t="array" ref="F929">_xlfn.LET(_xlpm.rowNum,MATCH(E929,'glossaryterms-export'!C:C,0),
IF(AND(NOT(ISBLANK(INDEX('glossaryterms-export'!H:H,_xlpm.rowNum))),ISBLANK(INDEX('glossaryterms-export'!I:I,_xlpm.rowNum))),"Ready to Fix",""))</f>
        <v>Ready to Fix</v>
      </c>
      <c r="G929">
        <v>23</v>
      </c>
      <c r="H929">
        <v>22</v>
      </c>
      <c r="I929">
        <v>1.0454545454545401</v>
      </c>
      <c r="J929">
        <v>12.136363636363599</v>
      </c>
      <c r="K929">
        <v>56</v>
      </c>
    </row>
    <row r="930" spans="1:11" ht="61.5">
      <c r="A930">
        <v>929</v>
      </c>
      <c r="B930" s="16"/>
      <c r="C930" t="s">
        <v>988</v>
      </c>
      <c r="D930" s="1"/>
      <c r="E930" s="1" t="str">
        <f>_xlfn.REGEXREPLACE(C930, "(.*)\/$", "https://extremismterms.adl.org\1")</f>
        <v>https://extremismterms.adl.org/glossary/joey-gibson</v>
      </c>
      <c r="F930" s="1" t="str" cm="1">
        <f t="array" ref="F930">_xlfn.LET(_xlpm.rowNum,MATCH(E930,'glossaryterms-export'!C:C,0),
IF(AND(NOT(ISBLANK(INDEX('glossaryterms-export'!H:H,_xlpm.rowNum))),ISBLANK(INDEX('glossaryterms-export'!I:I,_xlpm.rowNum))),"Ready to Fix",""))</f>
        <v/>
      </c>
      <c r="G930">
        <v>23</v>
      </c>
      <c r="H930">
        <v>22</v>
      </c>
      <c r="I930">
        <v>1.0454545454545401</v>
      </c>
      <c r="J930">
        <v>14.318181818181801</v>
      </c>
      <c r="K930">
        <v>57</v>
      </c>
    </row>
    <row r="931" spans="1:11" ht="61.5">
      <c r="A931">
        <v>930</v>
      </c>
      <c r="B931" s="16"/>
      <c r="C931" t="s">
        <v>989</v>
      </c>
      <c r="D931" s="1"/>
      <c r="E931" s="1" t="str">
        <f>_xlfn.REGEXREPLACE(C931, "(.*)\/$", "https://extremismterms.adl.org\1")</f>
        <v>https://extremismterms.adl.org/glossary/john-morgan</v>
      </c>
      <c r="F931" s="1" t="str" cm="1">
        <f t="array" ref="F931">_xlfn.LET(_xlpm.rowNum,MATCH(E931,'glossaryterms-export'!C:C,0),
IF(AND(NOT(ISBLANK(INDEX('glossaryterms-export'!H:H,_xlpm.rowNum))),ISBLANK(INDEX('glossaryterms-export'!I:I,_xlpm.rowNum))),"Ready to Fix",""))</f>
        <v>Ready to Fix</v>
      </c>
      <c r="G931">
        <v>23</v>
      </c>
      <c r="H931">
        <v>22</v>
      </c>
      <c r="I931">
        <v>1.0454545454545401</v>
      </c>
      <c r="J931">
        <v>8.8636363636363598</v>
      </c>
      <c r="K931">
        <v>77</v>
      </c>
    </row>
    <row r="932" spans="1:11" ht="61.5">
      <c r="A932">
        <v>931</v>
      </c>
      <c r="B932" s="16"/>
      <c r="C932" t="s">
        <v>990</v>
      </c>
      <c r="D932" s="1"/>
      <c r="E932" s="1" t="str">
        <f>_xlfn.REGEXREPLACE(C932, "(.*)\/$", "https://extremismterms.adl.org\1")</f>
        <v>https://extremismterms.adl.org/glossary/muh-holocaust</v>
      </c>
      <c r="F932" s="1" t="str" cm="1">
        <f t="array" ref="F932">_xlfn.LET(_xlpm.rowNum,MATCH(E932,'glossaryterms-export'!C:C,0),
IF(AND(NOT(ISBLANK(INDEX('glossaryterms-export'!H:H,_xlpm.rowNum))),ISBLANK(INDEX('glossaryterms-export'!I:I,_xlpm.rowNum))),"Ready to Fix",""))</f>
        <v>Ready to Fix</v>
      </c>
      <c r="G932">
        <v>23</v>
      </c>
      <c r="H932">
        <v>21</v>
      </c>
      <c r="I932">
        <v>1.09523809523809</v>
      </c>
      <c r="J932">
        <v>5.9047619047618998</v>
      </c>
      <c r="K932">
        <v>52</v>
      </c>
    </row>
    <row r="933" spans="1:11" ht="61.5">
      <c r="A933">
        <v>932</v>
      </c>
      <c r="B933" s="16"/>
      <c r="C933" t="s">
        <v>991</v>
      </c>
      <c r="D933" s="1"/>
      <c r="E933" s="1" t="str">
        <f>_xlfn.REGEXREPLACE(C933, "(.*)\/$", "https://extremismterms.adl.org\1")</f>
        <v>https://extremismterms.adl.org/glossary/mymilitia</v>
      </c>
      <c r="F933" s="1" t="str" cm="1">
        <f t="array" ref="F933">_xlfn.LET(_xlpm.rowNum,MATCH(E933,'glossaryterms-export'!C:C,0),
IF(AND(NOT(ISBLANK(INDEX('glossaryterms-export'!H:H,_xlpm.rowNum))),ISBLANK(INDEX('glossaryterms-export'!I:I,_xlpm.rowNum))),"Ready to Fix",""))</f>
        <v/>
      </c>
      <c r="G933">
        <v>23</v>
      </c>
      <c r="H933">
        <v>22</v>
      </c>
      <c r="I933">
        <v>1.0454545454545401</v>
      </c>
      <c r="J933">
        <v>16</v>
      </c>
      <c r="K933">
        <v>86</v>
      </c>
    </row>
    <row r="934" spans="1:11" ht="77.25">
      <c r="A934">
        <v>933</v>
      </c>
      <c r="B934" s="16"/>
      <c r="C934" t="s">
        <v>992</v>
      </c>
      <c r="D934" s="1"/>
      <c r="E934" s="1" t="str">
        <f>_xlfn.REGEXREPLACE(C934, "(.*)\/$", "https://extremismterms.adl.org\1")</f>
        <v>https://extremismterms.adl.org/glossary/nazi-party-flag-symbol</v>
      </c>
      <c r="F934" s="1" t="str" cm="1">
        <f t="array" ref="F934">_xlfn.LET(_xlpm.rowNum,MATCH(E934,'glossaryterms-export'!C:C,0),
IF(AND(NOT(ISBLANK(INDEX('glossaryterms-export'!H:H,_xlpm.rowNum))),ISBLANK(INDEX('glossaryterms-export'!I:I,_xlpm.rowNum))),"Ready to Fix",""))</f>
        <v>Ready to Fix</v>
      </c>
      <c r="G934">
        <v>23</v>
      </c>
      <c r="H934">
        <v>21</v>
      </c>
      <c r="I934">
        <v>1.09523809523809</v>
      </c>
      <c r="J934">
        <v>9.3809523809523796</v>
      </c>
      <c r="K934">
        <v>53</v>
      </c>
    </row>
    <row r="935" spans="1:11" ht="77.25">
      <c r="A935">
        <v>934</v>
      </c>
      <c r="B935" s="16"/>
      <c r="C935" t="s">
        <v>993</v>
      </c>
      <c r="D935" s="1"/>
      <c r="E935" s="1" t="str">
        <f>_xlfn.REGEXREPLACE(C935, "(.*)\/$", "https://extremismterms.adl.org\1")</f>
        <v>https://extremismterms.adl.org/glossary/silent-aryan-warriors</v>
      </c>
      <c r="F935" s="1" t="str" cm="1">
        <f t="array" ref="F935">_xlfn.LET(_xlpm.rowNum,MATCH(E935,'glossaryterms-export'!C:C,0),
IF(AND(NOT(ISBLANK(INDEX('glossaryterms-export'!H:H,_xlpm.rowNum))),ISBLANK(INDEX('glossaryterms-export'!I:I,_xlpm.rowNum))),"Ready to Fix",""))</f>
        <v>Ready to Fix</v>
      </c>
      <c r="G935">
        <v>23</v>
      </c>
      <c r="H935">
        <v>22</v>
      </c>
      <c r="I935">
        <v>1.0454545454545401</v>
      </c>
      <c r="J935">
        <v>15.909090909090899</v>
      </c>
      <c r="K935">
        <v>53</v>
      </c>
    </row>
    <row r="936" spans="1:11" ht="61.5">
      <c r="A936">
        <v>935</v>
      </c>
      <c r="B936" s="16"/>
      <c r="C936" t="s">
        <v>994</v>
      </c>
      <c r="D936" s="1"/>
      <c r="E936" s="1" t="str">
        <f>_xlfn.REGEXREPLACE(C936, "(.*)\/$", "https://extremismterms.adl.org\1")</f>
        <v>https://extremismterms.adl.org/glossary/Y-vote</v>
      </c>
      <c r="F936" s="1" t="str" cm="1">
        <f t="array" ref="F936">_xlfn.LET(_xlpm.rowNum,MATCH(E936,'glossaryterms-export'!C:C,0),
IF(AND(NOT(ISBLANK(INDEX('glossaryterms-export'!H:H,_xlpm.rowNum))),ISBLANK(INDEX('glossaryterms-export'!I:I,_xlpm.rowNum))),"Ready to Fix",""))</f>
        <v/>
      </c>
      <c r="G936">
        <v>23</v>
      </c>
      <c r="H936">
        <v>22</v>
      </c>
      <c r="I936">
        <v>1.0454545454545401</v>
      </c>
      <c r="J936">
        <v>21.272727272727199</v>
      </c>
      <c r="K936">
        <v>69</v>
      </c>
    </row>
    <row r="937" spans="1:11" ht="92.25">
      <c r="A937">
        <v>936</v>
      </c>
      <c r="B937" s="16"/>
      <c r="C937" t="s">
        <v>995</v>
      </c>
      <c r="D937" s="1"/>
      <c r="E937" s="1" t="str">
        <f>_xlfn.REGEXREPLACE(C937, "(.*)\/$", "https://extremismterms.adl.org\1")</f>
        <v>https://extremismterms.adl.org/glossary/united-society-aryan-skinheads-usas</v>
      </c>
      <c r="F937" s="1" t="str" cm="1">
        <f t="array" ref="F937">_xlfn.LET(_xlpm.rowNum,MATCH(E937,'glossaryterms-export'!C:C,0),
IF(AND(NOT(ISBLANK(INDEX('glossaryterms-export'!H:H,_xlpm.rowNum))),ISBLANK(INDEX('glossaryterms-export'!I:I,_xlpm.rowNum))),"Ready to Fix",""))</f>
        <v/>
      </c>
      <c r="G937">
        <v>23</v>
      </c>
      <c r="H937">
        <v>18</v>
      </c>
      <c r="I937">
        <v>1.2777777777777699</v>
      </c>
      <c r="J937">
        <v>26.8333333333333</v>
      </c>
      <c r="K937">
        <v>67</v>
      </c>
    </row>
    <row r="938" spans="1:11" ht="61.5">
      <c r="A938">
        <v>937</v>
      </c>
      <c r="B938" s="16"/>
      <c r="C938" t="s">
        <v>996</v>
      </c>
      <c r="D938" s="1"/>
      <c r="E938" s="1" t="str">
        <f>_xlfn.REGEXREPLACE(C938, "(.*)\/$", "https://extremismterms.adl.org\1")</f>
        <v>https://extremismterms.adl.org/glossary/volksfront</v>
      </c>
      <c r="F938" s="1" t="str" cm="1">
        <f t="array" ref="F938">_xlfn.LET(_xlpm.rowNum,MATCH(E938,'glossaryterms-export'!C:C,0),
IF(AND(NOT(ISBLANK(INDEX('glossaryterms-export'!H:H,_xlpm.rowNum))),ISBLANK(INDEX('glossaryterms-export'!I:I,_xlpm.rowNum))),"Ready to Fix",""))</f>
        <v/>
      </c>
      <c r="G938">
        <v>23</v>
      </c>
      <c r="H938">
        <v>23</v>
      </c>
      <c r="I938">
        <v>1</v>
      </c>
      <c r="J938">
        <v>15.043478260869501</v>
      </c>
      <c r="K938">
        <v>66</v>
      </c>
    </row>
    <row r="939" spans="1:11" ht="61.5">
      <c r="A939">
        <v>938</v>
      </c>
      <c r="B939" s="32" t="s">
        <v>124</v>
      </c>
      <c r="C939" t="s">
        <v>997</v>
      </c>
      <c r="D939" s="1" t="s">
        <v>20</v>
      </c>
      <c r="E939" s="1" t="str">
        <f>_xlfn.REGEXREPLACE(C939, "(.*)\/$", "https://extremismterms.adl.org\1")</f>
        <v>https://extremismterms.adl.org/glossary/winston-shrout</v>
      </c>
      <c r="F939" s="1" t="str" cm="1">
        <f t="array" ref="F939">_xlfn.LET(_xlpm.rowNum,MATCH(E939,'glossaryterms-export'!C:C,0),
IF(AND(NOT(ISBLANK(INDEX('glossaryterms-export'!H:H,_xlpm.rowNum))),ISBLANK(INDEX('glossaryterms-export'!I:I,_xlpm.rowNum))),"Ready to Fix",""))</f>
        <v/>
      </c>
      <c r="G939">
        <v>23</v>
      </c>
      <c r="H939">
        <v>23</v>
      </c>
      <c r="I939">
        <v>1</v>
      </c>
      <c r="J939">
        <v>13.173913043478199</v>
      </c>
      <c r="K939">
        <v>74</v>
      </c>
    </row>
    <row r="940" spans="1:11" ht="61.5">
      <c r="A940">
        <v>939</v>
      </c>
      <c r="B940" s="16"/>
      <c r="C940" t="s">
        <v>998</v>
      </c>
      <c r="D940" s="1"/>
      <c r="E940" s="1" t="str">
        <f>_xlfn.REGEXREPLACE(C940, "(.*)\/$", "https://extremismterms.adl.org\1")</f>
        <v>https://extremismterms.adl.org/glossary/amaq-media</v>
      </c>
      <c r="F940" s="1" t="str" cm="1">
        <f t="array" ref="F940">_xlfn.LET(_xlpm.rowNum,MATCH(E940,'glossaryterms-export'!C:C,0),
IF(AND(NOT(ISBLANK(INDEX('glossaryterms-export'!H:H,_xlpm.rowNum))),ISBLANK(INDEX('glossaryterms-export'!I:I,_xlpm.rowNum))),"Ready to Fix",""))</f>
        <v/>
      </c>
      <c r="G940">
        <v>22</v>
      </c>
      <c r="H940">
        <v>19</v>
      </c>
      <c r="I940">
        <v>1.1578947368421</v>
      </c>
      <c r="J940">
        <v>4.8421052631578902</v>
      </c>
      <c r="K940">
        <v>55</v>
      </c>
    </row>
    <row r="941" spans="1:11" ht="61.5">
      <c r="A941">
        <v>940</v>
      </c>
      <c r="B941" s="16"/>
      <c r="C941" t="s">
        <v>999</v>
      </c>
      <c r="D941" s="1"/>
      <c r="E941" s="1" t="str">
        <f>_xlfn.REGEXREPLACE(C941, "(.*)\/$", "https://extremismterms.adl.org\1")</f>
        <v>https://extremismterms.adl.org/glossary/anwar-al-awlaki</v>
      </c>
      <c r="F941" s="1" t="str" cm="1">
        <f t="array" ref="F941">_xlfn.LET(_xlpm.rowNum,MATCH(E941,'glossaryterms-export'!C:C,0),
IF(AND(NOT(ISBLANK(INDEX('glossaryterms-export'!H:H,_xlpm.rowNum))),ISBLANK(INDEX('glossaryterms-export'!I:I,_xlpm.rowNum))),"Ready to Fix",""))</f>
        <v/>
      </c>
      <c r="G941">
        <v>22</v>
      </c>
      <c r="H941">
        <v>20</v>
      </c>
      <c r="I941">
        <v>1.1000000000000001</v>
      </c>
      <c r="J941">
        <v>8.1999999999999993</v>
      </c>
      <c r="K941">
        <v>50</v>
      </c>
    </row>
    <row r="942" spans="1:11" ht="61.5">
      <c r="A942">
        <v>941</v>
      </c>
      <c r="B942" s="16"/>
      <c r="C942" t="s">
        <v>1000</v>
      </c>
      <c r="D942" s="1"/>
      <c r="E942" s="1" t="str">
        <f>_xlfn.REGEXREPLACE(C942, "(.*)\/$", "https://extremismterms.adl.org\1")</f>
        <v>https://extremismterms.adl.org/glossary/aryan-knights</v>
      </c>
      <c r="F942" s="1" t="str" cm="1">
        <f t="array" ref="F942">_xlfn.LET(_xlpm.rowNum,MATCH(E942,'glossaryterms-export'!C:C,0),
IF(AND(NOT(ISBLANK(INDEX('glossaryterms-export'!H:H,_xlpm.rowNum))),ISBLANK(INDEX('glossaryterms-export'!I:I,_xlpm.rowNum))),"Ready to Fix",""))</f>
        <v>Ready to Fix</v>
      </c>
      <c r="G942">
        <v>22</v>
      </c>
      <c r="H942">
        <v>20</v>
      </c>
      <c r="I942">
        <v>1.1000000000000001</v>
      </c>
      <c r="J942">
        <v>17.649999999999999</v>
      </c>
      <c r="K942">
        <v>61</v>
      </c>
    </row>
    <row r="943" spans="1:11" ht="61.5">
      <c r="A943">
        <v>942</v>
      </c>
      <c r="B943" s="16"/>
      <c r="C943" t="s">
        <v>1001</v>
      </c>
      <c r="D943" s="1"/>
      <c r="E943" s="1" t="str">
        <f>_xlfn.REGEXREPLACE(C943, "(.*)\/$", "https://extremismterms.adl.org\1")</f>
        <v>https://extremismterms.adl.org/glossary/aryan-warriors</v>
      </c>
      <c r="F943" s="1" t="str" cm="1">
        <f t="array" ref="F943">_xlfn.LET(_xlpm.rowNum,MATCH(E943,'glossaryterms-export'!C:C,0),
IF(AND(NOT(ISBLANK(INDEX('glossaryterms-export'!H:H,_xlpm.rowNum))),ISBLANK(INDEX('glossaryterms-export'!I:I,_xlpm.rowNum))),"Ready to Fix",""))</f>
        <v>Ready to Fix</v>
      </c>
      <c r="G943">
        <v>22</v>
      </c>
      <c r="H943">
        <v>20</v>
      </c>
      <c r="I943">
        <v>1.1000000000000001</v>
      </c>
      <c r="J943">
        <v>17.25</v>
      </c>
      <c r="K943">
        <v>60</v>
      </c>
    </row>
    <row r="944" spans="1:11" ht="61.5">
      <c r="A944">
        <v>943</v>
      </c>
      <c r="B944" s="16"/>
      <c r="C944" t="s">
        <v>1002</v>
      </c>
      <c r="D944" s="1"/>
      <c r="E944" s="1" t="str">
        <f>_xlfn.REGEXREPLACE(C944, "(.*)\/$", "https://extremismterms.adl.org\1")</f>
        <v>https://extremismterms.adl.org/glossary/benjamin-daley</v>
      </c>
      <c r="F944" s="1" t="str" cm="1">
        <f t="array" ref="F944">_xlfn.LET(_xlpm.rowNum,MATCH(E944,'glossaryterms-export'!C:C,0),
IF(AND(NOT(ISBLANK(INDEX('glossaryterms-export'!H:H,_xlpm.rowNum))),ISBLANK(INDEX('glossaryterms-export'!I:I,_xlpm.rowNum))),"Ready to Fix",""))</f>
        <v/>
      </c>
      <c r="G944">
        <v>22</v>
      </c>
      <c r="H944">
        <v>22</v>
      </c>
      <c r="I944">
        <v>1</v>
      </c>
      <c r="J944">
        <v>11.1818181818181</v>
      </c>
      <c r="K944">
        <v>47</v>
      </c>
    </row>
    <row r="945" spans="1:11" ht="61.5">
      <c r="A945">
        <v>944</v>
      </c>
      <c r="B945" s="16"/>
      <c r="C945" t="s">
        <v>1003</v>
      </c>
      <c r="D945" s="1"/>
      <c r="E945" s="1" t="str">
        <f>_xlfn.REGEXREPLACE(C945, "(.*)\/$", "https://extremismterms.adl.org\1")</f>
        <v>https://extremismterms.adl.org/glossary/birtherismbirthers</v>
      </c>
      <c r="F945" s="1" t="str" cm="1">
        <f t="array" ref="F945">_xlfn.LET(_xlpm.rowNum,MATCH(E945,'glossaryterms-export'!C:C,0),
IF(AND(NOT(ISBLANK(INDEX('glossaryterms-export'!H:H,_xlpm.rowNum))),ISBLANK(INDEX('glossaryterms-export'!I:I,_xlpm.rowNum))),"Ready to Fix",""))</f>
        <v/>
      </c>
      <c r="G945">
        <v>22</v>
      </c>
      <c r="H945">
        <v>22</v>
      </c>
      <c r="I945">
        <v>1</v>
      </c>
      <c r="J945">
        <v>8.6363636363636296</v>
      </c>
      <c r="K945">
        <v>71</v>
      </c>
    </row>
    <row r="946" spans="1:11" ht="77.25">
      <c r="A946">
        <v>945</v>
      </c>
      <c r="B946" s="16"/>
      <c r="C946" t="s">
        <v>1004</v>
      </c>
      <c r="D946" s="1"/>
      <c r="E946" s="1" t="str">
        <f>_xlfn.REGEXREPLACE(C946, "(.*)\/$", "https://extremismterms.adl.org\1")</f>
        <v>https://extremismterms.adl.org/glossary/james-alex-fields-jr</v>
      </c>
      <c r="F946" s="1" t="str" cm="1">
        <f t="array" ref="F946">_xlfn.LET(_xlpm.rowNum,MATCH(E946,'glossaryterms-export'!C:C,0),
IF(AND(NOT(ISBLANK(INDEX('glossaryterms-export'!H:H,_xlpm.rowNum))),ISBLANK(INDEX('glossaryterms-export'!I:I,_xlpm.rowNum))),"Ready to Fix",""))</f>
        <v>Ready to Fix</v>
      </c>
      <c r="G946">
        <v>22</v>
      </c>
      <c r="H946">
        <v>21</v>
      </c>
      <c r="I946">
        <v>1.0476190476190399</v>
      </c>
      <c r="J946">
        <v>11.2380952380952</v>
      </c>
      <c r="K946">
        <v>49</v>
      </c>
    </row>
    <row r="947" spans="1:11" ht="61.5">
      <c r="A947">
        <v>946</v>
      </c>
      <c r="B947" s="16"/>
      <c r="C947" t="s">
        <v>1005</v>
      </c>
      <c r="D947" s="1"/>
      <c r="E947" s="1" t="str">
        <f>_xlfn.REGEXREPLACE(C947, "(.*)\/$", "https://extremismterms.adl.org\1")</f>
        <v>https://extremismterms.adl.org/glossary/joe-biggs</v>
      </c>
      <c r="F947" s="1" t="str" cm="1">
        <f t="array" ref="F947">_xlfn.LET(_xlpm.rowNum,MATCH(E947,'glossaryterms-export'!C:C,0),
IF(AND(NOT(ISBLANK(INDEX('glossaryterms-export'!H:H,_xlpm.rowNum))),ISBLANK(INDEX('glossaryterms-export'!I:I,_xlpm.rowNum))),"Ready to Fix",""))</f>
        <v/>
      </c>
      <c r="G947">
        <v>22</v>
      </c>
      <c r="H947">
        <v>20</v>
      </c>
      <c r="I947">
        <v>1.1000000000000001</v>
      </c>
      <c r="J947">
        <v>13.6</v>
      </c>
      <c r="K947">
        <v>57</v>
      </c>
    </row>
    <row r="948" spans="1:11" ht="61.5">
      <c r="A948">
        <v>947</v>
      </c>
      <c r="B948" s="16"/>
      <c r="C948" t="s">
        <v>1006</v>
      </c>
      <c r="D948" s="1"/>
      <c r="E948" s="1" t="str">
        <f>_xlfn.REGEXREPLACE(C948, "(.*)\/$", "https://extremismterms.adl.org\1")</f>
        <v>https://extremismterms.adl.org/glossary/louis-beam</v>
      </c>
      <c r="F948" s="1" t="str" cm="1">
        <f t="array" ref="F948">_xlfn.LET(_xlpm.rowNum,MATCH(E948,'glossaryterms-export'!C:C,0),
IF(AND(NOT(ISBLANK(INDEX('glossaryterms-export'!H:H,_xlpm.rowNum))),ISBLANK(INDEX('glossaryterms-export'!I:I,_xlpm.rowNum))),"Ready to Fix",""))</f>
        <v/>
      </c>
      <c r="G948">
        <v>22</v>
      </c>
      <c r="H948">
        <v>22</v>
      </c>
      <c r="I948">
        <v>1</v>
      </c>
      <c r="J948">
        <v>14.5</v>
      </c>
      <c r="K948">
        <v>61</v>
      </c>
    </row>
    <row r="949" spans="1:11" ht="61.5">
      <c r="A949">
        <v>948</v>
      </c>
      <c r="B949" s="16"/>
      <c r="C949" t="s">
        <v>1007</v>
      </c>
      <c r="D949" s="1"/>
      <c r="E949" s="1" t="str">
        <f>_xlfn.REGEXREPLACE(C949, "(.*)\/$", "https://extremismterms.adl.org\1")</f>
        <v>https://extremismterms.adl.org/glossary/paul-ramsey</v>
      </c>
      <c r="F949" s="1" t="str" cm="1">
        <f t="array" ref="F949">_xlfn.LET(_xlpm.rowNum,MATCH(E949,'glossaryterms-export'!C:C,0),
IF(AND(NOT(ISBLANK(INDEX('glossaryterms-export'!H:H,_xlpm.rowNum))),ISBLANK(INDEX('glossaryterms-export'!I:I,_xlpm.rowNum))),"Ready to Fix",""))</f>
        <v/>
      </c>
      <c r="G949">
        <v>22</v>
      </c>
      <c r="H949">
        <v>20</v>
      </c>
      <c r="I949">
        <v>1.1000000000000001</v>
      </c>
      <c r="J949">
        <v>17.3</v>
      </c>
      <c r="K949">
        <v>69</v>
      </c>
    </row>
    <row r="950" spans="1:11" ht="61.5">
      <c r="A950">
        <v>949</v>
      </c>
      <c r="B950" s="16"/>
      <c r="C950" t="s">
        <v>1008</v>
      </c>
      <c r="D950" s="1"/>
      <c r="E950" s="1" t="str">
        <f>_xlfn.REGEXREPLACE(C950, "(.*)\/$", "https://extremismterms.adl.org\1")</f>
        <v>https://extremismterms.adl.org/glossary/sieg-heil-symbol</v>
      </c>
      <c r="F950" s="1" t="str" cm="1">
        <f t="array" ref="F950">_xlfn.LET(_xlpm.rowNum,MATCH(E950,'glossaryterms-export'!C:C,0),
IF(AND(NOT(ISBLANK(INDEX('glossaryterms-export'!H:H,_xlpm.rowNum))),ISBLANK(INDEX('glossaryterms-export'!I:I,_xlpm.rowNum))),"Ready to Fix",""))</f>
        <v>Ready to Fix</v>
      </c>
      <c r="G950">
        <v>22</v>
      </c>
      <c r="H950">
        <v>23</v>
      </c>
      <c r="I950">
        <v>0.95652173913043403</v>
      </c>
      <c r="J950">
        <v>5.13043478260869</v>
      </c>
      <c r="K950">
        <v>57</v>
      </c>
    </row>
    <row r="951" spans="1:11" ht="77.25">
      <c r="A951">
        <v>950</v>
      </c>
      <c r="B951" s="16"/>
      <c r="C951" t="s">
        <v>1009</v>
      </c>
      <c r="D951" s="1"/>
      <c r="E951" s="1" t="str">
        <f>_xlfn.REGEXREPLACE(C951, "(.*)\/$", "https://extremismterms.adl.org\1")</f>
        <v>https://extremismterms.adl.org/glossary/supreme-white-alliance</v>
      </c>
      <c r="F951" s="1" t="str" cm="1">
        <f t="array" ref="F951">_xlfn.LET(_xlpm.rowNum,MATCH(E951,'glossaryterms-export'!C:C,0),
IF(AND(NOT(ISBLANK(INDEX('glossaryterms-export'!H:H,_xlpm.rowNum))),ISBLANK(INDEX('glossaryterms-export'!I:I,_xlpm.rowNum))),"Ready to Fix",""))</f>
        <v/>
      </c>
      <c r="G951">
        <v>22</v>
      </c>
      <c r="H951">
        <v>20</v>
      </c>
      <c r="I951">
        <v>1.1000000000000001</v>
      </c>
      <c r="J951">
        <v>16.8</v>
      </c>
      <c r="K951">
        <v>72</v>
      </c>
    </row>
    <row r="952" spans="1:11" ht="61.5">
      <c r="A952">
        <v>951</v>
      </c>
      <c r="B952" s="16"/>
      <c r="C952" t="s">
        <v>1010</v>
      </c>
      <c r="D952" s="1"/>
      <c r="E952" s="1" t="str">
        <f>_xlfn.REGEXREPLACE(C952, "(.*)\/$", "https://extremismterms.adl.org\1")</f>
        <v>https://extremismterms.adl.org/glossary/white-knights</v>
      </c>
      <c r="F952" s="1" t="str" cm="1">
        <f t="array" ref="F952">_xlfn.LET(_xlpm.rowNum,MATCH(E952,'glossaryterms-export'!C:C,0),
IF(AND(NOT(ISBLANK(INDEX('glossaryterms-export'!H:H,_xlpm.rowNum))),ISBLANK(INDEX('glossaryterms-export'!I:I,_xlpm.rowNum))),"Ready to Fix",""))</f>
        <v/>
      </c>
      <c r="G952">
        <v>22</v>
      </c>
      <c r="H952">
        <v>20</v>
      </c>
      <c r="I952">
        <v>1.1000000000000001</v>
      </c>
      <c r="J952">
        <v>21.95</v>
      </c>
      <c r="K952">
        <v>70</v>
      </c>
    </row>
    <row r="953" spans="1:11" ht="77.25">
      <c r="A953">
        <v>952</v>
      </c>
      <c r="B953" s="16"/>
      <c r="C953" t="s">
        <v>1011</v>
      </c>
      <c r="D953" s="1"/>
      <c r="E953" s="1" t="str">
        <f>_xlfn.REGEXREPLACE(C953, "(.*)\/$", "https://extremismterms.adl.org\1")</f>
        <v>https://extremismterms.adl.org/glossary/you-will-not-replace-us</v>
      </c>
      <c r="F953" s="1" t="str" cm="1">
        <f t="array" ref="F953">_xlfn.LET(_xlpm.rowNum,MATCH(E953,'glossaryterms-export'!C:C,0),
IF(AND(NOT(ISBLANK(INDEX('glossaryterms-export'!H:H,_xlpm.rowNum))),ISBLANK(INDEX('glossaryterms-export'!I:I,_xlpm.rowNum))),"Ready to Fix",""))</f>
        <v>Ready to Fix</v>
      </c>
      <c r="G953">
        <v>22</v>
      </c>
      <c r="H953">
        <v>22</v>
      </c>
      <c r="I953">
        <v>1</v>
      </c>
      <c r="J953">
        <v>9.8636363636363598</v>
      </c>
      <c r="K953">
        <v>55</v>
      </c>
    </row>
    <row r="954" spans="1:11" ht="46.5">
      <c r="A954">
        <v>953</v>
      </c>
      <c r="B954" s="16"/>
      <c r="C954" t="s">
        <v>1012</v>
      </c>
      <c r="D954" s="1"/>
      <c r="E954" s="1" t="str">
        <f>_xlfn.REGEXREPLACE(C954, "(.*)\/$", "https://extremismterms.adl.org\1")</f>
        <v>https://extremismterms.adl.org/glossary/18</v>
      </c>
      <c r="F954" s="1" t="str" cm="1">
        <f t="array" ref="F954">_xlfn.LET(_xlpm.rowNum,MATCH(E954,'glossaryterms-export'!C:C,0),
IF(AND(NOT(ISBLANK(INDEX('glossaryterms-export'!H:H,_xlpm.rowNum))),ISBLANK(INDEX('glossaryterms-export'!I:I,_xlpm.rowNum))),"Ready to Fix",""))</f>
        <v>Ready to Fix</v>
      </c>
      <c r="G954">
        <v>21</v>
      </c>
      <c r="H954">
        <v>19</v>
      </c>
      <c r="I954">
        <v>1.1052631578947301</v>
      </c>
      <c r="J954">
        <v>10.736842105263101</v>
      </c>
      <c r="K954">
        <v>54</v>
      </c>
    </row>
    <row r="955" spans="1:11" ht="77.25">
      <c r="A955">
        <v>954</v>
      </c>
      <c r="B955" s="16"/>
      <c r="C955" t="s">
        <v>1013</v>
      </c>
      <c r="D955" s="1"/>
      <c r="E955" s="1" t="str">
        <f>_xlfn.REGEXREPLACE(C955, "(.*)\/$", "https://extremismterms.adl.org\1")</f>
        <v>https://extremismterms.adl.org/glossary/al-qaeda-indian-subcontinent-aqis</v>
      </c>
      <c r="F955" s="1" t="str" cm="1">
        <f t="array" ref="F955">_xlfn.LET(_xlpm.rowNum,MATCH(E955,'glossaryterms-export'!C:C,0),
IF(AND(NOT(ISBLANK(INDEX('glossaryterms-export'!H:H,_xlpm.rowNum))),ISBLANK(INDEX('glossaryterms-export'!I:I,_xlpm.rowNum))),"Ready to Fix",""))</f>
        <v/>
      </c>
      <c r="G955">
        <v>21</v>
      </c>
      <c r="H955">
        <v>20</v>
      </c>
      <c r="I955">
        <v>1.05</v>
      </c>
      <c r="J955">
        <v>9</v>
      </c>
      <c r="K955">
        <v>54</v>
      </c>
    </row>
    <row r="956" spans="1:11" ht="77.25">
      <c r="A956">
        <v>955</v>
      </c>
      <c r="B956" s="16"/>
      <c r="C956" t="s">
        <v>1014</v>
      </c>
      <c r="D956" s="1"/>
      <c r="E956" s="1" t="str">
        <f>_xlfn.REGEXREPLACE(C956, "(.*)\/$", "https://extremismterms.adl.org\1")</f>
        <v>https://extremismterms.adl.org/glossary/daily-stormer-book-clubs-sbc</v>
      </c>
      <c r="F956" s="1" t="str" cm="1">
        <f t="array" ref="F956">_xlfn.LET(_xlpm.rowNum,MATCH(E956,'glossaryterms-export'!C:C,0),
IF(AND(NOT(ISBLANK(INDEX('glossaryterms-export'!H:H,_xlpm.rowNum))),ISBLANK(INDEX('glossaryterms-export'!I:I,_xlpm.rowNum))),"Ready to Fix",""))</f>
        <v>Ready to Fix</v>
      </c>
      <c r="G956">
        <v>21</v>
      </c>
      <c r="H956">
        <v>20</v>
      </c>
      <c r="I956">
        <v>1.05</v>
      </c>
      <c r="J956">
        <v>7.05</v>
      </c>
      <c r="K956">
        <v>51</v>
      </c>
    </row>
    <row r="957" spans="1:11" ht="61.5">
      <c r="A957">
        <v>956</v>
      </c>
      <c r="B957" s="16"/>
      <c r="C957" t="s">
        <v>1015</v>
      </c>
      <c r="D957" s="1"/>
      <c r="E957" s="1" t="str">
        <f>_xlfn.REGEXREPLACE(C957, "(.*)\/$", "https://extremismterms.adl.org\1")</f>
        <v>https://extremismterms.adl.org/glossary/david-anderson</v>
      </c>
      <c r="F957" s="1" t="str" cm="1">
        <f t="array" ref="F957">_xlfn.LET(_xlpm.rowNum,MATCH(E957,'glossaryterms-export'!C:C,0),
IF(AND(NOT(ISBLANK(INDEX('glossaryterms-export'!H:H,_xlpm.rowNum))),ISBLANK(INDEX('glossaryterms-export'!I:I,_xlpm.rowNum))),"Ready to Fix",""))</f>
        <v>Ready to Fix</v>
      </c>
      <c r="G957">
        <v>21</v>
      </c>
      <c r="H957">
        <v>21</v>
      </c>
      <c r="I957">
        <v>1</v>
      </c>
      <c r="J957">
        <v>16.380952380952301</v>
      </c>
      <c r="K957">
        <v>41</v>
      </c>
    </row>
    <row r="958" spans="1:11" ht="61.5">
      <c r="A958">
        <v>957</v>
      </c>
      <c r="B958" s="16"/>
      <c r="C958" t="s">
        <v>1016</v>
      </c>
      <c r="D958" s="1"/>
      <c r="E958" s="1" t="str">
        <f>_xlfn.REGEXREPLACE(C958, "(.*)\/$", "https://extremismterms.adl.org\1")</f>
        <v>https://extremismterms.adl.org/glossary/iii-security-force</v>
      </c>
      <c r="F958" s="1" t="str" cm="1">
        <f t="array" ref="F958">_xlfn.LET(_xlpm.rowNum,MATCH(E958,'glossaryterms-export'!C:C,0),
IF(AND(NOT(ISBLANK(INDEX('glossaryterms-export'!H:H,_xlpm.rowNum))),ISBLANK(INDEX('glossaryterms-export'!I:I,_xlpm.rowNum))),"Ready to Fix",""))</f>
        <v>Ready to Fix</v>
      </c>
      <c r="G958">
        <v>21</v>
      </c>
      <c r="H958">
        <v>20</v>
      </c>
      <c r="I958">
        <v>1.05</v>
      </c>
      <c r="J958">
        <v>8.0500000000000007</v>
      </c>
      <c r="K958">
        <v>47</v>
      </c>
    </row>
    <row r="959" spans="1:11" ht="77.25">
      <c r="A959">
        <v>958</v>
      </c>
      <c r="B959" s="14" t="s">
        <v>92</v>
      </c>
      <c r="C959" t="s">
        <v>1017</v>
      </c>
      <c r="D959" s="1" t="s">
        <v>20</v>
      </c>
      <c r="E959" s="1" t="str">
        <f>_xlfn.REGEXREPLACE(C959, "(.*)\/$", "https://extremismterms.adl.org\1")</f>
        <v>https://extremismterms.adl.org/glossary/manifesto-futurism</v>
      </c>
      <c r="F959" s="1" t="str" cm="1">
        <f t="array" ref="F959">_xlfn.LET(_xlpm.rowNum,MATCH(E959,'glossaryterms-export'!C:C,0),
IF(AND(NOT(ISBLANK(INDEX('glossaryterms-export'!H:H,_xlpm.rowNum))),ISBLANK(INDEX('glossaryterms-export'!I:I,_xlpm.rowNum))),"Ready to Fix",""))</f>
        <v/>
      </c>
      <c r="G959">
        <v>21</v>
      </c>
      <c r="H959">
        <v>20</v>
      </c>
      <c r="I959">
        <v>1.05</v>
      </c>
      <c r="J959">
        <v>28.4</v>
      </c>
      <c r="K959">
        <v>44</v>
      </c>
    </row>
    <row r="960" spans="1:11" ht="77.25">
      <c r="A960">
        <v>959</v>
      </c>
      <c r="B960" s="16"/>
      <c r="C960" t="s">
        <v>1018</v>
      </c>
      <c r="D960" s="1"/>
      <c r="E960" s="1" t="str">
        <f>_xlfn.REGEXREPLACE(C960, "(.*)\/$", "https://extremismterms.adl.org\1")</f>
        <v>https://extremismterms.adl.org/glossary/soldiers-aryan-culture</v>
      </c>
      <c r="F960" s="1" t="str" cm="1">
        <f t="array" ref="F960">_xlfn.LET(_xlpm.rowNum,MATCH(E960,'glossaryterms-export'!C:C,0),
IF(AND(NOT(ISBLANK(INDEX('glossaryterms-export'!H:H,_xlpm.rowNum))),ISBLANK(INDEX('glossaryterms-export'!I:I,_xlpm.rowNum))),"Ready to Fix",""))</f>
        <v>Ready to Fix</v>
      </c>
      <c r="G960">
        <v>21</v>
      </c>
      <c r="H960">
        <v>20</v>
      </c>
      <c r="I960">
        <v>1.05</v>
      </c>
      <c r="J960">
        <v>14.5</v>
      </c>
      <c r="K960">
        <v>72</v>
      </c>
    </row>
    <row r="961" spans="1:11" ht="61.5">
      <c r="A961">
        <v>960</v>
      </c>
      <c r="B961" s="16"/>
      <c r="C961" t="s">
        <v>1019</v>
      </c>
      <c r="D961" s="1"/>
      <c r="E961" s="1" t="str">
        <f>_xlfn.REGEXREPLACE(C961, "(.*)\/$", "https://extremismterms.adl.org\1")</f>
        <v>https://extremismterms.adl.org/glossary/steven-carrillo</v>
      </c>
      <c r="F961" s="1" t="str" cm="1">
        <f t="array" ref="F961">_xlfn.LET(_xlpm.rowNum,MATCH(E961,'glossaryterms-export'!C:C,0),
IF(AND(NOT(ISBLANK(INDEX('glossaryterms-export'!H:H,_xlpm.rowNum))),ISBLANK(INDEX('glossaryterms-export'!I:I,_xlpm.rowNum))),"Ready to Fix",""))</f>
        <v>Ready to Fix</v>
      </c>
      <c r="G961">
        <v>21</v>
      </c>
      <c r="H961">
        <v>20</v>
      </c>
      <c r="I961">
        <v>1.05</v>
      </c>
      <c r="J961">
        <v>23.05</v>
      </c>
      <c r="K961">
        <v>54</v>
      </c>
    </row>
    <row r="962" spans="1:11" ht="61.5">
      <c r="A962">
        <v>961</v>
      </c>
      <c r="B962" s="16"/>
      <c r="C962" t="s">
        <v>1020</v>
      </c>
      <c r="D962" s="1"/>
      <c r="E962" s="1" t="str">
        <f>_xlfn.REGEXREPLACE(C962, "(.*)\/$", "https://extremismterms.adl.org\1")</f>
        <v>https://extremismterms.adl.org/glossary/terry-nichols</v>
      </c>
      <c r="F962" s="1" t="str" cm="1">
        <f t="array" ref="F962">_xlfn.LET(_xlpm.rowNum,MATCH(E962,'glossaryterms-export'!C:C,0),
IF(AND(NOT(ISBLANK(INDEX('glossaryterms-export'!H:H,_xlpm.rowNum))),ISBLANK(INDEX('glossaryterms-export'!I:I,_xlpm.rowNum))),"Ready to Fix",""))</f>
        <v>Ready to Fix</v>
      </c>
      <c r="G962">
        <v>21</v>
      </c>
      <c r="H962">
        <v>21</v>
      </c>
      <c r="I962">
        <v>1</v>
      </c>
      <c r="J962">
        <v>13.5714285714285</v>
      </c>
      <c r="K962">
        <v>50</v>
      </c>
    </row>
    <row r="963" spans="1:11" ht="46.5">
      <c r="A963">
        <v>962</v>
      </c>
      <c r="B963" s="16"/>
      <c r="C963" t="s">
        <v>1021</v>
      </c>
      <c r="D963" s="1"/>
      <c r="E963" s="1" t="str">
        <f>_xlfn.REGEXREPLACE(C963, "(.*)\/$", "https://extremismterms.adl.org\1")</f>
        <v>https://extremismterms.adl.org/glossary/737</v>
      </c>
      <c r="F963" s="1" t="str" cm="1">
        <f t="array" ref="F963">_xlfn.LET(_xlpm.rowNum,MATCH(E963,'glossaryterms-export'!C:C,0),
IF(AND(NOT(ISBLANK(INDEX('glossaryterms-export'!H:H,_xlpm.rowNum))),ISBLANK(INDEX('glossaryterms-export'!I:I,_xlpm.rowNum))),"Ready to Fix",""))</f>
        <v>Ready to Fix</v>
      </c>
      <c r="G963">
        <v>20</v>
      </c>
      <c r="H963">
        <v>16</v>
      </c>
      <c r="I963">
        <v>1.25</v>
      </c>
      <c r="J963">
        <v>20.0625</v>
      </c>
      <c r="K963">
        <v>51</v>
      </c>
    </row>
    <row r="964" spans="1:11" ht="77.25">
      <c r="A964">
        <v>963</v>
      </c>
      <c r="B964" s="16"/>
      <c r="C964" t="s">
        <v>1022</v>
      </c>
      <c r="D964" s="1"/>
      <c r="E964" s="1" t="str">
        <f>_xlfn.REGEXREPLACE(C964, "(.*)\/$", "https://extremismterms.adl.org\1")</f>
        <v>https://extremismterms.adl.org/glossary/charlie-hebdo-terror-attack</v>
      </c>
      <c r="F964" s="1" t="str" cm="1">
        <f t="array" ref="F964">_xlfn.LET(_xlpm.rowNum,MATCH(E964,'glossaryterms-export'!C:C,0),
IF(AND(NOT(ISBLANK(INDEX('glossaryterms-export'!H:H,_xlpm.rowNum))),ISBLANK(INDEX('glossaryterms-export'!I:I,_xlpm.rowNum))),"Ready to Fix",""))</f>
        <v>Ready to Fix</v>
      </c>
      <c r="G964">
        <v>20</v>
      </c>
      <c r="H964">
        <v>20</v>
      </c>
      <c r="I964">
        <v>1</v>
      </c>
      <c r="J964">
        <v>27.15</v>
      </c>
      <c r="K964">
        <v>42</v>
      </c>
    </row>
    <row r="965" spans="1:11" ht="77.25">
      <c r="A965">
        <v>964</v>
      </c>
      <c r="B965" s="16"/>
      <c r="C965" t="s">
        <v>1023</v>
      </c>
      <c r="D965" s="1"/>
      <c r="E965" s="1" t="str">
        <f>_xlfn.REGEXREPLACE(C965, "(.*)\/$", "https://extremismterms.adl.org\1")</f>
        <v>https://extremismterms.adl.org/glossary/mississippi-aryan-brotherhood</v>
      </c>
      <c r="F965" s="1" t="str" cm="1">
        <f t="array" ref="F965">_xlfn.LET(_xlpm.rowNum,MATCH(E965,'glossaryterms-export'!C:C,0),
IF(AND(NOT(ISBLANK(INDEX('glossaryterms-export'!H:H,_xlpm.rowNum))),ISBLANK(INDEX('glossaryterms-export'!I:I,_xlpm.rowNum))),"Ready to Fix",""))</f>
        <v>Ready to Fix</v>
      </c>
      <c r="G965">
        <v>20</v>
      </c>
      <c r="H965">
        <v>19</v>
      </c>
      <c r="I965">
        <v>1.0526315789473599</v>
      </c>
      <c r="J965">
        <v>24.315789473684202</v>
      </c>
      <c r="K965">
        <v>60</v>
      </c>
    </row>
    <row r="966" spans="1:11" ht="77.25">
      <c r="A966">
        <v>965</v>
      </c>
      <c r="B966" s="16"/>
      <c r="C966" t="s">
        <v>1024</v>
      </c>
      <c r="D966" s="1"/>
      <c r="E966" s="1" t="str">
        <f>_xlfn.REGEXREPLACE(C966, "(.*)\/$", "https://extremismterms.adl.org\1")</f>
        <v>https://extremismterms.adl.org/glossary/oklahoma-aryan-brotherhood</v>
      </c>
      <c r="F966" s="1" t="str" cm="1">
        <f t="array" ref="F966">_xlfn.LET(_xlpm.rowNum,MATCH(E966,'glossaryterms-export'!C:C,0),
IF(AND(NOT(ISBLANK(INDEX('glossaryterms-export'!H:H,_xlpm.rowNum))),ISBLANK(INDEX('glossaryterms-export'!I:I,_xlpm.rowNum))),"Ready to Fix",""))</f>
        <v>Ready to Fix</v>
      </c>
      <c r="G966">
        <v>20</v>
      </c>
      <c r="H966">
        <v>20</v>
      </c>
      <c r="I966">
        <v>1</v>
      </c>
      <c r="J966">
        <v>24.4</v>
      </c>
      <c r="K966">
        <v>47</v>
      </c>
    </row>
    <row r="967" spans="1:11" ht="77.25">
      <c r="A967">
        <v>966</v>
      </c>
      <c r="B967" s="16"/>
      <c r="C967" t="s">
        <v>1025</v>
      </c>
      <c r="D967" s="1"/>
      <c r="E967" s="1" t="str">
        <f>_xlfn.REGEXREPLACE(C967, "(.*)\/$", "https://extremismterms.adl.org\1")</f>
        <v>https://extremismterms.adl.org/glossary/operation-homeland</v>
      </c>
      <c r="F967" s="1" t="str" cm="1">
        <f t="array" ref="F967">_xlfn.LET(_xlpm.rowNum,MATCH(E967,'glossaryterms-export'!C:C,0),
IF(AND(NOT(ISBLANK(INDEX('glossaryterms-export'!H:H,_xlpm.rowNum))),ISBLANK(INDEX('glossaryterms-export'!I:I,_xlpm.rowNum))),"Ready to Fix",""))</f>
        <v/>
      </c>
      <c r="G967">
        <v>20</v>
      </c>
      <c r="H967">
        <v>20</v>
      </c>
      <c r="I967">
        <v>1</v>
      </c>
      <c r="J967">
        <v>6.65</v>
      </c>
      <c r="K967">
        <v>47</v>
      </c>
    </row>
    <row r="968" spans="1:11" ht="61.5">
      <c r="A968">
        <v>967</v>
      </c>
      <c r="B968" s="16"/>
      <c r="C968" t="s">
        <v>1026</v>
      </c>
      <c r="D968" s="1"/>
      <c r="E968" s="1" t="str">
        <f>_xlfn.REGEXREPLACE(C968, "(.*)\/$", "https://extremismterms.adl.org\1")</f>
        <v>https://extremismterms.adl.org/glossary/richard-holzer</v>
      </c>
      <c r="F968" s="1" t="str" cm="1">
        <f t="array" ref="F968">_xlfn.LET(_xlpm.rowNum,MATCH(E968,'glossaryterms-export'!C:C,0),
IF(AND(NOT(ISBLANK(INDEX('glossaryterms-export'!H:H,_xlpm.rowNum))),ISBLANK(INDEX('glossaryterms-export'!I:I,_xlpm.rowNum))),"Ready to Fix",""))</f>
        <v>Ready to Fix</v>
      </c>
      <c r="G968">
        <v>20</v>
      </c>
      <c r="H968">
        <v>17</v>
      </c>
      <c r="I968">
        <v>1.1764705882352899</v>
      </c>
      <c r="J968">
        <v>16.470588235294102</v>
      </c>
      <c r="K968">
        <v>53</v>
      </c>
    </row>
    <row r="969" spans="1:11" ht="77.25">
      <c r="A969">
        <v>968</v>
      </c>
      <c r="B969" s="16"/>
      <c r="C969" t="s">
        <v>1027</v>
      </c>
      <c r="D969" s="1"/>
      <c r="E969" s="1" t="str">
        <f>_xlfn.REGEXREPLACE(C969, "(.*)\/$", "https://extremismterms.adl.org\1")</f>
        <v>https://extremismterms.adl.org/glossary/sacred-separatist-group</v>
      </c>
      <c r="F969" s="1" t="str" cm="1">
        <f t="array" ref="F969">_xlfn.LET(_xlpm.rowNum,MATCH(E969,'glossaryterms-export'!C:C,0),
IF(AND(NOT(ISBLANK(INDEX('glossaryterms-export'!H:H,_xlpm.rowNum))),ISBLANK(INDEX('glossaryterms-export'!I:I,_xlpm.rowNum))),"Ready to Fix",""))</f>
        <v>Ready to Fix</v>
      </c>
      <c r="G969">
        <v>20</v>
      </c>
      <c r="H969">
        <v>19</v>
      </c>
      <c r="I969">
        <v>1.0526315789473599</v>
      </c>
      <c r="J969">
        <v>17.473684210526301</v>
      </c>
      <c r="K969">
        <v>51</v>
      </c>
    </row>
    <row r="970" spans="1:11" ht="61.5">
      <c r="A970">
        <v>969</v>
      </c>
      <c r="B970" s="14" t="s">
        <v>22</v>
      </c>
      <c r="C970" t="s">
        <v>1028</v>
      </c>
      <c r="D970" s="1" t="s">
        <v>20</v>
      </c>
      <c r="E970" s="1" t="str">
        <f>_xlfn.REGEXREPLACE(C970, "(.*)\/$", "https://extremismterms.adl.org\1")</f>
        <v>https://extremismterms.adl.org/glossary/scott-paul-beierle</v>
      </c>
      <c r="F970" s="1" t="str" cm="1">
        <f t="array" ref="F970">_xlfn.LET(_xlpm.rowNum,MATCH(E970,'glossaryterms-export'!C:C,0),
IF(AND(NOT(ISBLANK(INDEX('glossaryterms-export'!H:H,_xlpm.rowNum))),ISBLANK(INDEX('glossaryterms-export'!I:I,_xlpm.rowNum))),"Ready to Fix",""))</f>
        <v/>
      </c>
      <c r="G970">
        <v>20</v>
      </c>
      <c r="H970">
        <v>20</v>
      </c>
      <c r="I970">
        <v>1</v>
      </c>
      <c r="J970">
        <v>14.45</v>
      </c>
      <c r="K970">
        <v>51</v>
      </c>
    </row>
    <row r="971" spans="1:11" ht="61.5">
      <c r="A971">
        <v>970</v>
      </c>
      <c r="B971" s="16"/>
      <c r="C971" t="s">
        <v>1029</v>
      </c>
      <c r="D971" s="1"/>
      <c r="E971" s="1" t="str">
        <f>_xlfn.REGEXREPLACE(C971, "(.*)\/$", "https://extremismterms.adl.org\1")</f>
        <v>https://extremismterms.adl.org/glossary/sinophobia</v>
      </c>
      <c r="F971" s="1" t="str" cm="1">
        <f t="array" ref="F971">_xlfn.LET(_xlpm.rowNum,MATCH(E971,'glossaryterms-export'!C:C,0),
IF(AND(NOT(ISBLANK(INDEX('glossaryterms-export'!H:H,_xlpm.rowNum))),ISBLANK(INDEX('glossaryterms-export'!I:I,_xlpm.rowNum))),"Ready to Fix",""))</f>
        <v/>
      </c>
      <c r="G971">
        <v>20</v>
      </c>
      <c r="H971">
        <v>17</v>
      </c>
      <c r="I971">
        <v>1.1764705882352899</v>
      </c>
      <c r="J971">
        <v>9.4117647058823497</v>
      </c>
      <c r="K971">
        <v>57</v>
      </c>
    </row>
    <row r="972" spans="1:11" ht="92.25">
      <c r="A972">
        <v>971</v>
      </c>
      <c r="B972" s="16"/>
      <c r="C972" t="s">
        <v>1030</v>
      </c>
      <c r="D972" s="1"/>
      <c r="E972" s="1" t="str">
        <f>_xlfn.REGEXREPLACE(C972, "(.*)\/$", "https://extremismterms.adl.org\1")</f>
        <v>https://extremismterms.adl.org/glossary/warsaw-independence-day-march</v>
      </c>
      <c r="F972" s="1" t="str" cm="1">
        <f t="array" ref="F972">_xlfn.LET(_xlpm.rowNum,MATCH(E972,'glossaryterms-export'!C:C,0),
IF(AND(NOT(ISBLANK(INDEX('glossaryterms-export'!H:H,_xlpm.rowNum))),ISBLANK(INDEX('glossaryterms-export'!I:I,_xlpm.rowNum))),"Ready to Fix",""))</f>
        <v/>
      </c>
      <c r="G972">
        <v>20</v>
      </c>
      <c r="H972">
        <v>19</v>
      </c>
      <c r="I972">
        <v>1.0526315789473599</v>
      </c>
      <c r="J972">
        <v>16.6315789473684</v>
      </c>
      <c r="K972">
        <v>45</v>
      </c>
    </row>
    <row r="973" spans="1:11" ht="61.5">
      <c r="A973">
        <v>972</v>
      </c>
      <c r="B973" s="16"/>
      <c r="C973" t="s">
        <v>1031</v>
      </c>
      <c r="D973" s="1"/>
      <c r="E973" s="1" t="str">
        <f>_xlfn.REGEXREPLACE(C973, "(.*)\/$", "https://extremismterms.adl.org\1")</f>
        <v>https://extremismterms.adl.org/glossary/abdul-alim-musa</v>
      </c>
      <c r="F973" s="1" t="str" cm="1">
        <f t="array" ref="F973">_xlfn.LET(_xlpm.rowNum,MATCH(E973,'glossaryterms-export'!C:C,0),
IF(AND(NOT(ISBLANK(INDEX('glossaryterms-export'!H:H,_xlpm.rowNum))),ISBLANK(INDEX('glossaryterms-export'!I:I,_xlpm.rowNum))),"Ready to Fix",""))</f>
        <v/>
      </c>
      <c r="G973">
        <v>19</v>
      </c>
      <c r="H973">
        <v>18</v>
      </c>
      <c r="I973">
        <v>1.05555555555555</v>
      </c>
      <c r="J973">
        <v>18.3888888888888</v>
      </c>
      <c r="K973">
        <v>44</v>
      </c>
    </row>
    <row r="974" spans="1:11" ht="77.25">
      <c r="A974">
        <v>973</v>
      </c>
      <c r="B974" s="16"/>
      <c r="C974" t="s">
        <v>1032</v>
      </c>
      <c r="D974" s="1"/>
      <c r="E974" s="1" t="str">
        <f>_xlfn.REGEXREPLACE(C974, "(.*)\/$", "https://extremismterms.adl.org\1")</f>
        <v>https://extremismterms.adl.org/glossary/abdul-razak-ali-artan</v>
      </c>
      <c r="F974" s="1" t="str" cm="1">
        <f t="array" ref="F974">_xlfn.LET(_xlpm.rowNum,MATCH(E974,'glossaryterms-export'!C:C,0),
IF(AND(NOT(ISBLANK(INDEX('glossaryterms-export'!H:H,_xlpm.rowNum))),ISBLANK(INDEX('glossaryterms-export'!I:I,_xlpm.rowNum))),"Ready to Fix",""))</f>
        <v/>
      </c>
      <c r="G974">
        <v>19</v>
      </c>
      <c r="H974">
        <v>17</v>
      </c>
      <c r="I974">
        <v>1.1176470588235199</v>
      </c>
      <c r="J974">
        <v>18.117647058823501</v>
      </c>
      <c r="K974">
        <v>42</v>
      </c>
    </row>
    <row r="975" spans="1:11" ht="61.5">
      <c r="A975">
        <v>974</v>
      </c>
      <c r="B975" s="16"/>
      <c r="C975" t="s">
        <v>1033</v>
      </c>
      <c r="D975" s="1"/>
      <c r="E975" s="1" t="str">
        <f>_xlfn.REGEXREPLACE(C975, "(.*)\/$", "https://extremismterms.adl.org\1")</f>
        <v>https://extremismterms.adl.org/glossary/ali-kourani</v>
      </c>
      <c r="F975" s="1" t="str" cm="1">
        <f t="array" ref="F975">_xlfn.LET(_xlpm.rowNum,MATCH(E975,'glossaryterms-export'!C:C,0),
IF(AND(NOT(ISBLANK(INDEX('glossaryterms-export'!H:H,_xlpm.rowNum))),ISBLANK(INDEX('glossaryterms-export'!I:I,_xlpm.rowNum))),"Ready to Fix",""))</f>
        <v/>
      </c>
      <c r="G975">
        <v>19</v>
      </c>
      <c r="H975">
        <v>19</v>
      </c>
      <c r="I975">
        <v>1</v>
      </c>
      <c r="J975">
        <v>11.473684210526301</v>
      </c>
      <c r="K975">
        <v>51</v>
      </c>
    </row>
    <row r="976" spans="1:11" ht="61.5">
      <c r="A976">
        <v>975</v>
      </c>
      <c r="B976" s="16"/>
      <c r="C976" t="s">
        <v>1034</v>
      </c>
      <c r="D976" s="1"/>
      <c r="E976" s="1" t="str">
        <f>_xlfn.REGEXREPLACE(C976, "(.*)\/$", "https://extremismterms.adl.org\1")</f>
        <v>https://extremismterms.adl.org/glossary/elliot-kline</v>
      </c>
      <c r="F976" s="1" t="str" cm="1">
        <f t="array" ref="F976">_xlfn.LET(_xlpm.rowNum,MATCH(E976,'glossaryterms-export'!C:C,0),
IF(AND(NOT(ISBLANK(INDEX('glossaryterms-export'!H:H,_xlpm.rowNum))),ISBLANK(INDEX('glossaryterms-export'!I:I,_xlpm.rowNum))),"Ready to Fix",""))</f>
        <v>Ready to Fix</v>
      </c>
      <c r="G976">
        <v>19</v>
      </c>
      <c r="H976">
        <v>19</v>
      </c>
      <c r="I976">
        <v>1</v>
      </c>
      <c r="J976">
        <v>18.157894736842099</v>
      </c>
      <c r="K976">
        <v>48</v>
      </c>
    </row>
    <row r="977" spans="1:11" ht="77.25">
      <c r="A977">
        <v>976</v>
      </c>
      <c r="B977" s="16"/>
      <c r="C977" t="s">
        <v>1035</v>
      </c>
      <c r="D977" s="1"/>
      <c r="E977" s="1" t="str">
        <f>_xlfn.REGEXREPLACE(C977, "(.*)\/$", "https://extremismterms.adl.org\1")</f>
        <v>https://extremismterms.adl.org/glossary/inland-empire-skinheads</v>
      </c>
      <c r="F977" s="1" t="str" cm="1">
        <f t="array" ref="F977">_xlfn.LET(_xlpm.rowNum,MATCH(E977,'glossaryterms-export'!C:C,0),
IF(AND(NOT(ISBLANK(INDEX('glossaryterms-export'!H:H,_xlpm.rowNum))),ISBLANK(INDEX('glossaryterms-export'!I:I,_xlpm.rowNum))),"Ready to Fix",""))</f>
        <v>Ready to Fix</v>
      </c>
      <c r="G977">
        <v>19</v>
      </c>
      <c r="H977">
        <v>18</v>
      </c>
      <c r="I977">
        <v>1.05555555555555</v>
      </c>
      <c r="J977">
        <v>10.1111111111111</v>
      </c>
      <c r="K977">
        <v>50</v>
      </c>
    </row>
    <row r="978" spans="1:11" ht="61.5">
      <c r="A978">
        <v>977</v>
      </c>
      <c r="B978" s="16"/>
      <c r="C978" t="s">
        <v>1036</v>
      </c>
      <c r="D978" s="1"/>
      <c r="E978" s="1" t="str">
        <f>_xlfn.REGEXREPLACE(C978, "(.*)\/$", "https://extremismterms.adl.org\1")</f>
        <v>https://extremismterms.adl.org/glossary/itsub-symbol</v>
      </c>
      <c r="F978" s="1" t="str" cm="1">
        <f t="array" ref="F978">_xlfn.LET(_xlpm.rowNum,MATCH(E978,'glossaryterms-export'!C:C,0),
IF(AND(NOT(ISBLANK(INDEX('glossaryterms-export'!H:H,_xlpm.rowNum))),ISBLANK(INDEX('glossaryterms-export'!I:I,_xlpm.rowNum))),"Ready to Fix",""))</f>
        <v>Ready to Fix</v>
      </c>
      <c r="G978">
        <v>19</v>
      </c>
      <c r="H978">
        <v>17</v>
      </c>
      <c r="I978">
        <v>1.1176470588235199</v>
      </c>
      <c r="J978">
        <v>16.294117647058801</v>
      </c>
      <c r="K978">
        <v>56</v>
      </c>
    </row>
    <row r="979" spans="1:11" ht="77.25">
      <c r="A979">
        <v>978</v>
      </c>
      <c r="B979" s="16"/>
      <c r="C979" t="s">
        <v>1037</v>
      </c>
      <c r="D979" s="1"/>
      <c r="E979" s="1" t="str">
        <f>_xlfn.REGEXREPLACE(C979, "(.*)\/$", "https://extremismterms.adl.org\1")</f>
        <v>https://extremismterms.adl.org/glossary/mujahidmujahideen</v>
      </c>
      <c r="F979" s="1" t="str" cm="1">
        <f t="array" ref="F979">_xlfn.LET(_xlpm.rowNum,MATCH(E979,'glossaryterms-export'!C:C,0),
IF(AND(NOT(ISBLANK(INDEX('glossaryterms-export'!H:H,_xlpm.rowNum))),ISBLANK(INDEX('glossaryterms-export'!I:I,_xlpm.rowNum))),"Ready to Fix",""))</f>
        <v/>
      </c>
      <c r="G979">
        <v>19</v>
      </c>
      <c r="H979">
        <v>18</v>
      </c>
      <c r="I979">
        <v>1.05555555555555</v>
      </c>
      <c r="J979">
        <v>21.3333333333333</v>
      </c>
      <c r="K979">
        <v>55</v>
      </c>
    </row>
    <row r="980" spans="1:11" ht="61.5">
      <c r="A980">
        <v>979</v>
      </c>
      <c r="B980" s="16"/>
      <c r="C980" t="s">
        <v>1038</v>
      </c>
      <c r="D980" s="1"/>
      <c r="E980" s="1" t="str">
        <f>_xlfn.REGEXREPLACE(C980, "(.*)\/$", "https://extremismterms.adl.org\1")</f>
        <v>https://extremismterms.adl.org/glossary/richard-butler</v>
      </c>
      <c r="F980" s="1" t="str" cm="1">
        <f t="array" ref="F980">_xlfn.LET(_xlpm.rowNum,MATCH(E980,'glossaryterms-export'!C:C,0),
IF(AND(NOT(ISBLANK(INDEX('glossaryterms-export'!H:H,_xlpm.rowNum))),ISBLANK(INDEX('glossaryterms-export'!I:I,_xlpm.rowNum))),"Ready to Fix",""))</f>
        <v>Ready to Fix</v>
      </c>
      <c r="G980">
        <v>19</v>
      </c>
      <c r="H980">
        <v>18</v>
      </c>
      <c r="I980">
        <v>1.05555555555555</v>
      </c>
      <c r="J980">
        <v>20.5555555555555</v>
      </c>
      <c r="K980">
        <v>58</v>
      </c>
    </row>
    <row r="981" spans="1:11" ht="77.25">
      <c r="A981">
        <v>980</v>
      </c>
      <c r="B981" s="16"/>
      <c r="C981" t="s">
        <v>1039</v>
      </c>
      <c r="D981" s="1"/>
      <c r="E981" s="1" t="str">
        <f>_xlfn.REGEXREPLACE(C981, "(.*)\/$", "https://extremismterms.adl.org\1")</f>
        <v>https://extremismterms.adl.org/glossary/ss-divisional-insignia-symbol</v>
      </c>
      <c r="F981" s="1" t="str" cm="1">
        <f t="array" ref="F981">_xlfn.LET(_xlpm.rowNum,MATCH(E981,'glossaryterms-export'!C:C,0),
IF(AND(NOT(ISBLANK(INDEX('glossaryterms-export'!H:H,_xlpm.rowNum))),ISBLANK(INDEX('glossaryterms-export'!I:I,_xlpm.rowNum))),"Ready to Fix",""))</f>
        <v>Ready to Fix</v>
      </c>
      <c r="G981">
        <v>19</v>
      </c>
      <c r="H981">
        <v>18</v>
      </c>
      <c r="I981">
        <v>1.05555555555555</v>
      </c>
      <c r="J981">
        <v>12.7777777777777</v>
      </c>
      <c r="K981">
        <v>50</v>
      </c>
    </row>
    <row r="982" spans="1:11" ht="61.5">
      <c r="A982">
        <v>981</v>
      </c>
      <c r="B982" s="16"/>
      <c r="C982" t="s">
        <v>1040</v>
      </c>
      <c r="D982" s="1"/>
      <c r="E982" s="1" t="str">
        <f>_xlfn.REGEXREPLACE(C982, "(.*)\/$", "https://extremismterms.adl.org\1")</f>
        <v>https://extremismterms.adl.org/glossary/akayed-ullah</v>
      </c>
      <c r="F982" s="1" t="str" cm="1">
        <f t="array" ref="F982">_xlfn.LET(_xlpm.rowNum,MATCH(E982,'glossaryterms-export'!C:C,0),
IF(AND(NOT(ISBLANK(INDEX('glossaryterms-export'!H:H,_xlpm.rowNum))),ISBLANK(INDEX('glossaryterms-export'!I:I,_xlpm.rowNum))),"Ready to Fix",""))</f>
        <v/>
      </c>
      <c r="G982">
        <v>18</v>
      </c>
      <c r="H982">
        <v>18</v>
      </c>
      <c r="I982">
        <v>1</v>
      </c>
      <c r="J982">
        <v>12.2222222222222</v>
      </c>
      <c r="K982">
        <v>36</v>
      </c>
    </row>
    <row r="983" spans="1:11" ht="77.25">
      <c r="A983">
        <v>982</v>
      </c>
      <c r="B983" s="16"/>
      <c r="C983" t="s">
        <v>1041</v>
      </c>
      <c r="D983" s="1"/>
      <c r="E983" s="1" t="str">
        <f>_xlfn.REGEXREPLACE(C983, "(.*)\/$", "https://extremismterms.adl.org\1")</f>
        <v>https://extremismterms.adl.org/glossary/brothers-white-warriors</v>
      </c>
      <c r="F983" s="1" t="str" cm="1">
        <f t="array" ref="F983">_xlfn.LET(_xlpm.rowNum,MATCH(E983,'glossaryterms-export'!C:C,0),
IF(AND(NOT(ISBLANK(INDEX('glossaryterms-export'!H:H,_xlpm.rowNum))),ISBLANK(INDEX('glossaryterms-export'!I:I,_xlpm.rowNum))),"Ready to Fix",""))</f>
        <v>Ready to Fix</v>
      </c>
      <c r="G983">
        <v>18</v>
      </c>
      <c r="H983">
        <v>17</v>
      </c>
      <c r="I983">
        <v>1.0588235294117601</v>
      </c>
      <c r="J983">
        <v>28.294117647058801</v>
      </c>
      <c r="K983">
        <v>60</v>
      </c>
    </row>
    <row r="984" spans="1:11" ht="61.5">
      <c r="A984">
        <v>983</v>
      </c>
      <c r="B984" s="16"/>
      <c r="C984" t="s">
        <v>1042</v>
      </c>
      <c r="D984" s="1"/>
      <c r="E984" s="1" t="str">
        <f>_xlfn.REGEXREPLACE(C984, "(.*)\/$", "https://extremismterms.adl.org\1")</f>
        <v>https://extremismterms.adl.org/glossary/james-von-brunn</v>
      </c>
      <c r="F984" s="1" t="str" cm="1">
        <f t="array" ref="F984">_xlfn.LET(_xlpm.rowNum,MATCH(E984,'glossaryterms-export'!C:C,0),
IF(AND(NOT(ISBLANK(INDEX('glossaryterms-export'!H:H,_xlpm.rowNum))),ISBLANK(INDEX('glossaryterms-export'!I:I,_xlpm.rowNum))),"Ready to Fix",""))</f>
        <v>Ready to Fix</v>
      </c>
      <c r="G984">
        <v>18</v>
      </c>
      <c r="H984">
        <v>17</v>
      </c>
      <c r="I984">
        <v>1.0588235294117601</v>
      </c>
      <c r="J984">
        <v>9.8235294117646994</v>
      </c>
      <c r="K984">
        <v>42</v>
      </c>
    </row>
    <row r="985" spans="1:11" ht="61.5">
      <c r="A985">
        <v>984</v>
      </c>
      <c r="B985" s="16"/>
      <c r="C985" t="s">
        <v>1043</v>
      </c>
      <c r="D985" s="1"/>
      <c r="E985" s="1" t="str">
        <f>_xlfn.REGEXREPLACE(C985, "(.*)\/$", "https://extremismterms.adl.org\1")</f>
        <v>https://extremismterms.adl.org/glossary/major-nidal-hasan</v>
      </c>
      <c r="F985" s="1" t="str" cm="1">
        <f t="array" ref="F985">_xlfn.LET(_xlpm.rowNum,MATCH(E985,'glossaryterms-export'!C:C,0),
IF(AND(NOT(ISBLANK(INDEX('glossaryterms-export'!H:H,_xlpm.rowNum))),ISBLANK(INDEX('glossaryterms-export'!I:I,_xlpm.rowNum))),"Ready to Fix",""))</f>
        <v/>
      </c>
      <c r="G985">
        <v>18</v>
      </c>
      <c r="H985">
        <v>17</v>
      </c>
      <c r="I985">
        <v>1.0588235294117601</v>
      </c>
      <c r="J985">
        <v>19.705882352941099</v>
      </c>
      <c r="K985">
        <v>59</v>
      </c>
    </row>
    <row r="986" spans="1:11" ht="61.5">
      <c r="A986">
        <v>985</v>
      </c>
      <c r="B986" s="14" t="s">
        <v>495</v>
      </c>
      <c r="C986" t="s">
        <v>1044</v>
      </c>
      <c r="D986" s="1" t="s">
        <v>20</v>
      </c>
      <c r="E986" s="1" t="str">
        <f>_xlfn.REGEXREPLACE(C986, "(.*)\/$", "https://extremismterms.adl.org\1")</f>
        <v>https://extremismterms.adl.org/glossary/nathan-damigo</v>
      </c>
      <c r="F986" s="1" t="str" cm="1">
        <f t="array" ref="F986">_xlfn.LET(_xlpm.rowNum,MATCH(E986,'glossaryterms-export'!C:C,0),
IF(AND(NOT(ISBLANK(INDEX('glossaryterms-export'!H:H,_xlpm.rowNum))),ISBLANK(INDEX('glossaryterms-export'!I:I,_xlpm.rowNum))),"Ready to Fix",""))</f>
        <v/>
      </c>
      <c r="G986">
        <v>18</v>
      </c>
      <c r="H986">
        <v>16</v>
      </c>
      <c r="I986">
        <v>1.125</v>
      </c>
      <c r="J986">
        <v>7.5</v>
      </c>
      <c r="K986">
        <v>52</v>
      </c>
    </row>
    <row r="987" spans="1:11" ht="77.25">
      <c r="A987">
        <v>986</v>
      </c>
      <c r="B987" s="16"/>
      <c r="C987" t="s">
        <v>1045</v>
      </c>
      <c r="D987" s="1"/>
      <c r="E987" s="1" t="str">
        <f>_xlfn.REGEXREPLACE(C987, "(.*)\/$", "https://extremismterms.adl.org\1")</f>
        <v>https://extremismterms.adl.org/glossary/peckerwood-midwest</v>
      </c>
      <c r="F987" s="1" t="str" cm="1">
        <f t="array" ref="F987">_xlfn.LET(_xlpm.rowNum,MATCH(E987,'glossaryterms-export'!C:C,0),
IF(AND(NOT(ISBLANK(INDEX('glossaryterms-export'!H:H,_xlpm.rowNum))),ISBLANK(INDEX('glossaryterms-export'!I:I,_xlpm.rowNum))),"Ready to Fix",""))</f>
        <v>Ready to Fix</v>
      </c>
      <c r="G987">
        <v>18</v>
      </c>
      <c r="H987">
        <v>17</v>
      </c>
      <c r="I987">
        <v>1.0588235294117601</v>
      </c>
      <c r="J987">
        <v>9.4705882352941106</v>
      </c>
      <c r="K987">
        <v>44</v>
      </c>
    </row>
    <row r="988" spans="1:11" ht="77.25">
      <c r="A988">
        <v>987</v>
      </c>
      <c r="B988" s="16"/>
      <c r="C988" t="s">
        <v>1046</v>
      </c>
      <c r="D988" s="1"/>
      <c r="E988" s="1" t="str">
        <f>_xlfn.REGEXREPLACE(C988, "(.*)\/$", "https://extremismterms.adl.org\1")</f>
        <v>https://extremismterms.adl.org/glossary/sadistic-souls-symbol</v>
      </c>
      <c r="F988" s="1" t="str" cm="1">
        <f t="array" ref="F988">_xlfn.LET(_xlpm.rowNum,MATCH(E988,'glossaryterms-export'!C:C,0),
IF(AND(NOT(ISBLANK(INDEX('glossaryterms-export'!H:H,_xlpm.rowNum))),ISBLANK(INDEX('glossaryterms-export'!I:I,_xlpm.rowNum))),"Ready to Fix",""))</f>
        <v>Ready to Fix</v>
      </c>
      <c r="G988">
        <v>18</v>
      </c>
      <c r="H988">
        <v>17</v>
      </c>
      <c r="I988">
        <v>1.0588235294117601</v>
      </c>
      <c r="J988">
        <v>9.0588235294117592</v>
      </c>
      <c r="K988">
        <v>43</v>
      </c>
    </row>
    <row r="989" spans="1:11" ht="77.25">
      <c r="A989">
        <v>988</v>
      </c>
      <c r="B989" s="16"/>
      <c r="C989" t="s">
        <v>1047</v>
      </c>
      <c r="D989" s="1"/>
      <c r="E989" s="1" t="str">
        <f>_xlfn.REGEXREPLACE(C989, "(.*)\/$", "https://extremismterms.adl.org\1")</f>
        <v>https://extremismterms.adl.org/glossary/shield-wall-network-swn</v>
      </c>
      <c r="F989" s="1" t="str" cm="1">
        <f t="array" ref="F989">_xlfn.LET(_xlpm.rowNum,MATCH(E989,'glossaryterms-export'!C:C,0),
IF(AND(NOT(ISBLANK(INDEX('glossaryterms-export'!H:H,_xlpm.rowNum))),ISBLANK(INDEX('glossaryterms-export'!I:I,_xlpm.rowNum))),"Ready to Fix",""))</f>
        <v>Ready to Fix</v>
      </c>
      <c r="G989">
        <v>18</v>
      </c>
      <c r="H989">
        <v>18</v>
      </c>
      <c r="I989">
        <v>1</v>
      </c>
      <c r="J989">
        <v>15.3888888888888</v>
      </c>
      <c r="K989">
        <v>53</v>
      </c>
    </row>
    <row r="990" spans="1:11" ht="46.5">
      <c r="A990">
        <v>989</v>
      </c>
      <c r="B990" s="16"/>
      <c r="C990" t="s">
        <v>1048</v>
      </c>
      <c r="D990" s="1"/>
      <c r="E990" s="1" t="str">
        <f>_xlfn.REGEXREPLACE(C990, "(.*)\/$", "https://extremismterms.adl.org\1")</f>
        <v>https://extremismterms.adl.org/glossary/12</v>
      </c>
      <c r="F990" s="1" t="str" cm="1">
        <f t="array" ref="F990">_xlfn.LET(_xlpm.rowNum,MATCH(E990,'glossaryterms-export'!C:C,0),
IF(AND(NOT(ISBLANK(INDEX('glossaryterms-export'!H:H,_xlpm.rowNum))),ISBLANK(INDEX('glossaryterms-export'!I:I,_xlpm.rowNum))),"Ready to Fix",""))</f>
        <v>Ready to Fix</v>
      </c>
      <c r="G990">
        <v>17</v>
      </c>
      <c r="H990">
        <v>17</v>
      </c>
      <c r="I990">
        <v>1</v>
      </c>
      <c r="J990">
        <v>14.4117647058823</v>
      </c>
      <c r="K990">
        <v>39</v>
      </c>
    </row>
    <row r="991" spans="1:11" ht="46.5">
      <c r="A991">
        <v>990</v>
      </c>
      <c r="B991" s="16"/>
      <c r="C991" t="s">
        <v>1049</v>
      </c>
      <c r="D991" s="1"/>
      <c r="E991" s="1" t="str">
        <f>_xlfn.REGEXREPLACE(C991, "(.*)\/$", "https://extremismterms.adl.org\1")</f>
        <v>https://extremismterms.adl.org/glossary/13</v>
      </c>
      <c r="F991" s="1" t="str" cm="1">
        <f t="array" ref="F991">_xlfn.LET(_xlpm.rowNum,MATCH(E991,'glossaryterms-export'!C:C,0),
IF(AND(NOT(ISBLANK(INDEX('glossaryterms-export'!H:H,_xlpm.rowNum))),ISBLANK(INDEX('glossaryterms-export'!I:I,_xlpm.rowNum))),"Ready to Fix",""))</f>
        <v>Ready to Fix</v>
      </c>
      <c r="G991">
        <v>17</v>
      </c>
      <c r="H991">
        <v>17</v>
      </c>
      <c r="I991">
        <v>1</v>
      </c>
      <c r="J991">
        <v>14.4705882352941</v>
      </c>
      <c r="K991">
        <v>51</v>
      </c>
    </row>
    <row r="992" spans="1:11" ht="77.25">
      <c r="A992">
        <v>991</v>
      </c>
      <c r="B992" s="16"/>
      <c r="C992" t="s">
        <v>1050</v>
      </c>
      <c r="D992" s="1"/>
      <c r="E992" s="1" t="str">
        <f>_xlfn.REGEXREPLACE(C992, "(.*)\/$", "https://extremismterms.adl.org\1")</f>
        <v>https://extremismterms.adl.org/glossary/brotherhood-forever</v>
      </c>
      <c r="F992" s="1" t="str" cm="1">
        <f t="array" ref="F992">_xlfn.LET(_xlpm.rowNum,MATCH(E992,'glossaryterms-export'!C:C,0),
IF(AND(NOT(ISBLANK(INDEX('glossaryterms-export'!H:H,_xlpm.rowNum))),ISBLANK(INDEX('glossaryterms-export'!I:I,_xlpm.rowNum))),"Ready to Fix",""))</f>
        <v>Ready to Fix</v>
      </c>
      <c r="G992">
        <v>17</v>
      </c>
      <c r="H992">
        <v>15</v>
      </c>
      <c r="I992">
        <v>1.13333333333333</v>
      </c>
      <c r="J992">
        <v>12.8666666666666</v>
      </c>
      <c r="K992">
        <v>40</v>
      </c>
    </row>
    <row r="993" spans="1:11" ht="61.5">
      <c r="A993">
        <v>992</v>
      </c>
      <c r="B993" s="14" t="s">
        <v>25</v>
      </c>
      <c r="C993" t="s">
        <v>1051</v>
      </c>
      <c r="D993" s="1" t="s">
        <v>20</v>
      </c>
      <c r="E993" s="1" t="str">
        <f>_xlfn.REGEXREPLACE(C993, "(.*)\/$", "https://extremismterms.adl.org\1")</f>
        <v>https://extremismterms.adl.org/glossary/gordon-kahl</v>
      </c>
      <c r="F993" s="1" t="str" cm="1">
        <f t="array" ref="F993">_xlfn.LET(_xlpm.rowNum,MATCH(E993,'glossaryterms-export'!C:C,0),
IF(AND(NOT(ISBLANK(INDEX('glossaryterms-export'!H:H,_xlpm.rowNum))),ISBLANK(INDEX('glossaryterms-export'!I:I,_xlpm.rowNum))),"Ready to Fix",""))</f>
        <v>Ready to Fix</v>
      </c>
      <c r="G993">
        <v>17</v>
      </c>
      <c r="H993">
        <v>17</v>
      </c>
      <c r="I993">
        <v>1</v>
      </c>
      <c r="J993">
        <v>15.9411764705882</v>
      </c>
      <c r="K993">
        <v>36</v>
      </c>
    </row>
    <row r="994" spans="1:11" ht="61.5">
      <c r="A994">
        <v>993</v>
      </c>
      <c r="B994" s="16"/>
      <c r="C994" t="s">
        <v>1052</v>
      </c>
      <c r="D994" s="1"/>
      <c r="E994" s="1" t="str">
        <f>_xlfn.REGEXREPLACE(C994, "(.*)\/$", "https://extremismterms.adl.org\1")</f>
        <v>https://extremismterms.adl.org/glossary/hsn-symbol</v>
      </c>
      <c r="F994" s="1" t="str" cm="1">
        <f t="array" ref="F994">_xlfn.LET(_xlpm.rowNum,MATCH(E994,'glossaryterms-export'!C:C,0),
IF(AND(NOT(ISBLANK(INDEX('glossaryterms-export'!H:H,_xlpm.rowNum))),ISBLANK(INDEX('glossaryterms-export'!I:I,_xlpm.rowNum))),"Ready to Fix",""))</f>
        <v>Ready to Fix</v>
      </c>
      <c r="G994">
        <v>17</v>
      </c>
      <c r="H994">
        <v>17</v>
      </c>
      <c r="I994">
        <v>1</v>
      </c>
      <c r="J994">
        <v>10.823529411764699</v>
      </c>
      <c r="K994">
        <v>41</v>
      </c>
    </row>
    <row r="995" spans="1:11" ht="61.5">
      <c r="A995">
        <v>994</v>
      </c>
      <c r="B995" s="16"/>
      <c r="C995" t="s">
        <v>1053</v>
      </c>
      <c r="D995" s="1"/>
      <c r="E995" s="1" t="str">
        <f>_xlfn.REGEXREPLACE(C995, "(.*)\/$", "https://extremismterms.adl.org\1")</f>
        <v>https://extremismterms.adl.org/glossary/matt-hale</v>
      </c>
      <c r="F995" s="1" t="str" cm="1">
        <f t="array" ref="F995">_xlfn.LET(_xlpm.rowNum,MATCH(E995,'glossaryterms-export'!C:C,0),
IF(AND(NOT(ISBLANK(INDEX('glossaryterms-export'!H:H,_xlpm.rowNum))),ISBLANK(INDEX('glossaryterms-export'!I:I,_xlpm.rowNum))),"Ready to Fix",""))</f>
        <v>Ready to Fix</v>
      </c>
      <c r="G995">
        <v>17</v>
      </c>
      <c r="H995">
        <v>16</v>
      </c>
      <c r="I995">
        <v>1.0625</v>
      </c>
      <c r="J995">
        <v>33.9375</v>
      </c>
      <c r="K995">
        <v>47</v>
      </c>
    </row>
    <row r="996" spans="1:11" ht="61.5">
      <c r="A996">
        <v>995</v>
      </c>
      <c r="B996" s="16"/>
      <c r="C996" t="s">
        <v>1054</v>
      </c>
      <c r="D996" s="1"/>
      <c r="E996" s="1" t="str">
        <f>_xlfn.REGEXREPLACE(C996, "(.*)\/$", "https://extremismterms.adl.org\1")</f>
        <v>https://extremismterms.adl.org/glossary/michigan-militia</v>
      </c>
      <c r="F996" s="1" t="str" cm="1">
        <f t="array" ref="F996">_xlfn.LET(_xlpm.rowNum,MATCH(E996,'glossaryterms-export'!C:C,0),
IF(AND(NOT(ISBLANK(INDEX('glossaryterms-export'!H:H,_xlpm.rowNum))),ISBLANK(INDEX('glossaryterms-export'!I:I,_xlpm.rowNum))),"Ready to Fix",""))</f>
        <v/>
      </c>
      <c r="G996">
        <v>17</v>
      </c>
      <c r="H996">
        <v>14</v>
      </c>
      <c r="I996">
        <v>1.21428571428571</v>
      </c>
      <c r="J996">
        <v>16.071428571428498</v>
      </c>
      <c r="K996">
        <v>42</v>
      </c>
    </row>
    <row r="997" spans="1:11" ht="77.25">
      <c r="A997">
        <v>996</v>
      </c>
      <c r="B997" s="16"/>
      <c r="C997" t="s">
        <v>1055</v>
      </c>
      <c r="D997" s="1"/>
      <c r="E997" s="1" t="str">
        <f>_xlfn.REGEXREPLACE(C997, "(.*)\/$", "https://extremismterms.adl.org\1")</f>
        <v>https://extremismterms.adl.org/glossary/northwest-imperative</v>
      </c>
      <c r="F997" s="1" t="str" cm="1">
        <f t="array" ref="F997">_xlfn.LET(_xlpm.rowNum,MATCH(E997,'glossaryterms-export'!C:C,0),
IF(AND(NOT(ISBLANK(INDEX('glossaryterms-export'!H:H,_xlpm.rowNum))),ISBLANK(INDEX('glossaryterms-export'!I:I,_xlpm.rowNum))),"Ready to Fix",""))</f>
        <v>Ready to Fix</v>
      </c>
      <c r="G997">
        <v>17</v>
      </c>
      <c r="H997">
        <v>16</v>
      </c>
      <c r="I997">
        <v>1.0625</v>
      </c>
      <c r="J997">
        <v>9.8125</v>
      </c>
      <c r="K997">
        <v>51</v>
      </c>
    </row>
    <row r="998" spans="1:11" ht="61.5">
      <c r="A998">
        <v>997</v>
      </c>
      <c r="B998" s="16" t="s">
        <v>228</v>
      </c>
      <c r="C998" t="s">
        <v>1056</v>
      </c>
      <c r="D998" s="1" t="s">
        <v>193</v>
      </c>
      <c r="E998" s="1" t="str">
        <f>_xlfn.REGEXREPLACE(C998, "(.*)\/$", "https://extremismterms.adl.org\1")</f>
        <v>https://extremismterms.adl.org/glossary/renaud-camus</v>
      </c>
      <c r="F998" s="1" t="str" cm="1">
        <f t="array" ref="F998">_xlfn.LET(_xlpm.rowNum,MATCH(E998,'glossaryterms-export'!C:C,0),
IF(AND(NOT(ISBLANK(INDEX('glossaryterms-export'!H:H,_xlpm.rowNum))),ISBLANK(INDEX('glossaryterms-export'!I:I,_xlpm.rowNum))),"Ready to Fix",""))</f>
        <v>Ready to Fix</v>
      </c>
      <c r="G998">
        <v>17</v>
      </c>
      <c r="H998">
        <v>16</v>
      </c>
      <c r="I998">
        <v>1.0625</v>
      </c>
      <c r="J998">
        <v>15.75</v>
      </c>
      <c r="K998">
        <v>51</v>
      </c>
    </row>
    <row r="999" spans="1:11" ht="61.5">
      <c r="A999">
        <v>998</v>
      </c>
      <c r="B999" s="16"/>
      <c r="C999" t="s">
        <v>1057</v>
      </c>
      <c r="D999" s="1"/>
      <c r="E999" s="1" t="str">
        <f>_xlfn.REGEXREPLACE(C999, "(.*)\/$", "https://extremismterms.adl.org\1")</f>
        <v>https://extremismterms.adl.org/glossary/sabiqun</v>
      </c>
      <c r="F999" s="1" t="str" cm="1">
        <f t="array" ref="F999">_xlfn.LET(_xlpm.rowNum,MATCH(E999,'glossaryterms-export'!C:C,0),
IF(AND(NOT(ISBLANK(INDEX('glossaryterms-export'!H:H,_xlpm.rowNum))),ISBLANK(INDEX('glossaryterms-export'!I:I,_xlpm.rowNum))),"Ready to Fix",""))</f>
        <v/>
      </c>
      <c r="G999">
        <v>17</v>
      </c>
      <c r="H999">
        <v>15</v>
      </c>
      <c r="I999">
        <v>1.13333333333333</v>
      </c>
      <c r="J999">
        <v>11.8666666666666</v>
      </c>
      <c r="K999">
        <v>44</v>
      </c>
    </row>
    <row r="1000" spans="1:11" ht="61.5">
      <c r="A1000">
        <v>999</v>
      </c>
      <c r="B1000" s="16"/>
      <c r="C1000" t="s">
        <v>1058</v>
      </c>
      <c r="D1000" s="1"/>
      <c r="E1000" s="1" t="str">
        <f>_xlfn.REGEXREPLACE(C1000, "(.*)\/$", "https://extremismterms.adl.org\1")</f>
        <v>https://extremismterms.adl.org/glossary/samuel-francis</v>
      </c>
      <c r="F1000" s="1" t="str" cm="1">
        <f t="array" ref="F1000">_xlfn.LET(_xlpm.rowNum,MATCH(E1000,'glossaryterms-export'!C:C,0),
IF(AND(NOT(ISBLANK(INDEX('glossaryterms-export'!H:H,_xlpm.rowNum))),ISBLANK(INDEX('glossaryterms-export'!I:I,_xlpm.rowNum))),"Ready to Fix",""))</f>
        <v/>
      </c>
      <c r="G1000">
        <v>17</v>
      </c>
      <c r="H1000">
        <v>17</v>
      </c>
      <c r="I1000">
        <v>1</v>
      </c>
      <c r="J1000">
        <v>13.176470588235199</v>
      </c>
      <c r="K1000">
        <v>49</v>
      </c>
    </row>
    <row r="1001" spans="1:11" ht="77.25">
      <c r="A1001">
        <v>1000</v>
      </c>
      <c r="B1001" s="16"/>
      <c r="C1001" t="s">
        <v>1059</v>
      </c>
      <c r="D1001" s="1"/>
      <c r="E1001" s="1" t="str">
        <f>_xlfn.REGEXREPLACE(C1001, "(.*)\/$", "https://extremismterms.adl.org\1")</f>
        <v>https://extremismterms.adl.org/glossary/shariashariahshariashariah</v>
      </c>
      <c r="F1001" s="1" t="str" cm="1">
        <f t="array" ref="F1001">_xlfn.LET(_xlpm.rowNum,MATCH(E1001,'glossaryterms-export'!C:C,0),
IF(AND(NOT(ISBLANK(INDEX('glossaryterms-export'!H:H,_xlpm.rowNum))),ISBLANK(INDEX('glossaryterms-export'!I:I,_xlpm.rowNum))),"Ready to Fix",""))</f>
        <v/>
      </c>
      <c r="G1001">
        <v>17</v>
      </c>
      <c r="H1001">
        <v>16</v>
      </c>
      <c r="I1001">
        <v>1.0625</v>
      </c>
      <c r="J1001">
        <v>17.8125</v>
      </c>
      <c r="K1001">
        <v>42</v>
      </c>
    </row>
    <row r="1002" spans="1:11" ht="77.25">
      <c r="A1002">
        <v>1001</v>
      </c>
      <c r="B1002" s="16"/>
      <c r="C1002" t="s">
        <v>1060</v>
      </c>
      <c r="D1002" s="1"/>
      <c r="E1002" s="1" t="str">
        <f>_xlfn.REGEXREPLACE(C1002, "(.*)\/$", "https://extremismterms.adl.org\1")</f>
        <v>https://extremismterms.adl.org/glossary/sturmabteilung-symbol</v>
      </c>
      <c r="F1002" s="1" t="str" cm="1">
        <f t="array" ref="F1002">_xlfn.LET(_xlpm.rowNum,MATCH(E1002,'glossaryterms-export'!C:C,0),
IF(AND(NOT(ISBLANK(INDEX('glossaryterms-export'!H:H,_xlpm.rowNum))),ISBLANK(INDEX('glossaryterms-export'!I:I,_xlpm.rowNum))),"Ready to Fix",""))</f>
        <v>Ready to Fix</v>
      </c>
      <c r="G1002">
        <v>17</v>
      </c>
      <c r="H1002">
        <v>14</v>
      </c>
      <c r="I1002">
        <v>1.21428571428571</v>
      </c>
      <c r="J1002">
        <v>18.357142857142801</v>
      </c>
      <c r="K1002">
        <v>40</v>
      </c>
    </row>
    <row r="1003" spans="1:11" ht="46.5">
      <c r="A1003">
        <v>1002</v>
      </c>
      <c r="B1003" s="16"/>
      <c r="C1003" t="s">
        <v>1061</v>
      </c>
      <c r="D1003" s="1"/>
      <c r="E1003" s="1" t="str">
        <f>_xlfn.REGEXREPLACE(C1003, "(.*)\/$", "https://extremismterms.adl.org\1")</f>
        <v>https://extremismterms.adl.org/glossary/28</v>
      </c>
      <c r="F1003" s="1" t="str" cm="1">
        <f t="array" ref="F1003">_xlfn.LET(_xlpm.rowNum,MATCH(E1003,'glossaryterms-export'!C:C,0),
IF(AND(NOT(ISBLANK(INDEX('glossaryterms-export'!H:H,_xlpm.rowNum))),ISBLANK(INDEX('glossaryterms-export'!I:I,_xlpm.rowNum))),"Ready to Fix",""))</f>
        <v>Ready to Fix</v>
      </c>
      <c r="G1003">
        <v>16</v>
      </c>
      <c r="H1003">
        <v>13</v>
      </c>
      <c r="I1003">
        <v>1.2307692307692299</v>
      </c>
      <c r="J1003">
        <v>11.4615384615384</v>
      </c>
      <c r="K1003">
        <v>44</v>
      </c>
    </row>
    <row r="1004" spans="1:11" ht="61.5">
      <c r="A1004">
        <v>1003</v>
      </c>
      <c r="B1004" s="16"/>
      <c r="C1004" t="s">
        <v>1062</v>
      </c>
      <c r="D1004" s="1"/>
      <c r="E1004" s="1" t="str">
        <f>_xlfn.REGEXREPLACE(C1004, "(.*)\/$", "https://extremismterms.adl.org\1")</f>
        <v>https://extremismterms.adl.org/glossary/al-sahab-media</v>
      </c>
      <c r="F1004" s="1" t="str" cm="1">
        <f t="array" ref="F1004">_xlfn.LET(_xlpm.rowNum,MATCH(E1004,'glossaryterms-export'!C:C,0),
IF(AND(NOT(ISBLANK(INDEX('glossaryterms-export'!H:H,_xlpm.rowNum))),ISBLANK(INDEX('glossaryterms-export'!I:I,_xlpm.rowNum))),"Ready to Fix",""))</f>
        <v/>
      </c>
      <c r="G1004">
        <v>16</v>
      </c>
      <c r="H1004">
        <v>14</v>
      </c>
      <c r="I1004">
        <v>1.1428571428571399</v>
      </c>
      <c r="J1004">
        <v>18.571428571428498</v>
      </c>
      <c r="K1004">
        <v>37</v>
      </c>
    </row>
    <row r="1005" spans="1:11" ht="61.5">
      <c r="A1005">
        <v>1004</v>
      </c>
      <c r="B1005" s="16"/>
      <c r="C1005" t="s">
        <v>1063</v>
      </c>
      <c r="D1005" s="1"/>
      <c r="E1005" s="1" t="str">
        <f>_xlfn.REGEXREPLACE(C1005, "(.*)\/$", "https://extremismterms.adl.org\1")</f>
        <v>https://extremismterms.adl.org/glossary/al-shabaab</v>
      </c>
      <c r="F1005" s="1" t="str" cm="1">
        <f t="array" ref="F1005">_xlfn.LET(_xlpm.rowNum,MATCH(E1005,'glossaryterms-export'!C:C,0),
IF(AND(NOT(ISBLANK(INDEX('glossaryterms-export'!H:H,_xlpm.rowNum))),ISBLANK(INDEX('glossaryterms-export'!I:I,_xlpm.rowNum))),"Ready to Fix",""))</f>
        <v/>
      </c>
      <c r="G1005">
        <v>16</v>
      </c>
      <c r="H1005">
        <v>16</v>
      </c>
      <c r="I1005">
        <v>1</v>
      </c>
      <c r="J1005">
        <v>19.4375</v>
      </c>
      <c r="K1005">
        <v>40</v>
      </c>
    </row>
    <row r="1006" spans="1:11" ht="61.5">
      <c r="A1006">
        <v>1005</v>
      </c>
      <c r="B1006" s="16"/>
      <c r="C1006" t="s">
        <v>1064</v>
      </c>
      <c r="D1006" s="1"/>
      <c r="E1006" s="1" t="str">
        <f>_xlfn.REGEXREPLACE(C1006, "(.*)\/$", "https://extremismterms.adl.org\1")</f>
        <v>https://extremismterms.adl.org/glossary/anchor-baby</v>
      </c>
      <c r="F1006" s="1" t="str" cm="1">
        <f t="array" ref="F1006">_xlfn.LET(_xlpm.rowNum,MATCH(E1006,'glossaryterms-export'!C:C,0),
IF(AND(NOT(ISBLANK(INDEX('glossaryterms-export'!H:H,_xlpm.rowNum))),ISBLANK(INDEX('glossaryterms-export'!I:I,_xlpm.rowNum))),"Ready to Fix",""))</f>
        <v/>
      </c>
      <c r="G1006">
        <v>16</v>
      </c>
      <c r="H1006">
        <v>16</v>
      </c>
      <c r="I1006">
        <v>1</v>
      </c>
      <c r="J1006">
        <v>26.375</v>
      </c>
      <c r="K1006">
        <v>39</v>
      </c>
    </row>
    <row r="1007" spans="1:11" ht="123">
      <c r="A1007">
        <v>1006</v>
      </c>
      <c r="B1007" s="14" t="s">
        <v>25</v>
      </c>
      <c r="C1007" t="s">
        <v>1065</v>
      </c>
      <c r="D1007" s="1" t="s">
        <v>20</v>
      </c>
      <c r="E1007" s="1" t="str">
        <f>_xlfn.REGEXREPLACE(C1007, "(.*)\/$", "https://extremismterms.adl.org\1")</f>
        <v>https://extremismterms.adl.org/glossary/citizens-grand-jury-common-law-grand-jury-peoples-grand-jury-0</v>
      </c>
      <c r="F1007" s="1" t="str" cm="1">
        <f t="array" ref="F1007">_xlfn.LET(_xlpm.rowNum,MATCH(E1007,'glossaryterms-export'!C:C,0),
IF(AND(NOT(ISBLANK(INDEX('glossaryterms-export'!H:H,_xlpm.rowNum))),ISBLANK(INDEX('glossaryterms-export'!I:I,_xlpm.rowNum))),"Ready to Fix",""))</f>
        <v/>
      </c>
      <c r="G1007">
        <v>16</v>
      </c>
      <c r="H1007">
        <v>13</v>
      </c>
      <c r="I1007">
        <v>1.2307692307692299</v>
      </c>
      <c r="J1007">
        <v>19.384615384615302</v>
      </c>
      <c r="K1007">
        <v>40</v>
      </c>
    </row>
    <row r="1008" spans="1:11" ht="61.5">
      <c r="A1008">
        <v>1007</v>
      </c>
      <c r="B1008" s="16"/>
      <c r="C1008" t="s">
        <v>1066</v>
      </c>
      <c r="D1008" s="1"/>
      <c r="E1008" s="1" t="str">
        <f>_xlfn.REGEXREPLACE(C1008, "(.*)\/$", "https://extremismterms.adl.org\1")</f>
        <v>https://extremismterms.adl.org/glossary/free-america-rally</v>
      </c>
      <c r="F1008" s="1" t="str" cm="1">
        <f t="array" ref="F1008">_xlfn.LET(_xlpm.rowNum,MATCH(E1008,'glossaryterms-export'!C:C,0),
IF(AND(NOT(ISBLANK(INDEX('glossaryterms-export'!H:H,_xlpm.rowNum))),ISBLANK(INDEX('glossaryterms-export'!I:I,_xlpm.rowNum))),"Ready to Fix",""))</f>
        <v/>
      </c>
      <c r="G1008">
        <v>16</v>
      </c>
      <c r="H1008">
        <v>16</v>
      </c>
      <c r="I1008">
        <v>1</v>
      </c>
      <c r="J1008">
        <v>5.1875</v>
      </c>
      <c r="K1008">
        <v>31</v>
      </c>
    </row>
    <row r="1009" spans="1:11" ht="61.5">
      <c r="A1009">
        <v>1008</v>
      </c>
      <c r="B1009" s="16"/>
      <c r="C1009" t="s">
        <v>1067</v>
      </c>
      <c r="D1009" s="1"/>
      <c r="E1009" s="1" t="str">
        <f>_xlfn.REGEXREPLACE(C1009, "(.*)\/$", "https://extremismterms.adl.org\1")</f>
        <v>https://extremismterms.adl.org/glossary/gary-gerhard-lauck</v>
      </c>
      <c r="F1009" s="1" t="str" cm="1">
        <f t="array" ref="F1009">_xlfn.LET(_xlpm.rowNum,MATCH(E1009,'glossaryterms-export'!C:C,0),
IF(AND(NOT(ISBLANK(INDEX('glossaryterms-export'!H:H,_xlpm.rowNum))),ISBLANK(INDEX('glossaryterms-export'!I:I,_xlpm.rowNum))),"Ready to Fix",""))</f>
        <v>Ready to Fix</v>
      </c>
      <c r="G1009">
        <v>16</v>
      </c>
      <c r="H1009">
        <v>15</v>
      </c>
      <c r="I1009">
        <v>1.06666666666666</v>
      </c>
      <c r="J1009">
        <v>9.4</v>
      </c>
      <c r="K1009">
        <v>33</v>
      </c>
    </row>
    <row r="1010" spans="1:11" ht="77.25">
      <c r="A1010">
        <v>1009</v>
      </c>
      <c r="B1010" s="16"/>
      <c r="C1010" t="s">
        <v>1068</v>
      </c>
      <c r="D1010" s="1"/>
      <c r="E1010" s="1" t="str">
        <f>_xlfn.REGEXREPLACE(C1010, "(.*)\/$", "https://extremismterms.adl.org\1")</f>
        <v>https://extremismterms.adl.org/glossary/james-harris-jackson</v>
      </c>
      <c r="F1010" s="1" t="str" cm="1">
        <f t="array" ref="F1010">_xlfn.LET(_xlpm.rowNum,MATCH(E1010,'glossaryterms-export'!C:C,0),
IF(AND(NOT(ISBLANK(INDEX('glossaryterms-export'!H:H,_xlpm.rowNum))),ISBLANK(INDEX('glossaryterms-export'!I:I,_xlpm.rowNum))),"Ready to Fix",""))</f>
        <v/>
      </c>
      <c r="G1010">
        <v>16</v>
      </c>
      <c r="H1010">
        <v>16</v>
      </c>
      <c r="I1010">
        <v>1</v>
      </c>
      <c r="J1010">
        <v>12</v>
      </c>
      <c r="K1010">
        <v>35</v>
      </c>
    </row>
    <row r="1011" spans="1:11" ht="61.5">
      <c r="A1011">
        <v>1010</v>
      </c>
      <c r="B1011" s="16"/>
      <c r="C1011" t="s">
        <v>1069</v>
      </c>
      <c r="D1011" s="1"/>
      <c r="E1011" s="1" t="str">
        <f>_xlfn.REGEXREPLACE(C1011, "(.*)\/$", "https://extremismterms.adl.org\1")</f>
        <v>https://extremismterms.adl.org/glossary/kabark-symbol</v>
      </c>
      <c r="F1011" s="1" t="str" cm="1">
        <f t="array" ref="F1011">_xlfn.LET(_xlpm.rowNum,MATCH(E1011,'glossaryterms-export'!C:C,0),
IF(AND(NOT(ISBLANK(INDEX('glossaryterms-export'!H:H,_xlpm.rowNum))),ISBLANK(INDEX('glossaryterms-export'!I:I,_xlpm.rowNum))),"Ready to Fix",""))</f>
        <v>Ready to Fix</v>
      </c>
      <c r="G1011">
        <v>16</v>
      </c>
      <c r="H1011">
        <v>14</v>
      </c>
      <c r="I1011">
        <v>1.1428571428571399</v>
      </c>
      <c r="J1011">
        <v>4.21428571428571</v>
      </c>
      <c r="K1011">
        <v>33</v>
      </c>
    </row>
    <row r="1012" spans="1:11" ht="61.5">
      <c r="A1012">
        <v>1011</v>
      </c>
      <c r="B1012" s="16"/>
      <c r="C1012" t="s">
        <v>1070</v>
      </c>
      <c r="D1012" s="1"/>
      <c r="E1012" s="1" t="str">
        <f>_xlfn.REGEXREPLACE(C1012, "(.*)\/$", "https://extremismterms.adl.org\1")</f>
        <v>https://extremismterms.adl.org/glossary/michael-hill</v>
      </c>
      <c r="F1012" s="1" t="str" cm="1">
        <f t="array" ref="F1012">_xlfn.LET(_xlpm.rowNum,MATCH(E1012,'glossaryterms-export'!C:C,0),
IF(AND(NOT(ISBLANK(INDEX('glossaryterms-export'!H:H,_xlpm.rowNum))),ISBLANK(INDEX('glossaryterms-export'!I:I,_xlpm.rowNum))),"Ready to Fix",""))</f>
        <v>Ready to Fix</v>
      </c>
      <c r="G1012">
        <v>16</v>
      </c>
      <c r="H1012">
        <v>14</v>
      </c>
      <c r="I1012">
        <v>1.1428571428571399</v>
      </c>
      <c r="J1012">
        <v>20.785714285714199</v>
      </c>
      <c r="K1012">
        <v>50</v>
      </c>
    </row>
    <row r="1013" spans="1:11" ht="77.25">
      <c r="A1013">
        <v>1012</v>
      </c>
      <c r="B1013" s="16"/>
      <c r="C1013" t="s">
        <v>1071</v>
      </c>
      <c r="D1013" s="1"/>
      <c r="E1013" s="1" t="str">
        <f>_xlfn.REGEXREPLACE(C1013, "(.*)\/$", "https://extremismterms.adl.org\1")</f>
        <v>https://extremismterms.adl.org/glossary/national-rebirth-poland-nop</v>
      </c>
      <c r="F1013" s="1" t="str" cm="1">
        <f t="array" ref="F1013">_xlfn.LET(_xlpm.rowNum,MATCH(E1013,'glossaryterms-export'!C:C,0),
IF(AND(NOT(ISBLANK(INDEX('glossaryterms-export'!H:H,_xlpm.rowNum))),ISBLANK(INDEX('glossaryterms-export'!I:I,_xlpm.rowNum))),"Ready to Fix",""))</f>
        <v>Ready to Fix</v>
      </c>
      <c r="G1013">
        <v>16</v>
      </c>
      <c r="H1013">
        <v>16</v>
      </c>
      <c r="I1013">
        <v>1</v>
      </c>
      <c r="J1013">
        <v>19.25</v>
      </c>
      <c r="K1013">
        <v>42</v>
      </c>
    </row>
    <row r="1014" spans="1:11" ht="92.25">
      <c r="A1014">
        <v>1013</v>
      </c>
      <c r="B1014" s="16"/>
      <c r="C1014" t="s">
        <v>1072</v>
      </c>
      <c r="D1014" s="1"/>
      <c r="E1014" s="1" t="str">
        <f>_xlfn.REGEXREPLACE(C1014, "(.*)\/$", "https://extremismterms.adl.org\1")</f>
        <v>https://extremismterms.adl.org/glossary/pittsburgh-synagogue-shooting</v>
      </c>
      <c r="F1014" s="1" t="str" cm="1">
        <f t="array" ref="F1014">_xlfn.LET(_xlpm.rowNum,MATCH(E1014,'glossaryterms-export'!C:C,0),
IF(AND(NOT(ISBLANK(INDEX('glossaryterms-export'!H:H,_xlpm.rowNum))),ISBLANK(INDEX('glossaryterms-export'!I:I,_xlpm.rowNum))),"Ready to Fix",""))</f>
        <v/>
      </c>
      <c r="G1014">
        <v>16</v>
      </c>
      <c r="H1014">
        <v>13</v>
      </c>
      <c r="I1014">
        <v>1.2307692307692299</v>
      </c>
      <c r="J1014">
        <v>12.3846153846153</v>
      </c>
      <c r="K1014">
        <v>34</v>
      </c>
    </row>
    <row r="1015" spans="1:11" ht="61.5">
      <c r="A1015">
        <v>1014</v>
      </c>
      <c r="B1015" s="16"/>
      <c r="C1015" t="s">
        <v>1073</v>
      </c>
      <c r="D1015" s="1"/>
      <c r="E1015" s="1" t="str">
        <f>_xlfn.REGEXREPLACE(C1015, "(.*)\/$", "https://extremismterms.adl.org\1")</f>
        <v>https://extremismterms.adl.org/glossary/rick-tyler</v>
      </c>
      <c r="F1015" s="1" t="str" cm="1">
        <f t="array" ref="F1015">_xlfn.LET(_xlpm.rowNum,MATCH(E1015,'glossaryterms-export'!C:C,0),
IF(AND(NOT(ISBLANK(INDEX('glossaryterms-export'!H:H,_xlpm.rowNum))),ISBLANK(INDEX('glossaryterms-export'!I:I,_xlpm.rowNum))),"Ready to Fix",""))</f>
        <v/>
      </c>
      <c r="G1015">
        <v>16</v>
      </c>
      <c r="H1015">
        <v>16</v>
      </c>
      <c r="I1015">
        <v>1</v>
      </c>
      <c r="J1015">
        <v>8.25</v>
      </c>
      <c r="K1015">
        <v>41</v>
      </c>
    </row>
    <row r="1016" spans="1:11" ht="77.25">
      <c r="A1016">
        <v>1015</v>
      </c>
      <c r="B1016" s="14" t="s">
        <v>15</v>
      </c>
      <c r="C1016" t="s">
        <v>1074</v>
      </c>
      <c r="D1016" s="1" t="s">
        <v>20</v>
      </c>
      <c r="E1016" s="1" t="str">
        <f>_xlfn.REGEXREPLACE(C1016, "(.*)\/$", "https://extremismterms.adl.org\1")</f>
        <v>https://extremismterms.adl.org/glossary/sealed-indictments-0</v>
      </c>
      <c r="F1016" s="1" t="str" cm="1">
        <f t="array" ref="F1016">_xlfn.LET(_xlpm.rowNum,MATCH(E1016,'glossaryterms-export'!C:C,0),
IF(AND(NOT(ISBLANK(INDEX('glossaryterms-export'!H:H,_xlpm.rowNum))),ISBLANK(INDEX('glossaryterms-export'!I:I,_xlpm.rowNum))),"Ready to Fix",""))</f>
        <v/>
      </c>
      <c r="G1016">
        <v>16</v>
      </c>
      <c r="H1016">
        <v>15</v>
      </c>
      <c r="I1016">
        <v>1.06666666666666</v>
      </c>
      <c r="J1016">
        <v>12.2</v>
      </c>
      <c r="K1016">
        <v>33</v>
      </c>
    </row>
    <row r="1017" spans="1:11" ht="92.25">
      <c r="A1017">
        <v>1016</v>
      </c>
      <c r="B1017" s="16"/>
      <c r="C1017" t="s">
        <v>1075</v>
      </c>
      <c r="D1017" s="1"/>
      <c r="E1017" s="1" t="str">
        <f>_xlfn.REGEXREPLACE(C1017, "(.*)\/$", "https://extremismterms.adl.org\1")</f>
        <v>https://extremismterms.adl.org/glossary/syed-rizwan-farook-and-tashfeen-malik</v>
      </c>
      <c r="F1017" s="1" t="str" cm="1">
        <f t="array" ref="F1017">_xlfn.LET(_xlpm.rowNum,MATCH(E1017,'glossaryterms-export'!C:C,0),
IF(AND(NOT(ISBLANK(INDEX('glossaryterms-export'!H:H,_xlpm.rowNum))),ISBLANK(INDEX('glossaryterms-export'!I:I,_xlpm.rowNum))),"Ready to Fix",""))</f>
        <v/>
      </c>
      <c r="G1017">
        <v>16</v>
      </c>
      <c r="H1017">
        <v>14</v>
      </c>
      <c r="I1017">
        <v>1.1428571428571399</v>
      </c>
      <c r="J1017">
        <v>11.285714285714199</v>
      </c>
      <c r="K1017">
        <v>46</v>
      </c>
    </row>
    <row r="1018" spans="1:11" ht="108">
      <c r="A1018">
        <v>1017</v>
      </c>
      <c r="B1018" s="16"/>
      <c r="C1018" t="s">
        <v>1076</v>
      </c>
      <c r="D1018" s="1"/>
      <c r="E1018" s="1" t="str">
        <f>_xlfn.REGEXREPLACE(C1018, "(.*)\/$", "https://extremismterms.adl.org\1")</f>
        <v>https://extremismterms.adl.org/glossary/islamic-state-hacking-division-ishd-united-cyber-caliphate</v>
      </c>
      <c r="F1018" s="1" t="str" cm="1">
        <f t="array" ref="F1018">_xlfn.LET(_xlpm.rowNum,MATCH(E1018,'glossaryterms-export'!C:C,0),
IF(AND(NOT(ISBLANK(INDEX('glossaryterms-export'!H:H,_xlpm.rowNum))),ISBLANK(INDEX('glossaryterms-export'!I:I,_xlpm.rowNum))),"Ready to Fix",""))</f>
        <v/>
      </c>
      <c r="G1018">
        <v>15</v>
      </c>
      <c r="H1018">
        <v>15</v>
      </c>
      <c r="I1018">
        <v>1</v>
      </c>
      <c r="J1018">
        <v>10.3333333333333</v>
      </c>
      <c r="K1018">
        <v>43</v>
      </c>
    </row>
    <row r="1019" spans="1:11" ht="77.25">
      <c r="A1019">
        <v>1018</v>
      </c>
      <c r="B1019" s="16"/>
      <c r="C1019" t="s">
        <v>1077</v>
      </c>
      <c r="D1019" s="1"/>
      <c r="E1019" s="1" t="str">
        <f>_xlfn.REGEXREPLACE(C1019, "(.*)\/$", "https://extremismterms.adl.org\1")</f>
        <v>https://extremismterms.adl.org/glossary/jersey-city-kosher-market-shooting</v>
      </c>
      <c r="F1019" s="1" t="str" cm="1">
        <f t="array" ref="F1019">_xlfn.LET(_xlpm.rowNum,MATCH(E1019,'glossaryterms-export'!C:C,0),
IF(AND(NOT(ISBLANK(INDEX('glossaryterms-export'!H:H,_xlpm.rowNum))),ISBLANK(INDEX('glossaryterms-export'!I:I,_xlpm.rowNum))),"Ready to Fix",""))</f>
        <v/>
      </c>
      <c r="G1019">
        <v>15</v>
      </c>
      <c r="H1019">
        <v>14</v>
      </c>
      <c r="I1019">
        <v>1.0714285714285701</v>
      </c>
      <c r="J1019">
        <v>7.8571428571428497</v>
      </c>
      <c r="K1019">
        <v>32</v>
      </c>
    </row>
    <row r="1020" spans="1:11" ht="61.5">
      <c r="A1020">
        <v>1019</v>
      </c>
      <c r="B1020" s="16"/>
      <c r="C1020" t="s">
        <v>1078</v>
      </c>
      <c r="D1020" s="1"/>
      <c r="E1020" s="1" t="str">
        <f>_xlfn.REGEXREPLACE(C1020, "(.*)\/$", "https://extremismterms.adl.org\1")</f>
        <v>https://extremismterms.adl.org/glossary/klasp-symbol</v>
      </c>
      <c r="F1020" s="1" t="str" cm="1">
        <f t="array" ref="F1020">_xlfn.LET(_xlpm.rowNum,MATCH(E1020,'glossaryterms-export'!C:C,0),
IF(AND(NOT(ISBLANK(INDEX('glossaryterms-export'!H:H,_xlpm.rowNum))),ISBLANK(INDEX('glossaryterms-export'!I:I,_xlpm.rowNum))),"Ready to Fix",""))</f>
        <v>Ready to Fix</v>
      </c>
      <c r="G1020">
        <v>15</v>
      </c>
      <c r="H1020">
        <v>13</v>
      </c>
      <c r="I1020">
        <v>1.15384615384615</v>
      </c>
      <c r="J1020">
        <v>7.0769230769230704</v>
      </c>
      <c r="K1020">
        <v>37</v>
      </c>
    </row>
    <row r="1021" spans="1:11" ht="92.25">
      <c r="A1021">
        <v>1020</v>
      </c>
      <c r="B1021" s="16"/>
      <c r="C1021" t="s">
        <v>1079</v>
      </c>
      <c r="D1021" s="1"/>
      <c r="E1021" s="1" t="str">
        <f>_xlfn.REGEXREPLACE(C1021, "(.*)\/$", "https://extremismterms.adl.org\1")</f>
        <v>https://extremismterms.adl.org/glossary/national-democratic-party-npd</v>
      </c>
      <c r="F1021" s="1" t="str" cm="1">
        <f t="array" ref="F1021">_xlfn.LET(_xlpm.rowNum,MATCH(E1021,'glossaryterms-export'!C:C,0),
IF(AND(NOT(ISBLANK(INDEX('glossaryterms-export'!H:H,_xlpm.rowNum))),ISBLANK(INDEX('glossaryterms-export'!I:I,_xlpm.rowNum))),"Ready to Fix",""))</f>
        <v/>
      </c>
      <c r="G1021">
        <v>15</v>
      </c>
      <c r="H1021">
        <v>14</v>
      </c>
      <c r="I1021">
        <v>1.0714285714285701</v>
      </c>
      <c r="J1021">
        <v>9.2857142857142794</v>
      </c>
      <c r="K1021">
        <v>33</v>
      </c>
    </row>
    <row r="1022" spans="1:11" ht="61.5">
      <c r="A1022">
        <v>1021</v>
      </c>
      <c r="B1022" s="16"/>
      <c r="C1022" t="s">
        <v>1080</v>
      </c>
      <c r="D1022" s="1"/>
      <c r="E1022" s="1" t="str">
        <f>_xlfn.REGEXREPLACE(C1022, "(.*)\/$", "https://extremismterms.adl.org\1")</f>
        <v>https://extremismterms.adl.org/glossary/ramzi-yousef</v>
      </c>
      <c r="F1022" s="1" t="str" cm="1">
        <f t="array" ref="F1022">_xlfn.LET(_xlpm.rowNum,MATCH(E1022,'glossaryterms-export'!C:C,0),
IF(AND(NOT(ISBLANK(INDEX('glossaryterms-export'!H:H,_xlpm.rowNum))),ISBLANK(INDEX('glossaryterms-export'!I:I,_xlpm.rowNum))),"Ready to Fix",""))</f>
        <v/>
      </c>
      <c r="G1022">
        <v>15</v>
      </c>
      <c r="H1022">
        <v>11</v>
      </c>
      <c r="I1022">
        <v>1.36363636363636</v>
      </c>
      <c r="J1022">
        <v>11.363636363636299</v>
      </c>
      <c r="K1022">
        <v>43</v>
      </c>
    </row>
    <row r="1023" spans="1:11" ht="77.25">
      <c r="A1023">
        <v>1022</v>
      </c>
      <c r="B1023" s="16"/>
      <c r="C1023" t="s">
        <v>1081</v>
      </c>
      <c r="D1023" s="1"/>
      <c r="E1023" s="1" t="str">
        <f>_xlfn.REGEXREPLACE(C1023, "(.*)\/$", "https://extremismterms.adl.org\1")</f>
        <v>https://extremismterms.adl.org/glossary/san-bernardino-shooting</v>
      </c>
      <c r="F1023" s="1" t="str" cm="1">
        <f t="array" ref="F1023">_xlfn.LET(_xlpm.rowNum,MATCH(E1023,'glossaryterms-export'!C:C,0),
IF(AND(NOT(ISBLANK(INDEX('glossaryterms-export'!H:H,_xlpm.rowNum))),ISBLANK(INDEX('glossaryterms-export'!I:I,_xlpm.rowNum))),"Ready to Fix",""))</f>
        <v/>
      </c>
      <c r="G1023">
        <v>15</v>
      </c>
      <c r="H1023">
        <v>14</v>
      </c>
      <c r="I1023">
        <v>1.0714285714285701</v>
      </c>
      <c r="J1023">
        <v>15.285714285714199</v>
      </c>
      <c r="K1023">
        <v>35</v>
      </c>
    </row>
    <row r="1024" spans="1:11" ht="77.25">
      <c r="A1024">
        <v>1023</v>
      </c>
      <c r="B1024" s="11" t="s">
        <v>124</v>
      </c>
      <c r="C1024" t="s">
        <v>1082</v>
      </c>
      <c r="D1024" s="1" t="s">
        <v>20</v>
      </c>
      <c r="E1024" s="1" t="str">
        <f>_xlfn.REGEXREPLACE(C1024, "(.*)\/$", "https://extremismterms.adl.org\1")</f>
        <v>https://extremismterms.adl.org/glossary/washitaw-empirenation</v>
      </c>
      <c r="F1024" s="1" t="str" cm="1">
        <f t="array" ref="F1024">_xlfn.LET(_xlpm.rowNum,MATCH(E1024,'glossaryterms-export'!C:C,0),
IF(AND(NOT(ISBLANK(INDEX('glossaryterms-export'!H:H,_xlpm.rowNum))),ISBLANK(INDEX('glossaryterms-export'!I:I,_xlpm.rowNum))),"Ready to Fix",""))</f>
        <v/>
      </c>
      <c r="G1024">
        <v>15</v>
      </c>
      <c r="H1024">
        <v>15</v>
      </c>
      <c r="I1024">
        <v>1</v>
      </c>
      <c r="J1024">
        <v>23.6666666666666</v>
      </c>
      <c r="K1024">
        <v>39</v>
      </c>
    </row>
    <row r="1025" spans="1:11">
      <c r="A1025">
        <v>1024</v>
      </c>
      <c r="B1025" s="16"/>
      <c r="C1025" t="s">
        <v>1083</v>
      </c>
      <c r="D1025" s="1"/>
      <c r="E1025" s="1"/>
      <c r="F1025" s="1" t="str" cm="1">
        <f t="array" ref="F1025">_xlfn.LET(_xlpm.rowNum,MATCH(E1025,'glossaryterms-export'!C:C,0),
IF(AND(NOT(ISBLANK(INDEX('glossaryterms-export'!H:H,_xlpm.rowNum))),ISBLANK(INDEX('glossaryterms-export'!I:I,_xlpm.rowNum))),"Ready to Fix",""))</f>
        <v/>
      </c>
      <c r="G1025">
        <v>15</v>
      </c>
      <c r="H1025">
        <v>15</v>
      </c>
      <c r="I1025">
        <v>1</v>
      </c>
      <c r="J1025">
        <v>45.8</v>
      </c>
      <c r="K1025">
        <v>64</v>
      </c>
    </row>
    <row r="1026" spans="1:11" ht="61.5">
      <c r="A1026">
        <v>1025</v>
      </c>
      <c r="B1026" s="16"/>
      <c r="C1026" t="s">
        <v>1084</v>
      </c>
      <c r="D1026" s="1"/>
      <c r="E1026" s="1" t="str">
        <f>_xlfn.REGEXREPLACE(C1026, "(.*)\/$", "https://extremismterms.adl.org\1")</f>
        <v>https://extremismterms.adl.org/glossary/bundy-ranch</v>
      </c>
      <c r="F1026" s="1" t="str" cm="1">
        <f t="array" ref="F1026">_xlfn.LET(_xlpm.rowNum,MATCH(E1026,'glossaryterms-export'!C:C,0),
IF(AND(NOT(ISBLANK(INDEX('glossaryterms-export'!H:H,_xlpm.rowNum))),ISBLANK(INDEX('glossaryterms-export'!I:I,_xlpm.rowNum))),"Ready to Fix",""))</f>
        <v>Ready to Fix</v>
      </c>
      <c r="G1026">
        <v>14</v>
      </c>
      <c r="H1026">
        <v>14</v>
      </c>
      <c r="I1026">
        <v>1</v>
      </c>
      <c r="J1026">
        <v>23.571428571428498</v>
      </c>
      <c r="K1026">
        <v>50</v>
      </c>
    </row>
    <row r="1027" spans="1:11" ht="61.5">
      <c r="A1027">
        <v>1026</v>
      </c>
      <c r="B1027" s="16"/>
      <c r="C1027" t="s">
        <v>1085</v>
      </c>
      <c r="D1027" s="1"/>
      <c r="E1027" s="1" t="str">
        <f>_xlfn.REGEXREPLACE(C1027, "(.*)\/$", "https://extremismterms.adl.org\1")</f>
        <v>https://extremismterms.adl.org/glossary/hasher-jallal-taheb</v>
      </c>
      <c r="F1027" s="1" t="str" cm="1">
        <f t="array" ref="F1027">_xlfn.LET(_xlpm.rowNum,MATCH(E1027,'glossaryterms-export'!C:C,0),
IF(AND(NOT(ISBLANK(INDEX('glossaryterms-export'!H:H,_xlpm.rowNum))),ISBLANK(INDEX('glossaryterms-export'!I:I,_xlpm.rowNum))),"Ready to Fix",""))</f>
        <v/>
      </c>
      <c r="G1027">
        <v>14</v>
      </c>
      <c r="H1027">
        <v>14</v>
      </c>
      <c r="I1027">
        <v>1</v>
      </c>
      <c r="J1027">
        <v>11.714285714285699</v>
      </c>
      <c r="K1027">
        <v>29</v>
      </c>
    </row>
    <row r="1028" spans="1:11" ht="61.5">
      <c r="A1028">
        <v>1027</v>
      </c>
      <c r="B1028" s="16"/>
      <c r="C1028" t="s">
        <v>1086</v>
      </c>
      <c r="D1028" s="1"/>
      <c r="E1028" s="1" t="str">
        <f>_xlfn.REGEXREPLACE(C1028, "(.*)\/$", "https://extremismterms.adl.org\1")</f>
        <v>https://extremismterms.adl.org/glossary/leo-felton</v>
      </c>
      <c r="F1028" s="1" t="str" cm="1">
        <f t="array" ref="F1028">_xlfn.LET(_xlpm.rowNum,MATCH(E1028,'glossaryterms-export'!C:C,0),
IF(AND(NOT(ISBLANK(INDEX('glossaryterms-export'!H:H,_xlpm.rowNum))),ISBLANK(INDEX('glossaryterms-export'!I:I,_xlpm.rowNum))),"Ready to Fix",""))</f>
        <v>Ready to Fix</v>
      </c>
      <c r="G1028">
        <v>14</v>
      </c>
      <c r="H1028">
        <v>14</v>
      </c>
      <c r="I1028">
        <v>1</v>
      </c>
      <c r="J1028">
        <v>10.714285714285699</v>
      </c>
      <c r="K1028">
        <v>36</v>
      </c>
    </row>
    <row r="1029" spans="1:11" ht="77.25">
      <c r="A1029">
        <v>1028</v>
      </c>
      <c r="B1029" s="16"/>
      <c r="C1029" t="s">
        <v>1087</v>
      </c>
      <c r="D1029" s="1"/>
      <c r="E1029" s="1" t="str">
        <f>_xlfn.REGEXREPLACE(C1029, "(.*)\/$", "https://extremismterms.adl.org\1")</f>
        <v>https://extremismterms.adl.org/glossary/message-blackman-america</v>
      </c>
      <c r="F1029" s="1" t="str" cm="1">
        <f t="array" ref="F1029">_xlfn.LET(_xlpm.rowNum,MATCH(E1029,'glossaryterms-export'!C:C,0),
IF(AND(NOT(ISBLANK(INDEX('glossaryterms-export'!H:H,_xlpm.rowNum))),ISBLANK(INDEX('glossaryterms-export'!I:I,_xlpm.rowNum))),"Ready to Fix",""))</f>
        <v/>
      </c>
      <c r="G1029">
        <v>14</v>
      </c>
      <c r="H1029">
        <v>13</v>
      </c>
      <c r="I1029">
        <v>1.07692307692307</v>
      </c>
      <c r="J1029">
        <v>13.2307692307692</v>
      </c>
      <c r="K1029">
        <v>33</v>
      </c>
    </row>
    <row r="1030" spans="1:11" ht="61.5">
      <c r="A1030">
        <v>1029</v>
      </c>
      <c r="B1030" s="16"/>
      <c r="C1030" t="s">
        <v>1088</v>
      </c>
      <c r="D1030" s="1"/>
      <c r="E1030" s="1" t="str">
        <f>_xlfn.REGEXREPLACE(C1030, "(.*)\/$", "https://extremismterms.adl.org\1")</f>
        <v>https://extremismterms.adl.org/glossary/nationalist-front</v>
      </c>
      <c r="F1030" s="1" t="str" cm="1">
        <f t="array" ref="F1030">_xlfn.LET(_xlpm.rowNum,MATCH(E1030,'glossaryterms-export'!C:C,0),
IF(AND(NOT(ISBLANK(INDEX('glossaryterms-export'!H:H,_xlpm.rowNum))),ISBLANK(INDEX('glossaryterms-export'!I:I,_xlpm.rowNum))),"Ready to Fix",""))</f>
        <v>Ready to Fix</v>
      </c>
      <c r="G1030">
        <v>14</v>
      </c>
      <c r="H1030">
        <v>13</v>
      </c>
      <c r="I1030">
        <v>1.07692307692307</v>
      </c>
      <c r="J1030">
        <v>16.846153846153801</v>
      </c>
      <c r="K1030">
        <v>43</v>
      </c>
    </row>
    <row r="1031" spans="1:11" ht="61.5">
      <c r="A1031">
        <v>1030</v>
      </c>
      <c r="B1031" s="16"/>
      <c r="C1031" t="s">
        <v>1089</v>
      </c>
      <c r="D1031" s="1"/>
      <c r="E1031" s="1" t="str">
        <f>_xlfn.REGEXREPLACE(C1031, "(.*)\/$", "https://extremismterms.adl.org\1")</f>
        <v>https://extremismterms.adl.org/glossary/parler</v>
      </c>
      <c r="F1031" s="1" t="str" cm="1">
        <f t="array" ref="F1031">_xlfn.LET(_xlpm.rowNum,MATCH(E1031,'glossaryterms-export'!C:C,0),
IF(AND(NOT(ISBLANK(INDEX('glossaryterms-export'!H:H,_xlpm.rowNum))),ISBLANK(INDEX('glossaryterms-export'!I:I,_xlpm.rowNum))),"Ready to Fix",""))</f>
        <v>Ready to Fix</v>
      </c>
      <c r="G1031">
        <v>14</v>
      </c>
      <c r="H1031">
        <v>13</v>
      </c>
      <c r="I1031">
        <v>1.07692307692307</v>
      </c>
      <c r="J1031">
        <v>16.692307692307601</v>
      </c>
      <c r="K1031">
        <v>37</v>
      </c>
    </row>
    <row r="1032" spans="1:11" ht="61.5">
      <c r="A1032">
        <v>1031</v>
      </c>
      <c r="B1032" s="16"/>
      <c r="C1032" t="s">
        <v>1090</v>
      </c>
      <c r="D1032" s="1"/>
      <c r="E1032" s="1" t="str">
        <f>_xlfn.REGEXREPLACE(C1032, "(.*)\/$", "https://extremismterms.adl.org\1")</f>
        <v>https://extremismterms.adl.org/glossary/samuel-woodward</v>
      </c>
      <c r="F1032" s="1" t="str" cm="1">
        <f t="array" ref="F1032">_xlfn.LET(_xlpm.rowNum,MATCH(E1032,'glossaryterms-export'!C:C,0),
IF(AND(NOT(ISBLANK(INDEX('glossaryterms-export'!H:H,_xlpm.rowNum))),ISBLANK(INDEX('glossaryterms-export'!I:I,_xlpm.rowNum))),"Ready to Fix",""))</f>
        <v>Ready to Fix</v>
      </c>
      <c r="G1032">
        <v>14</v>
      </c>
      <c r="H1032">
        <v>14</v>
      </c>
      <c r="I1032">
        <v>1</v>
      </c>
      <c r="J1032">
        <v>10.214285714285699</v>
      </c>
      <c r="K1032">
        <v>34</v>
      </c>
    </row>
    <row r="1033" spans="1:11" ht="61.5">
      <c r="A1033">
        <v>1032</v>
      </c>
      <c r="B1033" s="16"/>
      <c r="C1033" t="s">
        <v>1091</v>
      </c>
      <c r="D1033" s="1"/>
      <c r="E1033" s="1" t="str">
        <f>_xlfn.REGEXREPLACE(C1033, "(.*)\/$", "https://extremismterms.adl.org\1")</f>
        <v>https://extremismterms.adl.org/glossary/suidlanders</v>
      </c>
      <c r="F1033" s="1" t="str" cm="1">
        <f t="array" ref="F1033">_xlfn.LET(_xlpm.rowNum,MATCH(E1033,'glossaryterms-export'!C:C,0),
IF(AND(NOT(ISBLANK(INDEX('glossaryterms-export'!H:H,_xlpm.rowNum))),ISBLANK(INDEX('glossaryterms-export'!I:I,_xlpm.rowNum))),"Ready to Fix",""))</f>
        <v/>
      </c>
      <c r="G1033">
        <v>14</v>
      </c>
      <c r="H1033">
        <v>13</v>
      </c>
      <c r="I1033">
        <v>1.07692307692307</v>
      </c>
      <c r="J1033">
        <v>4.8461538461538396</v>
      </c>
      <c r="K1033">
        <v>34</v>
      </c>
    </row>
    <row r="1034" spans="1:11" ht="46.5">
      <c r="A1034">
        <v>1033</v>
      </c>
      <c r="B1034" s="16"/>
      <c r="C1034" t="s">
        <v>1092</v>
      </c>
      <c r="D1034" s="1"/>
      <c r="E1034" s="1" t="str">
        <f>_xlfn.REGEXREPLACE(C1034, "(.*)\/$", "https://extremismterms.adl.org\1")</f>
        <v>https://extremismterms.adl.org/glossary/wp</v>
      </c>
      <c r="F1034" s="1" t="str" cm="1">
        <f t="array" ref="F1034">_xlfn.LET(_xlpm.rowNum,MATCH(E1034,'glossaryterms-export'!C:C,0),
IF(AND(NOT(ISBLANK(INDEX('glossaryterms-export'!H:H,_xlpm.rowNum))),ISBLANK(INDEX('glossaryterms-export'!I:I,_xlpm.rowNum))),"Ready to Fix",""))</f>
        <v/>
      </c>
      <c r="G1034">
        <v>14</v>
      </c>
      <c r="H1034">
        <v>12</v>
      </c>
      <c r="I1034">
        <v>1.1666666666666601</v>
      </c>
      <c r="J1034">
        <v>9.5833333333333304</v>
      </c>
      <c r="K1034">
        <v>36</v>
      </c>
    </row>
    <row r="1035" spans="1:11" ht="61.5">
      <c r="A1035">
        <v>1034</v>
      </c>
      <c r="B1035" s="16"/>
      <c r="C1035" t="s">
        <v>1093</v>
      </c>
      <c r="D1035" s="1"/>
      <c r="E1035" s="1" t="str">
        <f>_xlfn.REGEXREPLACE(C1035, "(.*)\/$", "https://extremismterms.adl.org\1")</f>
        <v>https://extremismterms.adl.org/glossary/boko-haram</v>
      </c>
      <c r="F1035" s="1" t="str" cm="1">
        <f t="array" ref="F1035">_xlfn.LET(_xlpm.rowNum,MATCH(E1035,'glossaryterms-export'!C:C,0),
IF(AND(NOT(ISBLANK(INDEX('glossaryterms-export'!H:H,_xlpm.rowNum))),ISBLANK(INDEX('glossaryterms-export'!I:I,_xlpm.rowNum))),"Ready to Fix",""))</f>
        <v/>
      </c>
      <c r="G1035">
        <v>13</v>
      </c>
      <c r="H1035">
        <v>13</v>
      </c>
      <c r="I1035">
        <v>1</v>
      </c>
      <c r="J1035">
        <v>32.846153846153797</v>
      </c>
      <c r="K1035">
        <v>35</v>
      </c>
    </row>
    <row r="1036" spans="1:11" ht="77.25">
      <c r="A1036">
        <v>1035</v>
      </c>
      <c r="B1036" s="16"/>
      <c r="C1036" t="s">
        <v>1094</v>
      </c>
      <c r="D1036" s="1"/>
      <c r="E1036" s="1" t="str">
        <f>_xlfn.REGEXREPLACE(C1036, "(.*)\/$", "https://extremismterms.adl.org\1")</f>
        <v>https://extremismterms.adl.org/glossary/breadcrumbsbreads</v>
      </c>
      <c r="F1036" s="1" t="str" cm="1">
        <f t="array" ref="F1036">_xlfn.LET(_xlpm.rowNum,MATCH(E1036,'glossaryterms-export'!C:C,0),
IF(AND(NOT(ISBLANK(INDEX('glossaryterms-export'!H:H,_xlpm.rowNum))),ISBLANK(INDEX('glossaryterms-export'!I:I,_xlpm.rowNum))),"Ready to Fix",""))</f>
        <v>Ready to Fix</v>
      </c>
      <c r="G1036">
        <v>13</v>
      </c>
      <c r="H1036">
        <v>13</v>
      </c>
      <c r="I1036">
        <v>1</v>
      </c>
      <c r="J1036">
        <v>9.3846153846153797</v>
      </c>
      <c r="K1036">
        <v>37</v>
      </c>
    </row>
    <row r="1037" spans="1:11" ht="77.25">
      <c r="A1037">
        <v>1036</v>
      </c>
      <c r="B1037" s="16"/>
      <c r="C1037" t="s">
        <v>1095</v>
      </c>
      <c r="D1037" s="1"/>
      <c r="E1037" s="1" t="str">
        <f>_xlfn.REGEXREPLACE(C1037, "(.*)\/$", "https://extremismterms.adl.org\1")</f>
        <v>https://extremismterms.adl.org/glossary/john-william-kirby-kelley</v>
      </c>
      <c r="F1037" s="1" t="str" cm="1">
        <f t="array" ref="F1037">_xlfn.LET(_xlpm.rowNum,MATCH(E1037,'glossaryterms-export'!C:C,0),
IF(AND(NOT(ISBLANK(INDEX('glossaryterms-export'!H:H,_xlpm.rowNum))),ISBLANK(INDEX('glossaryterms-export'!I:I,_xlpm.rowNum))),"Ready to Fix",""))</f>
        <v>Ready to Fix</v>
      </c>
      <c r="G1037">
        <v>13</v>
      </c>
      <c r="H1037">
        <v>13</v>
      </c>
      <c r="I1037">
        <v>1</v>
      </c>
      <c r="J1037">
        <v>17.230769230769202</v>
      </c>
      <c r="K1037">
        <v>30</v>
      </c>
    </row>
    <row r="1038" spans="1:11" ht="61.5">
      <c r="A1038">
        <v>1037</v>
      </c>
      <c r="B1038" s="16"/>
      <c r="C1038" t="s">
        <v>1096</v>
      </c>
      <c r="D1038" s="1"/>
      <c r="E1038" s="1" t="str">
        <f>_xlfn.REGEXREPLACE(C1038, "(.*)\/$", "https://extremismterms.adl.org\1")</f>
        <v>https://extremismterms.adl.org/glossary/london-forum</v>
      </c>
      <c r="F1038" s="1" t="str" cm="1">
        <f t="array" ref="F1038">_xlfn.LET(_xlpm.rowNum,MATCH(E1038,'glossaryterms-export'!C:C,0),
IF(AND(NOT(ISBLANK(INDEX('glossaryterms-export'!H:H,_xlpm.rowNum))),ISBLANK(INDEX('glossaryterms-export'!I:I,_xlpm.rowNum))),"Ready to Fix",""))</f>
        <v>Ready to Fix</v>
      </c>
      <c r="G1038">
        <v>13</v>
      </c>
      <c r="H1038">
        <v>12</v>
      </c>
      <c r="I1038">
        <v>1.0833333333333299</v>
      </c>
      <c r="J1038">
        <v>11.6666666666666</v>
      </c>
      <c r="K1038">
        <v>31</v>
      </c>
    </row>
    <row r="1039" spans="1:11" ht="61.5">
      <c r="A1039">
        <v>1038</v>
      </c>
      <c r="B1039" s="16"/>
      <c r="C1039" t="s">
        <v>1097</v>
      </c>
      <c r="D1039" s="1"/>
      <c r="E1039" s="1" t="str">
        <f>_xlfn.REGEXREPLACE(C1039, "(.*)\/$", "https://extremismterms.adl.org\1")</f>
        <v>https://extremismterms.adl.org/glossary/media-jihad</v>
      </c>
      <c r="F1039" s="1" t="str" cm="1">
        <f t="array" ref="F1039">_xlfn.LET(_xlpm.rowNum,MATCH(E1039,'glossaryterms-export'!C:C,0),
IF(AND(NOT(ISBLANK(INDEX('glossaryterms-export'!H:H,_xlpm.rowNum))),ISBLANK(INDEX('glossaryterms-export'!I:I,_xlpm.rowNum))),"Ready to Fix",""))</f>
        <v/>
      </c>
      <c r="G1039">
        <v>13</v>
      </c>
      <c r="H1039">
        <v>13</v>
      </c>
      <c r="I1039">
        <v>1</v>
      </c>
      <c r="J1039">
        <v>5.6153846153846096</v>
      </c>
      <c r="K1039">
        <v>26</v>
      </c>
    </row>
    <row r="1040" spans="1:11" ht="61.5">
      <c r="A1040">
        <v>1039</v>
      </c>
      <c r="B1040" s="16"/>
      <c r="C1040" t="s">
        <v>1098</v>
      </c>
      <c r="D1040" s="1"/>
      <c r="E1040" s="1" t="str">
        <f>_xlfn.REGEXREPLACE(C1040, "(.*)\/$", "https://extremismterms.adl.org\1")</f>
        <v>https://extremismterms.adl.org/glossary/nsm-legacy-logos</v>
      </c>
      <c r="F1040" s="1" t="str" cm="1">
        <f t="array" ref="F1040">_xlfn.LET(_xlpm.rowNum,MATCH(E1040,'glossaryterms-export'!C:C,0),
IF(AND(NOT(ISBLANK(INDEX('glossaryterms-export'!H:H,_xlpm.rowNum))),ISBLANK(INDEX('glossaryterms-export'!I:I,_xlpm.rowNum))),"Ready to Fix",""))</f>
        <v>Ready to Fix</v>
      </c>
      <c r="G1040">
        <v>13</v>
      </c>
      <c r="H1040">
        <v>12</v>
      </c>
      <c r="I1040">
        <v>1.0833333333333299</v>
      </c>
      <c r="J1040">
        <v>7.5833333333333304</v>
      </c>
      <c r="K1040">
        <v>33</v>
      </c>
    </row>
    <row r="1041" spans="1:11" ht="61.5">
      <c r="A1041">
        <v>1040</v>
      </c>
      <c r="B1041" s="16"/>
      <c r="C1041" t="s">
        <v>1099</v>
      </c>
      <c r="D1041" s="1"/>
      <c r="E1041" s="1" t="str">
        <f>_xlfn.REGEXREPLACE(C1041, "(.*)\/$", "https://extremismterms.adl.org\1")</f>
        <v>https://extremismterms.adl.org/glossary/sayfullo-saipov</v>
      </c>
      <c r="F1041" s="1" t="str" cm="1">
        <f t="array" ref="F1041">_xlfn.LET(_xlpm.rowNum,MATCH(E1041,'glossaryterms-export'!C:C,0),
IF(AND(NOT(ISBLANK(INDEX('glossaryterms-export'!H:H,_xlpm.rowNum))),ISBLANK(INDEX('glossaryterms-export'!I:I,_xlpm.rowNum))),"Ready to Fix",""))</f>
        <v/>
      </c>
      <c r="G1041">
        <v>13</v>
      </c>
      <c r="H1041">
        <v>8</v>
      </c>
      <c r="I1041">
        <v>1.625</v>
      </c>
      <c r="J1041">
        <v>71</v>
      </c>
      <c r="K1041">
        <v>38</v>
      </c>
    </row>
    <row r="1042" spans="1:11" ht="77.25">
      <c r="A1042">
        <v>1041</v>
      </c>
      <c r="B1042" s="16"/>
      <c r="C1042" t="s">
        <v>1100</v>
      </c>
      <c r="D1042" s="1"/>
      <c r="E1042" s="1" t="str">
        <f>_xlfn.REGEXREPLACE(C1042, "(.*)\/$", "https://extremismterms.adl.org\1")</f>
        <v>https://extremismterms.adl.org/glossary/wesley-muhammad</v>
      </c>
      <c r="F1042" s="1" t="str" cm="1">
        <f t="array" ref="F1042">_xlfn.LET(_xlpm.rowNum,MATCH(E1042,'glossaryterms-export'!C:C,0),
IF(AND(NOT(ISBLANK(INDEX('glossaryterms-export'!H:H,_xlpm.rowNum))),ISBLANK(INDEX('glossaryterms-export'!I:I,_xlpm.rowNum))),"Ready to Fix",""))</f>
        <v/>
      </c>
      <c r="G1042">
        <v>13</v>
      </c>
      <c r="H1042">
        <v>12</v>
      </c>
      <c r="I1042">
        <v>1.0833333333333299</v>
      </c>
      <c r="J1042">
        <v>10.0833333333333</v>
      </c>
      <c r="K1042">
        <v>28</v>
      </c>
    </row>
    <row r="1043" spans="1:11" ht="77.25">
      <c r="A1043">
        <v>1042</v>
      </c>
      <c r="B1043" s="16"/>
      <c r="C1043" t="s">
        <v>1101</v>
      </c>
      <c r="D1043" s="1"/>
      <c r="E1043" s="1" t="str">
        <f>_xlfn.REGEXREPLACE(C1043, "(.*)\/$", "https://extremismterms.adl.org\1")</f>
        <v>https://extremismterms.adl.org/glossary/border-vigilante-movement</v>
      </c>
      <c r="F1043" s="1" t="str" cm="1">
        <f t="array" ref="F1043">_xlfn.LET(_xlpm.rowNum,MATCH(E1043,'glossaryterms-export'!C:C,0),
IF(AND(NOT(ISBLANK(INDEX('glossaryterms-export'!H:H,_xlpm.rowNum))),ISBLANK(INDEX('glossaryterms-export'!I:I,_xlpm.rowNum))),"Ready to Fix",""))</f>
        <v>Ready to Fix</v>
      </c>
      <c r="G1043">
        <v>12</v>
      </c>
      <c r="H1043">
        <v>12</v>
      </c>
      <c r="I1043">
        <v>1</v>
      </c>
      <c r="J1043">
        <v>11.9166666666666</v>
      </c>
      <c r="K1043">
        <v>28</v>
      </c>
    </row>
    <row r="1044" spans="1:11" ht="61.5">
      <c r="A1044">
        <v>1043</v>
      </c>
      <c r="B1044" s="16"/>
      <c r="C1044" t="s">
        <v>1102</v>
      </c>
      <c r="D1044" s="1"/>
      <c r="E1044" s="1" t="str">
        <f>_xlfn.REGEXREPLACE(C1044, "(.*)\/$", "https://extremismterms.adl.org\1")</f>
        <v>https://extremismterms.adl.org/glossary/culture-critique</v>
      </c>
      <c r="F1044" s="1" t="str" cm="1">
        <f t="array" ref="F1044">_xlfn.LET(_xlpm.rowNum,MATCH(E1044,'glossaryterms-export'!C:C,0),
IF(AND(NOT(ISBLANK(INDEX('glossaryterms-export'!H:H,_xlpm.rowNum))),ISBLANK(INDEX('glossaryterms-export'!I:I,_xlpm.rowNum))),"Ready to Fix",""))</f>
        <v/>
      </c>
      <c r="G1044">
        <v>12</v>
      </c>
      <c r="H1044">
        <v>11</v>
      </c>
      <c r="I1044">
        <v>1.0909090909090899</v>
      </c>
      <c r="J1044">
        <v>11.272727272727201</v>
      </c>
      <c r="K1044">
        <v>32</v>
      </c>
    </row>
    <row r="1045" spans="1:11" ht="61.5">
      <c r="A1045">
        <v>1044</v>
      </c>
      <c r="B1045" s="16"/>
      <c r="C1045" t="s">
        <v>1103</v>
      </c>
      <c r="D1045" s="1"/>
      <c r="E1045" s="1" t="str">
        <f>_xlfn.REGEXREPLACE(C1045, "(.*)\/$", "https://extremismterms.adl.org\1")</f>
        <v>https://extremismterms.adl.org/glossary/jean-raspail</v>
      </c>
      <c r="F1045" s="1" t="str" cm="1">
        <f t="array" ref="F1045">_xlfn.LET(_xlpm.rowNum,MATCH(E1045,'glossaryterms-export'!C:C,0),
IF(AND(NOT(ISBLANK(INDEX('glossaryterms-export'!H:H,_xlpm.rowNum))),ISBLANK(INDEX('glossaryterms-export'!I:I,_xlpm.rowNum))),"Ready to Fix",""))</f>
        <v/>
      </c>
      <c r="G1045">
        <v>12</v>
      </c>
      <c r="H1045">
        <v>12</v>
      </c>
      <c r="I1045">
        <v>1</v>
      </c>
      <c r="J1045">
        <v>10.6666666666666</v>
      </c>
      <c r="K1045">
        <v>32</v>
      </c>
    </row>
    <row r="1046" spans="1:11" ht="77.25">
      <c r="A1046">
        <v>1045</v>
      </c>
      <c r="B1046" s="16"/>
      <c r="C1046" t="s">
        <v>1104</v>
      </c>
      <c r="D1046" s="1"/>
      <c r="E1046" s="1" t="str">
        <f>_xlfn.REGEXREPLACE(C1046, "(.*)\/$", "https://extremismterms.adl.org\1")</f>
        <v>https://extremismterms.adl.org/glossary/larry-mitchell-hopkins</v>
      </c>
      <c r="F1046" s="1" t="str" cm="1">
        <f t="array" ref="F1046">_xlfn.LET(_xlpm.rowNum,MATCH(E1046,'glossaryterms-export'!C:C,0),
IF(AND(NOT(ISBLANK(INDEX('glossaryterms-export'!H:H,_xlpm.rowNum))),ISBLANK(INDEX('glossaryterms-export'!I:I,_xlpm.rowNum))),"Ready to Fix",""))</f>
        <v>Ready to Fix</v>
      </c>
      <c r="G1046">
        <v>12</v>
      </c>
      <c r="H1046">
        <v>12</v>
      </c>
      <c r="I1046">
        <v>1</v>
      </c>
      <c r="J1046">
        <v>10.25</v>
      </c>
      <c r="K1046">
        <v>32</v>
      </c>
    </row>
    <row r="1047" spans="1:11" ht="61.5">
      <c r="A1047">
        <v>1046</v>
      </c>
      <c r="B1047" s="14" t="s">
        <v>15</v>
      </c>
      <c r="C1047" t="s">
        <v>1105</v>
      </c>
      <c r="D1047" s="1" t="s">
        <v>20</v>
      </c>
      <c r="E1047" s="1" t="str">
        <f>_xlfn.REGEXREPLACE(C1047, "(.*)\/$", "https://extremismterms.adl.org\1")</f>
        <v>https://extremismterms.adl.org/glossary/no-outside-comms</v>
      </c>
      <c r="F1047" s="1" t="str" cm="1">
        <f t="array" ref="F1047">_xlfn.LET(_xlpm.rowNum,MATCH(E1047,'glossaryterms-export'!C:C,0),
IF(AND(NOT(ISBLANK(INDEX('glossaryterms-export'!H:H,_xlpm.rowNum))),ISBLANK(INDEX('glossaryterms-export'!I:I,_xlpm.rowNum))),"Ready to Fix",""))</f>
        <v/>
      </c>
      <c r="G1047">
        <v>12</v>
      </c>
      <c r="H1047">
        <v>11</v>
      </c>
      <c r="I1047">
        <v>1.0909090909090899</v>
      </c>
      <c r="J1047">
        <v>6.6363636363636296</v>
      </c>
      <c r="K1047">
        <v>41</v>
      </c>
    </row>
    <row r="1048" spans="1:11" ht="77.25">
      <c r="A1048">
        <v>1047</v>
      </c>
      <c r="B1048" s="16"/>
      <c r="C1048" t="s">
        <v>1106</v>
      </c>
      <c r="D1048" s="1"/>
      <c r="E1048" s="1" t="str">
        <f>_xlfn.REGEXREPLACE(C1048, "(.*)\/$", "https://extremismterms.adl.org\1")</f>
        <v>https://extremismterms.adl.org/glossary/occidental-quarterly</v>
      </c>
      <c r="F1048" s="1" t="str" cm="1">
        <f t="array" ref="F1048">_xlfn.LET(_xlpm.rowNum,MATCH(E1048,'glossaryterms-export'!C:C,0),
IF(AND(NOT(ISBLANK(INDEX('glossaryterms-export'!H:H,_xlpm.rowNum))),ISBLANK(INDEX('glossaryterms-export'!I:I,_xlpm.rowNum))),"Ready to Fix",""))</f>
        <v>Ready to Fix</v>
      </c>
      <c r="G1048">
        <v>12</v>
      </c>
      <c r="H1048">
        <v>10</v>
      </c>
      <c r="I1048">
        <v>1.2</v>
      </c>
      <c r="J1048">
        <v>8.5</v>
      </c>
      <c r="K1048">
        <v>28</v>
      </c>
    </row>
    <row r="1049" spans="1:11" ht="61.5">
      <c r="A1049">
        <v>1048</v>
      </c>
      <c r="B1049" s="16"/>
      <c r="C1049" t="s">
        <v>1107</v>
      </c>
      <c r="D1049" s="1"/>
      <c r="E1049" s="1" t="str">
        <f>_xlfn.REGEXREPLACE(C1049, "(.*)\/$", "https://extremismterms.adl.org\1")</f>
        <v>https://extremismterms.adl.org/glossary/scott-rhodes</v>
      </c>
      <c r="F1049" s="1" t="str" cm="1">
        <f t="array" ref="F1049">_xlfn.LET(_xlpm.rowNum,MATCH(E1049,'glossaryterms-export'!C:C,0),
IF(AND(NOT(ISBLANK(INDEX('glossaryterms-export'!H:H,_xlpm.rowNum))),ISBLANK(INDEX('glossaryterms-export'!I:I,_xlpm.rowNum))),"Ready to Fix",""))</f>
        <v>Ready to Fix</v>
      </c>
      <c r="G1049">
        <v>12</v>
      </c>
      <c r="H1049">
        <v>10</v>
      </c>
      <c r="I1049">
        <v>1.2</v>
      </c>
      <c r="J1049">
        <v>12.6</v>
      </c>
      <c r="K1049">
        <v>29</v>
      </c>
    </row>
    <row r="1050" spans="1:11" ht="92.25">
      <c r="A1050">
        <v>1049</v>
      </c>
      <c r="B1050" s="16"/>
      <c r="C1050" t="s">
        <v>1108</v>
      </c>
      <c r="D1050" s="1"/>
      <c r="E1050" s="1" t="str">
        <f>_xlfn.REGEXREPLACE(C1050, "(.*)\/$", "https://extremismterms.adl.org\1")</f>
        <v>https://extremismterms.adl.org/glossary/united-northern-and-southern-knights</v>
      </c>
      <c r="F1050" s="1" t="str" cm="1">
        <f t="array" ref="F1050">_xlfn.LET(_xlpm.rowNum,MATCH(E1050,'glossaryterms-export'!C:C,0),
IF(AND(NOT(ISBLANK(INDEX('glossaryterms-export'!H:H,_xlpm.rowNum))),ISBLANK(INDEX('glossaryterms-export'!I:I,_xlpm.rowNum))),"Ready to Fix",""))</f>
        <v/>
      </c>
      <c r="G1050">
        <v>12</v>
      </c>
      <c r="H1050">
        <v>10</v>
      </c>
      <c r="I1050">
        <v>1.2</v>
      </c>
      <c r="J1050">
        <v>66.599999999999994</v>
      </c>
      <c r="K1050">
        <v>39</v>
      </c>
    </row>
    <row r="1051" spans="1:11" ht="46.5">
      <c r="A1051">
        <v>1050</v>
      </c>
      <c r="B1051" s="16"/>
      <c r="C1051" t="s">
        <v>1109</v>
      </c>
      <c r="D1051" s="1"/>
      <c r="E1051" s="1" t="str">
        <f>_xlfn.REGEXREPLACE(C1051, "(.*)\/$", "https://extremismterms.adl.org\1")</f>
        <v>https://extremismterms.adl.org/glossary/511</v>
      </c>
      <c r="F1051" s="1" t="str" cm="1">
        <f t="array" ref="F1051">_xlfn.LET(_xlpm.rowNum,MATCH(E1051,'glossaryterms-export'!C:C,0),
IF(AND(NOT(ISBLANK(INDEX('glossaryterms-export'!H:H,_xlpm.rowNum))),ISBLANK(INDEX('glossaryterms-export'!I:I,_xlpm.rowNum))),"Ready to Fix",""))</f>
        <v>Ready to Fix</v>
      </c>
      <c r="G1051">
        <v>11</v>
      </c>
      <c r="H1051">
        <v>11</v>
      </c>
      <c r="I1051">
        <v>1</v>
      </c>
      <c r="J1051">
        <v>12.090909090908999</v>
      </c>
      <c r="K1051">
        <v>26</v>
      </c>
    </row>
    <row r="1052" spans="1:11" ht="92.25">
      <c r="A1052">
        <v>1051</v>
      </c>
      <c r="B1052" s="16"/>
      <c r="C1052" t="s">
        <v>1110</v>
      </c>
      <c r="D1052" s="1"/>
      <c r="E1052" s="1" t="str">
        <f>_xlfn.REGEXREPLACE(C1052, "(.*)\/$", "https://extremismterms.adl.org\1")</f>
        <v>https://extremismterms.adl.org/glossary/aryan-brotherhood-texas-hand-sign</v>
      </c>
      <c r="F1052" s="1" t="str" cm="1">
        <f t="array" ref="F1052">_xlfn.LET(_xlpm.rowNum,MATCH(E1052,'glossaryterms-export'!C:C,0),
IF(AND(NOT(ISBLANK(INDEX('glossaryterms-export'!H:H,_xlpm.rowNum))),ISBLANK(INDEX('glossaryterms-export'!I:I,_xlpm.rowNum))),"Ready to Fix",""))</f>
        <v>Ready to Fix</v>
      </c>
      <c r="G1052">
        <v>11</v>
      </c>
      <c r="H1052">
        <v>10</v>
      </c>
      <c r="I1052">
        <v>1.1000000000000001</v>
      </c>
      <c r="J1052">
        <v>29.1</v>
      </c>
      <c r="K1052">
        <v>24</v>
      </c>
    </row>
    <row r="1053" spans="1:11" ht="61.5">
      <c r="A1053">
        <v>1052</v>
      </c>
      <c r="B1053" s="14" t="s">
        <v>15</v>
      </c>
      <c r="C1053" t="s">
        <v>1111</v>
      </c>
      <c r="D1053" s="1" t="s">
        <v>20</v>
      </c>
      <c r="E1053" s="1" t="str">
        <f>_xlfn.REGEXREPLACE(C1053, "(.*)\/$", "https://extremismterms.adl.org\1")</f>
        <v>https://extremismterms.adl.org/glossary/comms</v>
      </c>
      <c r="F1053" s="1" t="str" cm="1">
        <f t="array" ref="F1053">_xlfn.LET(_xlpm.rowNum,MATCH(E1053,'glossaryterms-export'!C:C,0),
IF(AND(NOT(ISBLANK(INDEX('glossaryterms-export'!H:H,_xlpm.rowNum))),ISBLANK(INDEX('glossaryterms-export'!I:I,_xlpm.rowNum))),"Ready to Fix",""))</f>
        <v/>
      </c>
      <c r="G1053">
        <v>11</v>
      </c>
      <c r="H1053">
        <v>10</v>
      </c>
      <c r="I1053">
        <v>1.1000000000000001</v>
      </c>
      <c r="J1053">
        <v>5.5</v>
      </c>
      <c r="K1053">
        <v>28</v>
      </c>
    </row>
    <row r="1054" spans="1:11" ht="77.25">
      <c r="A1054">
        <v>1053</v>
      </c>
      <c r="B1054" s="16"/>
      <c r="C1054" t="s">
        <v>1112</v>
      </c>
      <c r="D1054" s="1"/>
      <c r="E1054" s="1" t="str">
        <f>_xlfn.REGEXREPLACE(C1054, "(.*)\/$", "https://extremismterms.adl.org\1")</f>
        <v>https://extremismterms.adl.org/glossary/dzhokhar-and-tamerlan-tsarnaev</v>
      </c>
      <c r="F1054" s="1" t="str" cm="1">
        <f t="array" ref="F1054">_xlfn.LET(_xlpm.rowNum,MATCH(E1054,'glossaryterms-export'!C:C,0),
IF(AND(NOT(ISBLANK(INDEX('glossaryterms-export'!H:H,_xlpm.rowNum))),ISBLANK(INDEX('glossaryterms-export'!I:I,_xlpm.rowNum))),"Ready to Fix",""))</f>
        <v/>
      </c>
      <c r="G1054">
        <v>11</v>
      </c>
      <c r="H1054">
        <v>11</v>
      </c>
      <c r="I1054">
        <v>1</v>
      </c>
      <c r="J1054">
        <v>16.272727272727199</v>
      </c>
      <c r="K1054">
        <v>23</v>
      </c>
    </row>
    <row r="1055" spans="1:11" ht="61.5">
      <c r="A1055">
        <v>1054</v>
      </c>
      <c r="B1055" s="16"/>
      <c r="C1055" t="s">
        <v>1113</v>
      </c>
      <c r="D1055" s="1"/>
      <c r="E1055" s="1" t="str">
        <f>_xlfn.REGEXREPLACE(C1055, "(.*)\/$", "https://extremismterms.adl.org\1")</f>
        <v>https://extremismterms.adl.org/glossary/final-call</v>
      </c>
      <c r="F1055" s="1" t="str" cm="1">
        <f t="array" ref="F1055">_xlfn.LET(_xlpm.rowNum,MATCH(E1055,'glossaryterms-export'!C:C,0),
IF(AND(NOT(ISBLANK(INDEX('glossaryterms-export'!H:H,_xlpm.rowNum))),ISBLANK(INDEX('glossaryterms-export'!I:I,_xlpm.rowNum))),"Ready to Fix",""))</f>
        <v/>
      </c>
      <c r="G1055">
        <v>11</v>
      </c>
      <c r="H1055">
        <v>9</v>
      </c>
      <c r="I1055">
        <v>1.2222222222222201</v>
      </c>
      <c r="J1055">
        <v>12.2222222222222</v>
      </c>
      <c r="K1055">
        <v>25</v>
      </c>
    </row>
    <row r="1056" spans="1:11" ht="77.25">
      <c r="A1056">
        <v>1055</v>
      </c>
      <c r="B1056" s="16"/>
      <c r="C1056" t="s">
        <v>1114</v>
      </c>
      <c r="D1056" s="1"/>
      <c r="E1056" s="1" t="str">
        <f>_xlfn.REGEXREPLACE(C1056, "(.*)\/$", "https://extremismterms.adl.org\1")</f>
        <v>https://extremismterms.adl.org/glossary/operation-kristallnacht</v>
      </c>
      <c r="F1056" s="1" t="str" cm="1">
        <f t="array" ref="F1056">_xlfn.LET(_xlpm.rowNum,MATCH(E1056,'glossaryterms-export'!C:C,0),
IF(AND(NOT(ISBLANK(INDEX('glossaryterms-export'!H:H,_xlpm.rowNum))),ISBLANK(INDEX('glossaryterms-export'!I:I,_xlpm.rowNum))),"Ready to Fix",""))</f>
        <v>Ready to Fix</v>
      </c>
      <c r="G1056">
        <v>11</v>
      </c>
      <c r="H1056">
        <v>11</v>
      </c>
      <c r="I1056">
        <v>1</v>
      </c>
      <c r="J1056">
        <v>13.090909090908999</v>
      </c>
      <c r="K1056">
        <v>22</v>
      </c>
    </row>
    <row r="1057" spans="1:11" ht="77.25">
      <c r="A1057">
        <v>1056</v>
      </c>
      <c r="B1057" s="16"/>
      <c r="C1057" t="s">
        <v>1115</v>
      </c>
      <c r="D1057" s="1"/>
      <c r="E1057" s="1" t="str">
        <f>_xlfn.REGEXREPLACE(C1057, "(.*)\/$", "https://extremismterms.adl.org\1")</f>
        <v>https://extremismterms.adl.org/glossary/universal-aryan-brotherhood-uab</v>
      </c>
      <c r="F1057" s="1" t="str" cm="1">
        <f t="array" ref="F1057">_xlfn.LET(_xlpm.rowNum,MATCH(E1057,'glossaryterms-export'!C:C,0),
IF(AND(NOT(ISBLANK(INDEX('glossaryterms-export'!H:H,_xlpm.rowNum))),ISBLANK(INDEX('glossaryterms-export'!I:I,_xlpm.rowNum))),"Ready to Fix",""))</f>
        <v/>
      </c>
      <c r="G1057">
        <v>11</v>
      </c>
      <c r="H1057">
        <v>9</v>
      </c>
      <c r="I1057">
        <v>1.2222222222222201</v>
      </c>
      <c r="J1057">
        <v>25.7777777777777</v>
      </c>
      <c r="K1057">
        <v>29</v>
      </c>
    </row>
    <row r="1058" spans="1:11" ht="61.5">
      <c r="A1058">
        <v>1057</v>
      </c>
      <c r="B1058" s="16"/>
      <c r="C1058" t="s">
        <v>1116</v>
      </c>
      <c r="D1058" s="1"/>
      <c r="E1058" s="1" t="str">
        <f>_xlfn.REGEXREPLACE(C1058, "(.*)\/$", "https://extremismterms.adl.org\1")</f>
        <v>https://extremismterms.adl.org/glossary/william-regnery</v>
      </c>
      <c r="F1058" s="1" t="str" cm="1">
        <f t="array" ref="F1058">_xlfn.LET(_xlpm.rowNum,MATCH(E1058,'glossaryterms-export'!C:C,0),
IF(AND(NOT(ISBLANK(INDEX('glossaryterms-export'!H:H,_xlpm.rowNum))),ISBLANK(INDEX('glossaryterms-export'!I:I,_xlpm.rowNum))),"Ready to Fix",""))</f>
        <v/>
      </c>
      <c r="G1058">
        <v>11</v>
      </c>
      <c r="H1058">
        <v>11</v>
      </c>
      <c r="I1058">
        <v>1</v>
      </c>
      <c r="J1058">
        <v>10.909090909090899</v>
      </c>
      <c r="K1058">
        <v>35</v>
      </c>
    </row>
    <row r="1059" spans="1:11" ht="77.25">
      <c r="A1059">
        <v>1058</v>
      </c>
      <c r="B1059" s="16"/>
      <c r="C1059" t="s">
        <v>1117</v>
      </c>
      <c r="D1059" s="1"/>
      <c r="E1059" s="1" t="str">
        <f>_xlfn.REGEXREPLACE(C1059, "(.*)\/$", "https://extremismterms.adl.org\1")</f>
        <v>https://extremismterms.adl.org/glossary/cole-james-bridges</v>
      </c>
      <c r="F1059" s="1" t="str" cm="1">
        <f t="array" ref="F1059">_xlfn.LET(_xlpm.rowNum,MATCH(E1059,'glossaryterms-export'!C:C,0),
IF(AND(NOT(ISBLANK(INDEX('glossaryterms-export'!H:H,_xlpm.rowNum))),ISBLANK(INDEX('glossaryterms-export'!I:I,_xlpm.rowNum))),"Ready to Fix",""))</f>
        <v/>
      </c>
      <c r="G1059">
        <v>10</v>
      </c>
      <c r="H1059">
        <v>10</v>
      </c>
      <c r="I1059">
        <v>1</v>
      </c>
      <c r="J1059">
        <v>11</v>
      </c>
      <c r="K1059">
        <v>26</v>
      </c>
    </row>
    <row r="1060" spans="1:11" ht="92.25">
      <c r="A1060">
        <v>1059</v>
      </c>
      <c r="B1060" s="16"/>
      <c r="C1060" t="s">
        <v>1118</v>
      </c>
      <c r="D1060" s="1"/>
      <c r="E1060" s="1" t="str">
        <f>_xlfn.REGEXREPLACE(C1060, "(.*)\/$", "https://extremismterms.adl.org\1")</f>
        <v>https://extremismterms.adl.org/glossary/muhammad-youssef-abdulazeez</v>
      </c>
      <c r="F1060" s="1" t="str" cm="1">
        <f t="array" ref="F1060">_xlfn.LET(_xlpm.rowNum,MATCH(E1060,'glossaryterms-export'!C:C,0),
IF(AND(NOT(ISBLANK(INDEX('glossaryterms-export'!H:H,_xlpm.rowNum))),ISBLANK(INDEX('glossaryterms-export'!I:I,_xlpm.rowNum))),"Ready to Fix",""))</f>
        <v/>
      </c>
      <c r="G1060">
        <v>10</v>
      </c>
      <c r="H1060">
        <v>10</v>
      </c>
      <c r="I1060">
        <v>1</v>
      </c>
      <c r="J1060">
        <v>14.3</v>
      </c>
      <c r="K1060">
        <v>20</v>
      </c>
    </row>
    <row r="1061" spans="1:11" ht="61.5">
      <c r="A1061">
        <v>1060</v>
      </c>
      <c r="B1061" s="16"/>
      <c r="C1061" t="s">
        <v>1119</v>
      </c>
      <c r="D1061" s="1"/>
      <c r="E1061" s="1" t="str">
        <f>_xlfn.REGEXREPLACE(C1061, "(.*)\/$", "https://extremismterms.adl.org\1")</f>
        <v>https://extremismterms.adl.org/glossary/najibullah-zazi</v>
      </c>
      <c r="F1061" s="1" t="str" cm="1">
        <f t="array" ref="F1061">_xlfn.LET(_xlpm.rowNum,MATCH(E1061,'glossaryterms-export'!C:C,0),
IF(AND(NOT(ISBLANK(INDEX('glossaryterms-export'!H:H,_xlpm.rowNum))),ISBLANK(INDEX('glossaryterms-export'!I:I,_xlpm.rowNum))),"Ready to Fix",""))</f>
        <v/>
      </c>
      <c r="G1061">
        <v>10</v>
      </c>
      <c r="H1061">
        <v>10</v>
      </c>
      <c r="I1061">
        <v>1</v>
      </c>
      <c r="J1061">
        <v>16.8</v>
      </c>
      <c r="K1061">
        <v>24</v>
      </c>
    </row>
    <row r="1062" spans="1:11" ht="92.25">
      <c r="A1062">
        <v>1061</v>
      </c>
      <c r="B1062" s="16"/>
      <c r="C1062" t="s">
        <v>1120</v>
      </c>
      <c r="D1062" s="1"/>
      <c r="E1062" s="1" t="str">
        <f>_xlfn.REGEXREPLACE(C1062, "(.*)\/$", "https://extremismterms.adl.org\1")</f>
        <v>https://extremismterms.adl.org/glossary/nation-islam-research-group-noirg</v>
      </c>
      <c r="F1062" s="1" t="str" cm="1">
        <f t="array" ref="F1062">_xlfn.LET(_xlpm.rowNum,MATCH(E1062,'glossaryterms-export'!C:C,0),
IF(AND(NOT(ISBLANK(INDEX('glossaryterms-export'!H:H,_xlpm.rowNum))),ISBLANK(INDEX('glossaryterms-export'!I:I,_xlpm.rowNum))),"Ready to Fix",""))</f>
        <v/>
      </c>
      <c r="G1062">
        <v>10</v>
      </c>
      <c r="H1062">
        <v>10</v>
      </c>
      <c r="I1062">
        <v>1</v>
      </c>
      <c r="J1062">
        <v>14.1</v>
      </c>
      <c r="K1062">
        <v>19</v>
      </c>
    </row>
    <row r="1063" spans="1:11" ht="61.5">
      <c r="A1063">
        <v>1062</v>
      </c>
      <c r="B1063" s="16"/>
      <c r="C1063" t="s">
        <v>1121</v>
      </c>
      <c r="D1063" s="1"/>
      <c r="E1063" s="1" t="str">
        <f>_xlfn.REGEXREPLACE(C1063, "(.*)\/$", "https://extremismterms.adl.org\1")</f>
        <v>https://extremismterms.adl.org/glossary/omar-mateen</v>
      </c>
      <c r="F1063" s="1" t="str" cm="1">
        <f t="array" ref="F1063">_xlfn.LET(_xlpm.rowNum,MATCH(E1063,'glossaryterms-export'!C:C,0),
IF(AND(NOT(ISBLANK(INDEX('glossaryterms-export'!H:H,_xlpm.rowNum))),ISBLANK(INDEX('glossaryterms-export'!I:I,_xlpm.rowNum))),"Ready to Fix",""))</f>
        <v/>
      </c>
      <c r="G1063">
        <v>10</v>
      </c>
      <c r="H1063">
        <v>10</v>
      </c>
      <c r="I1063">
        <v>1</v>
      </c>
      <c r="J1063">
        <v>9.3000000000000007</v>
      </c>
      <c r="K1063">
        <v>24</v>
      </c>
    </row>
    <row r="1064" spans="1:11" ht="61.5">
      <c r="A1064">
        <v>1063</v>
      </c>
      <c r="B1064" s="16"/>
      <c r="C1064" t="s">
        <v>1122</v>
      </c>
      <c r="D1064" s="1"/>
      <c r="E1064" s="1" t="str">
        <f>_xlfn.REGEXREPLACE(C1064, "(.*)\/$", "https://extremismterms.adl.org\1")</f>
        <v>https://extremismterms.adl.org/glossary/roy-den-hollander</v>
      </c>
      <c r="F1064" s="1" t="str" cm="1">
        <f t="array" ref="F1064">_xlfn.LET(_xlpm.rowNum,MATCH(E1064,'glossaryterms-export'!C:C,0),
IF(AND(NOT(ISBLANK(INDEX('glossaryterms-export'!H:H,_xlpm.rowNum))),ISBLANK(INDEX('glossaryterms-export'!I:I,_xlpm.rowNum))),"Ready to Fix",""))</f>
        <v>Ready to Fix</v>
      </c>
      <c r="G1064">
        <v>10</v>
      </c>
      <c r="H1064">
        <v>10</v>
      </c>
      <c r="I1064">
        <v>1</v>
      </c>
      <c r="J1064">
        <v>7.7</v>
      </c>
      <c r="K1064">
        <v>25</v>
      </c>
    </row>
    <row r="1065" spans="1:11" ht="77.25">
      <c r="A1065">
        <v>1064</v>
      </c>
      <c r="B1065" s="14" t="s">
        <v>15</v>
      </c>
      <c r="C1065" t="s">
        <v>1123</v>
      </c>
      <c r="D1065" s="1" t="s">
        <v>20</v>
      </c>
      <c r="E1065" s="1" t="str">
        <f>_xlfn.REGEXREPLACE(C1065, "(.*)\/$", "https://extremismterms.adl.org\1")</f>
        <v>https://extremismterms.adl.org/glossary/sealed-indictments-1</v>
      </c>
      <c r="F1065" s="1" t="str" cm="1">
        <f t="array" ref="F1065">_xlfn.LET(_xlpm.rowNum,MATCH(E1065,'glossaryterms-export'!C:C,0),
IF(AND(NOT(ISBLANK(INDEX('glossaryterms-export'!H:H,_xlpm.rowNum))),ISBLANK(INDEX('glossaryterms-export'!I:I,_xlpm.rowNum))),"Ready to Fix",""))</f>
        <v/>
      </c>
      <c r="G1065">
        <v>10</v>
      </c>
      <c r="H1065">
        <v>10</v>
      </c>
      <c r="I1065">
        <v>1</v>
      </c>
      <c r="J1065">
        <v>20.9</v>
      </c>
      <c r="K1065">
        <v>24</v>
      </c>
    </row>
    <row r="1066" spans="1:11" ht="61.5">
      <c r="A1066">
        <v>1065</v>
      </c>
      <c r="B1066" s="16"/>
      <c r="C1066" t="s">
        <v>1124</v>
      </c>
      <c r="D1066" s="1"/>
      <c r="E1066" s="1" t="str">
        <f>_xlfn.REGEXREPLACE(C1066, "(.*)\/$", "https://extremismterms.adl.org\1")</f>
        <v>https://extremismterms.adl.org/glossary/benjamin-smith</v>
      </c>
      <c r="F1066" s="1" t="str" cm="1">
        <f t="array" ref="F1066">_xlfn.LET(_xlpm.rowNum,MATCH(E1066,'glossaryterms-export'!C:C,0),
IF(AND(NOT(ISBLANK(INDEX('glossaryterms-export'!H:H,_xlpm.rowNum))),ISBLANK(INDEX('glossaryterms-export'!I:I,_xlpm.rowNum))),"Ready to Fix",""))</f>
        <v/>
      </c>
      <c r="G1066">
        <v>9</v>
      </c>
      <c r="H1066">
        <v>9</v>
      </c>
      <c r="I1066">
        <v>1</v>
      </c>
      <c r="J1066">
        <v>6</v>
      </c>
      <c r="K1066">
        <v>21</v>
      </c>
    </row>
    <row r="1067" spans="1:11" ht="61.5">
      <c r="A1067">
        <v>1066</v>
      </c>
      <c r="B1067" s="16"/>
      <c r="C1067" t="s">
        <v>1125</v>
      </c>
      <c r="D1067" s="1"/>
      <c r="E1067" s="1" t="str">
        <f>_xlfn.REGEXREPLACE(C1067, "(.*)\/$", "https://extremismterms.adl.org\1")</f>
        <v>https://extremismterms.adl.org/glossary/john-tanton</v>
      </c>
      <c r="F1067" s="1" t="str" cm="1">
        <f t="array" ref="F1067">_xlfn.LET(_xlpm.rowNum,MATCH(E1067,'glossaryterms-export'!C:C,0),
IF(AND(NOT(ISBLANK(INDEX('glossaryterms-export'!H:H,_xlpm.rowNum))),ISBLANK(INDEX('glossaryterms-export'!I:I,_xlpm.rowNum))),"Ready to Fix",""))</f>
        <v>Ready to Fix</v>
      </c>
      <c r="G1067">
        <v>9</v>
      </c>
      <c r="H1067">
        <v>9</v>
      </c>
      <c r="I1067">
        <v>1</v>
      </c>
      <c r="J1067">
        <v>6.3333333333333304</v>
      </c>
      <c r="K1067">
        <v>18</v>
      </c>
    </row>
    <row r="1068" spans="1:11" ht="61.5">
      <c r="A1068">
        <v>1067</v>
      </c>
      <c r="B1068" s="16"/>
      <c r="C1068" t="s">
        <v>1126</v>
      </c>
      <c r="D1068" s="1"/>
      <c r="E1068" s="1" t="str">
        <f>_xlfn.REGEXREPLACE(C1068, "(.*)\/$", "https://extremismterms.adl.org\1")</f>
        <v>https://extremismterms.adl.org/glossary/matthew-parrott</v>
      </c>
      <c r="F1068" s="1" t="str" cm="1">
        <f t="array" ref="F1068">_xlfn.LET(_xlpm.rowNum,MATCH(E1068,'glossaryterms-export'!C:C,0),
IF(AND(NOT(ISBLANK(INDEX('glossaryterms-export'!H:H,_xlpm.rowNum))),ISBLANK(INDEX('glossaryterms-export'!I:I,_xlpm.rowNum))),"Ready to Fix",""))</f>
        <v>Ready to Fix</v>
      </c>
      <c r="G1068">
        <v>9</v>
      </c>
      <c r="H1068">
        <v>9</v>
      </c>
      <c r="I1068">
        <v>1</v>
      </c>
      <c r="J1068">
        <v>9.6666666666666607</v>
      </c>
      <c r="K1068">
        <v>28</v>
      </c>
    </row>
    <row r="1069" spans="1:11" ht="77.25">
      <c r="A1069">
        <v>1068</v>
      </c>
      <c r="B1069" s="16"/>
      <c r="C1069" t="s">
        <v>1127</v>
      </c>
      <c r="D1069" s="1"/>
      <c r="E1069" s="1" t="str">
        <f>_xlfn.REGEXREPLACE(C1069, "(.*)\/$", "https://extremismterms.adl.org\1")</f>
        <v>https://extremismterms.adl.org/glossary/richard-w-preston-jr</v>
      </c>
      <c r="F1069" s="1" t="str" cm="1">
        <f t="array" ref="F1069">_xlfn.LET(_xlpm.rowNum,MATCH(E1069,'glossaryterms-export'!C:C,0),
IF(AND(NOT(ISBLANK(INDEX('glossaryterms-export'!H:H,_xlpm.rowNum))),ISBLANK(INDEX('glossaryterms-export'!I:I,_xlpm.rowNum))),"Ready to Fix",""))</f>
        <v/>
      </c>
      <c r="G1069">
        <v>9</v>
      </c>
      <c r="H1069">
        <v>6</v>
      </c>
      <c r="I1069">
        <v>1.5</v>
      </c>
      <c r="J1069">
        <v>23.8333333333333</v>
      </c>
      <c r="K1069">
        <v>27</v>
      </c>
    </row>
    <row r="1070" spans="1:11" ht="61.5">
      <c r="A1070">
        <v>1069</v>
      </c>
      <c r="B1070" s="14" t="s">
        <v>495</v>
      </c>
      <c r="C1070" t="s">
        <v>1128</v>
      </c>
      <c r="D1070" s="1" t="s">
        <v>20</v>
      </c>
      <c r="E1070" s="1" t="str">
        <f>_xlfn.REGEXREPLACE(C1070, "(.*)\/$", "https://extremismterms.adl.org\1")</f>
        <v>https://extremismterms.adl.org/glossary/tim-gionet-0</v>
      </c>
      <c r="F1070" s="1" t="str" cm="1">
        <f t="array" ref="F1070">_xlfn.LET(_xlpm.rowNum,MATCH(E1070,'glossaryterms-export'!C:C,0),
IF(AND(NOT(ISBLANK(INDEX('glossaryterms-export'!H:H,_xlpm.rowNum))),ISBLANK(INDEX('glossaryterms-export'!I:I,_xlpm.rowNum))),"Ready to Fix",""))</f>
        <v>Ready to Fix</v>
      </c>
      <c r="G1070">
        <v>9</v>
      </c>
      <c r="H1070">
        <v>8</v>
      </c>
      <c r="I1070">
        <v>1.125</v>
      </c>
      <c r="J1070">
        <v>7</v>
      </c>
      <c r="K1070">
        <v>19</v>
      </c>
    </row>
    <row r="1071" spans="1:11" ht="61.5">
      <c r="A1071">
        <v>1070</v>
      </c>
      <c r="B1071" s="16"/>
      <c r="C1071" t="s">
        <v>1129</v>
      </c>
      <c r="D1071" s="1"/>
      <c r="E1071" s="1" t="str">
        <f>_xlfn.REGEXREPLACE(C1071, "(.*)\/$", "https://extremismterms.adl.org\1")</f>
        <v>https://extremismterms.adl.org/glossary/vanzetti-vandal</v>
      </c>
      <c r="F1071" s="1" t="str" cm="1">
        <f t="array" ref="F1071">_xlfn.LET(_xlpm.rowNum,MATCH(E1071,'glossaryterms-export'!C:C,0),
IF(AND(NOT(ISBLANK(INDEX('glossaryterms-export'!H:H,_xlpm.rowNum))),ISBLANK(INDEX('glossaryterms-export'!I:I,_xlpm.rowNum))),"Ready to Fix",""))</f>
        <v/>
      </c>
      <c r="G1071">
        <v>9</v>
      </c>
      <c r="H1071">
        <v>8</v>
      </c>
      <c r="I1071">
        <v>1.125</v>
      </c>
      <c r="J1071">
        <v>12.625</v>
      </c>
      <c r="K1071">
        <v>23</v>
      </c>
    </row>
    <row r="1072" spans="1:11" ht="46.5">
      <c r="A1072">
        <v>1071</v>
      </c>
      <c r="B1072" s="16"/>
      <c r="C1072" t="s">
        <v>1130</v>
      </c>
      <c r="D1072" s="1"/>
      <c r="E1072" s="1" t="str">
        <f>_xlfn.REGEXREPLACE(C1072, "(.*)\/$", "https://extremismterms.adl.org\1")</f>
        <v>https://extremismterms.adl.org/glossary/318</v>
      </c>
      <c r="F1072" s="1" t="str" cm="1">
        <f t="array" ref="F1072">_xlfn.LET(_xlpm.rowNum,MATCH(E1072,'glossaryterms-export'!C:C,0),
IF(AND(NOT(ISBLANK(INDEX('glossaryterms-export'!H:H,_xlpm.rowNum))),ISBLANK(INDEX('glossaryterms-export'!I:I,_xlpm.rowNum))),"Ready to Fix",""))</f>
        <v>Ready to Fix</v>
      </c>
      <c r="G1072">
        <v>8</v>
      </c>
      <c r="H1072">
        <v>8</v>
      </c>
      <c r="I1072">
        <v>1</v>
      </c>
      <c r="J1072">
        <v>15.75</v>
      </c>
      <c r="K1072">
        <v>20</v>
      </c>
    </row>
    <row r="1073" spans="1:11" ht="92.25">
      <c r="A1073">
        <v>1072</v>
      </c>
      <c r="B1073" s="16"/>
      <c r="C1073" t="s">
        <v>1131</v>
      </c>
      <c r="D1073" s="1"/>
      <c r="E1073" s="1" t="str">
        <f>_xlfn.REGEXREPLACE(C1073, "(.*)\/$", "https://extremismterms.adl.org\1")</f>
        <v>https://extremismterms.adl.org/glossary/aryan-nations-prison-gang-hand-sign</v>
      </c>
      <c r="F1073" s="1" t="str" cm="1">
        <f t="array" ref="F1073">_xlfn.LET(_xlpm.rowNum,MATCH(E1073,'glossaryterms-export'!C:C,0),
IF(AND(NOT(ISBLANK(INDEX('glossaryterms-export'!H:H,_xlpm.rowNum))),ISBLANK(INDEX('glossaryterms-export'!I:I,_xlpm.rowNum))),"Ready to Fix",""))</f>
        <v>Ready to Fix</v>
      </c>
      <c r="G1073">
        <v>8</v>
      </c>
      <c r="H1073">
        <v>8</v>
      </c>
      <c r="I1073">
        <v>1</v>
      </c>
      <c r="J1073">
        <v>5.5</v>
      </c>
      <c r="K1073">
        <v>17</v>
      </c>
    </row>
    <row r="1074" spans="1:11" ht="61.5">
      <c r="A1074">
        <v>1073</v>
      </c>
      <c r="B1074" s="16"/>
      <c r="C1074" t="s">
        <v>1132</v>
      </c>
      <c r="D1074" s="1"/>
      <c r="E1074" s="1" t="str">
        <f>_xlfn.REGEXREPLACE(C1074, "(.*)\/$", "https://extremismterms.adl.org\1")</f>
        <v>https://extremismterms.adl.org/glossary/ayman-al-zawahiri</v>
      </c>
      <c r="F1074" s="1" t="str" cm="1">
        <f t="array" ref="F1074">_xlfn.LET(_xlpm.rowNum,MATCH(E1074,'glossaryterms-export'!C:C,0),
IF(AND(NOT(ISBLANK(INDEX('glossaryterms-export'!H:H,_xlpm.rowNum))),ISBLANK(INDEX('glossaryterms-export'!I:I,_xlpm.rowNum))),"Ready to Fix",""))</f>
        <v/>
      </c>
      <c r="G1074">
        <v>8</v>
      </c>
      <c r="H1074">
        <v>8</v>
      </c>
      <c r="I1074">
        <v>1</v>
      </c>
      <c r="J1074">
        <v>40.25</v>
      </c>
      <c r="K1074">
        <v>25</v>
      </c>
    </row>
    <row r="1075" spans="1:11" ht="61.5">
      <c r="A1075">
        <v>1074</v>
      </c>
      <c r="B1075" s="16"/>
      <c r="C1075" t="s">
        <v>1133</v>
      </c>
      <c r="D1075" s="1"/>
      <c r="E1075" s="1" t="str">
        <f>_xlfn.REGEXREPLACE(C1075, "(.*)\/$", "https://extremismterms.adl.org\1")</f>
        <v>https://extremismterms.adl.org/glossary/lotie</v>
      </c>
      <c r="F1075" s="1" t="str" cm="1">
        <f t="array" ref="F1075">_xlfn.LET(_xlpm.rowNum,MATCH(E1075,'glossaryterms-export'!C:C,0),
IF(AND(NOT(ISBLANK(INDEX('glossaryterms-export'!H:H,_xlpm.rowNum))),ISBLANK(INDEX('glossaryterms-export'!I:I,_xlpm.rowNum))),"Ready to Fix",""))</f>
        <v>Ready to Fix</v>
      </c>
      <c r="G1075">
        <v>8</v>
      </c>
      <c r="H1075">
        <v>8</v>
      </c>
      <c r="I1075">
        <v>1</v>
      </c>
      <c r="J1075">
        <v>28.375</v>
      </c>
      <c r="K1075">
        <v>19</v>
      </c>
    </row>
    <row r="1076" spans="1:11" ht="77.25">
      <c r="A1076">
        <v>1075</v>
      </c>
      <c r="B1076" s="16"/>
      <c r="C1076" t="s">
        <v>1134</v>
      </c>
      <c r="D1076" s="1"/>
      <c r="E1076" s="1" t="str">
        <f>_xlfn.REGEXREPLACE(C1076, "(.*)\/$", "https://extremismterms.adl.org\1")</f>
        <v>https://extremismterms.adl.org/glossary/mullah-mohammed-omar</v>
      </c>
      <c r="F1076" s="1" t="str" cm="1">
        <f t="array" ref="F1076">_xlfn.LET(_xlpm.rowNum,MATCH(E1076,'glossaryterms-export'!C:C,0),
IF(AND(NOT(ISBLANK(INDEX('glossaryterms-export'!H:H,_xlpm.rowNum))),ISBLANK(INDEX('glossaryterms-export'!I:I,_xlpm.rowNum))),"Ready to Fix",""))</f>
        <v/>
      </c>
      <c r="G1076">
        <v>8</v>
      </c>
      <c r="H1076">
        <v>8</v>
      </c>
      <c r="I1076">
        <v>1</v>
      </c>
      <c r="J1076">
        <v>18.75</v>
      </c>
      <c r="K1076">
        <v>19</v>
      </c>
    </row>
    <row r="1077" spans="1:11" ht="77.25">
      <c r="A1077">
        <v>1076</v>
      </c>
      <c r="B1077" s="16"/>
      <c r="C1077" t="s">
        <v>1135</v>
      </c>
      <c r="D1077" s="1"/>
      <c r="E1077" s="1" t="str">
        <f>_xlfn.REGEXREPLACE(C1077, "(.*)\/$", "https://extremismterms.adl.org\1")</f>
        <v>https://extremismterms.adl.org/glossary/national-policy-institute</v>
      </c>
      <c r="F1077" s="1" t="str" cm="1">
        <f t="array" ref="F1077">_xlfn.LET(_xlpm.rowNum,MATCH(E1077,'glossaryterms-export'!C:C,0),
IF(AND(NOT(ISBLANK(INDEX('glossaryterms-export'!H:H,_xlpm.rowNum))),ISBLANK(INDEX('glossaryterms-export'!I:I,_xlpm.rowNum))),"Ready to Fix",""))</f>
        <v>Ready to Fix</v>
      </c>
      <c r="G1077">
        <v>8</v>
      </c>
      <c r="H1077">
        <v>8</v>
      </c>
      <c r="I1077">
        <v>1</v>
      </c>
      <c r="J1077">
        <v>11.5</v>
      </c>
      <c r="K1077">
        <v>22</v>
      </c>
    </row>
    <row r="1078" spans="1:11" ht="77.25">
      <c r="A1078">
        <v>1077</v>
      </c>
      <c r="B1078" s="16"/>
      <c r="C1078" t="s">
        <v>1136</v>
      </c>
      <c r="D1078" s="1"/>
      <c r="E1078" s="1" t="str">
        <f>_xlfn.REGEXREPLACE(C1078, "(.*)\/$", "https://extremismterms.adl.org\1")</f>
        <v>https://extremismterms.adl.org/glossary/new-century-foundation</v>
      </c>
      <c r="F1078" s="1" t="str" cm="1">
        <f t="array" ref="F1078">_xlfn.LET(_xlpm.rowNum,MATCH(E1078,'glossaryterms-export'!C:C,0),
IF(AND(NOT(ISBLANK(INDEX('glossaryterms-export'!H:H,_xlpm.rowNum))),ISBLANK(INDEX('glossaryterms-export'!I:I,_xlpm.rowNum))),"Ready to Fix",""))</f>
        <v/>
      </c>
      <c r="G1078">
        <v>8</v>
      </c>
      <c r="H1078">
        <v>7</v>
      </c>
      <c r="I1078">
        <v>1.1428571428571399</v>
      </c>
      <c r="J1078">
        <v>14.1428571428571</v>
      </c>
      <c r="K1078">
        <v>23</v>
      </c>
    </row>
    <row r="1079" spans="1:11" ht="77.25">
      <c r="A1079">
        <v>1078</v>
      </c>
      <c r="B1079" s="16"/>
      <c r="C1079" t="s">
        <v>1137</v>
      </c>
      <c r="D1079" s="1"/>
      <c r="E1079" s="1" t="str">
        <f>_xlfn.REGEXREPLACE(C1079, "(.*)\/$", "https://extremismterms.adl.org\1")</f>
        <v>https://extremismterms.adl.org/glossary/richard-baumhammers</v>
      </c>
      <c r="F1079" s="1" t="str" cm="1">
        <f t="array" ref="F1079">_xlfn.LET(_xlpm.rowNum,MATCH(E1079,'glossaryterms-export'!C:C,0),
IF(AND(NOT(ISBLANK(INDEX('glossaryterms-export'!H:H,_xlpm.rowNum))),ISBLANK(INDEX('glossaryterms-export'!I:I,_xlpm.rowNum))),"Ready to Fix",""))</f>
        <v/>
      </c>
      <c r="G1079">
        <v>8</v>
      </c>
      <c r="H1079">
        <v>7</v>
      </c>
      <c r="I1079">
        <v>1.1428571428571399</v>
      </c>
      <c r="J1079">
        <v>12.285714285714199</v>
      </c>
      <c r="K1079">
        <v>22</v>
      </c>
    </row>
    <row r="1080" spans="1:11" ht="61.5">
      <c r="A1080">
        <v>1079</v>
      </c>
      <c r="B1080" s="16"/>
      <c r="C1080" t="s">
        <v>1138</v>
      </c>
      <c r="D1080" s="1"/>
      <c r="E1080" s="1" t="str">
        <f>_xlfn.REGEXREPLACE(C1080, "(.*)\/$", "https://extremismterms.adl.org\1")</f>
        <v>https://extremismterms.adl.org/glossary/ronald-watkins</v>
      </c>
      <c r="F1080" s="1" t="str" cm="1">
        <f t="array" ref="F1080">_xlfn.LET(_xlpm.rowNum,MATCH(E1080,'glossaryterms-export'!C:C,0),
IF(AND(NOT(ISBLANK(INDEX('glossaryterms-export'!H:H,_xlpm.rowNum))),ISBLANK(INDEX('glossaryterms-export'!I:I,_xlpm.rowNum))),"Ready to Fix",""))</f>
        <v/>
      </c>
      <c r="G1080">
        <v>8</v>
      </c>
      <c r="H1080">
        <v>8</v>
      </c>
      <c r="I1080">
        <v>1</v>
      </c>
      <c r="J1080">
        <v>9.25</v>
      </c>
      <c r="K1080">
        <v>20</v>
      </c>
    </row>
    <row r="1081" spans="1:11" ht="61.5">
      <c r="A1081">
        <v>1080</v>
      </c>
      <c r="B1081" s="16"/>
      <c r="C1081" t="s">
        <v>1139</v>
      </c>
      <c r="D1081" s="1"/>
      <c r="E1081" s="1" t="str">
        <f>_xlfn.REGEXREPLACE(C1081, "(.*)\/$", "https://extremismterms.adl.org\1")</f>
        <v>https://extremismterms.adl.org/glossary/sharia4-network</v>
      </c>
      <c r="F1081" s="1" t="str" cm="1">
        <f t="array" ref="F1081">_xlfn.LET(_xlpm.rowNum,MATCH(E1081,'glossaryterms-export'!C:C,0),
IF(AND(NOT(ISBLANK(INDEX('glossaryterms-export'!H:H,_xlpm.rowNum))),ISBLANK(INDEX('glossaryterms-export'!I:I,_xlpm.rowNum))),"Ready to Fix",""))</f>
        <v/>
      </c>
      <c r="G1081">
        <v>8</v>
      </c>
      <c r="H1081">
        <v>7</v>
      </c>
      <c r="I1081">
        <v>1.1428571428571399</v>
      </c>
      <c r="J1081">
        <v>11.4285714285714</v>
      </c>
      <c r="K1081">
        <v>21</v>
      </c>
    </row>
    <row r="1082" spans="1:11" ht="77.25">
      <c r="A1082">
        <v>1081</v>
      </c>
      <c r="B1082" s="16"/>
      <c r="C1082" t="s">
        <v>1140</v>
      </c>
      <c r="D1082" s="1"/>
      <c r="E1082" s="1" t="str">
        <f>_xlfn.REGEXREPLACE(C1082, "(.*)\/$", "https://extremismterms.adl.org\1")</f>
        <v>https://extremismterms.adl.org/glossary/shariashariahshariashariah-1</v>
      </c>
      <c r="F1082" s="1" t="str" cm="1">
        <f t="array" ref="F1082">_xlfn.LET(_xlpm.rowNum,MATCH(E1082,'glossaryterms-export'!C:C,0),
IF(AND(NOT(ISBLANK(INDEX('glossaryterms-export'!H:H,_xlpm.rowNum))),ISBLANK(INDEX('glossaryterms-export'!I:I,_xlpm.rowNum))),"Ready to Fix",""))</f>
        <v/>
      </c>
      <c r="G1082">
        <v>8</v>
      </c>
      <c r="H1082">
        <v>8</v>
      </c>
      <c r="I1082">
        <v>1</v>
      </c>
      <c r="J1082">
        <v>8.375</v>
      </c>
      <c r="K1082">
        <v>16</v>
      </c>
    </row>
    <row r="1083" spans="1:11" ht="77.25">
      <c r="A1083">
        <v>1082</v>
      </c>
      <c r="B1083" s="16"/>
      <c r="C1083" t="s">
        <v>1141</v>
      </c>
      <c r="D1083" s="1"/>
      <c r="E1083" s="1" t="str">
        <f>_xlfn.REGEXREPLACE(C1083, "(.*)\/$", "https://extremismterms.adl.org\1")</f>
        <v>https://extremismterms.adl.org/glossary/virgina-jihad-network</v>
      </c>
      <c r="F1083" s="1" t="str" cm="1">
        <f t="array" ref="F1083">_xlfn.LET(_xlpm.rowNum,MATCH(E1083,'glossaryterms-export'!C:C,0),
IF(AND(NOT(ISBLANK(INDEX('glossaryterms-export'!H:H,_xlpm.rowNum))),ISBLANK(INDEX('glossaryterms-export'!I:I,_xlpm.rowNum))),"Ready to Fix",""))</f>
        <v/>
      </c>
      <c r="G1083">
        <v>8</v>
      </c>
      <c r="H1083">
        <v>8</v>
      </c>
      <c r="I1083">
        <v>1</v>
      </c>
      <c r="J1083">
        <v>21.75</v>
      </c>
      <c r="K1083">
        <v>20</v>
      </c>
    </row>
    <row r="1084" spans="1:11">
      <c r="A1084">
        <v>1083</v>
      </c>
      <c r="B1084" s="16"/>
      <c r="C1084" t="s">
        <v>1142</v>
      </c>
      <c r="D1084" s="1"/>
      <c r="E1084" s="1"/>
      <c r="F1084" s="1" t="str" cm="1">
        <f t="array" ref="F1084">_xlfn.LET(_xlpm.rowNum,MATCH(E1084,'glossaryterms-export'!C:C,0),
IF(AND(NOT(ISBLANK(INDEX('glossaryterms-export'!H:H,_xlpm.rowNum))),ISBLANK(INDEX('glossaryterms-export'!I:I,_xlpm.rowNum))),"Ready to Fix",""))</f>
        <v/>
      </c>
      <c r="G1084">
        <v>8</v>
      </c>
      <c r="H1084">
        <v>7</v>
      </c>
      <c r="I1084">
        <v>1.1428571428571399</v>
      </c>
      <c r="J1084">
        <v>35.714285714285701</v>
      </c>
      <c r="K1084">
        <v>45</v>
      </c>
    </row>
    <row r="1085" spans="1:11" ht="61.5">
      <c r="A1085">
        <v>1084</v>
      </c>
      <c r="B1085" s="16"/>
      <c r="C1085" t="s">
        <v>1143</v>
      </c>
      <c r="D1085" s="1"/>
      <c r="E1085" s="1" t="str">
        <f>_xlfn.REGEXREPLACE(C1085, "(.*)\/$", "https://extremismterms.adl.org\1")</f>
        <v>https://extremismterms.adl.org/glossary/majid-khan</v>
      </c>
      <c r="F1085" s="1" t="str" cm="1">
        <f t="array" ref="F1085">_xlfn.LET(_xlpm.rowNum,MATCH(E1085,'glossaryterms-export'!C:C,0),
IF(AND(NOT(ISBLANK(INDEX('glossaryterms-export'!H:H,_xlpm.rowNum))),ISBLANK(INDEX('glossaryterms-export'!I:I,_xlpm.rowNum))),"Ready to Fix",""))</f>
        <v/>
      </c>
      <c r="G1085">
        <v>7</v>
      </c>
      <c r="H1085">
        <v>6</v>
      </c>
      <c r="I1085">
        <v>1.1666666666666601</v>
      </c>
      <c r="J1085">
        <v>13.5</v>
      </c>
      <c r="K1085">
        <v>16</v>
      </c>
    </row>
    <row r="1086" spans="1:11" ht="77.25">
      <c r="A1086">
        <v>1085</v>
      </c>
      <c r="B1086" s="16"/>
      <c r="C1086" t="s">
        <v>1144</v>
      </c>
      <c r="D1086" s="1"/>
      <c r="E1086" s="1" t="str">
        <f>_xlfn.REGEXREPLACE(C1086, "(.*)\/$", "https://extremismterms.adl.org\1")</f>
        <v>https://extremismterms.adl.org/glossary/noelle-velentzas-and-asia-siddiqui</v>
      </c>
      <c r="F1086" s="1" t="str" cm="1">
        <f t="array" ref="F1086">_xlfn.LET(_xlpm.rowNum,MATCH(E1086,'glossaryterms-export'!C:C,0),
IF(AND(NOT(ISBLANK(INDEX('glossaryterms-export'!H:H,_xlpm.rowNum))),ISBLANK(INDEX('glossaryterms-export'!I:I,_xlpm.rowNum))),"Ready to Fix",""))</f>
        <v/>
      </c>
      <c r="G1086">
        <v>7</v>
      </c>
      <c r="H1086">
        <v>7</v>
      </c>
      <c r="I1086">
        <v>1</v>
      </c>
      <c r="J1086">
        <v>15.1428571428571</v>
      </c>
      <c r="K1086">
        <v>16</v>
      </c>
    </row>
    <row r="1087" spans="1:11" ht="108">
      <c r="A1087">
        <v>1086</v>
      </c>
      <c r="B1087" s="16"/>
      <c r="C1087" t="s">
        <v>1145</v>
      </c>
      <c r="D1087" s="1"/>
      <c r="E1087" s="1" t="str">
        <f>_xlfn.REGEXREPLACE(C1087, "(.*)\/$", "https://extremismterms.adl.org\1")</f>
        <v>https://extremismterms.adl.org/glossary/omar-shafik-hammami-aka-abu-mansoor-al-amriki</v>
      </c>
      <c r="F1087" s="1" t="str" cm="1">
        <f t="array" ref="F1087">_xlfn.LET(_xlpm.rowNum,MATCH(E1087,'glossaryterms-export'!C:C,0),
IF(AND(NOT(ISBLANK(INDEX('glossaryterms-export'!H:H,_xlpm.rowNum))),ISBLANK(INDEX('glossaryterms-export'!I:I,_xlpm.rowNum))),"Ready to Fix",""))</f>
        <v/>
      </c>
      <c r="G1087">
        <v>7</v>
      </c>
      <c r="H1087">
        <v>7</v>
      </c>
      <c r="I1087">
        <v>1</v>
      </c>
      <c r="J1087">
        <v>17.714285714285701</v>
      </c>
      <c r="K1087">
        <v>18</v>
      </c>
    </row>
    <row r="1088" spans="1:11" ht="61.5">
      <c r="A1088">
        <v>1087</v>
      </c>
      <c r="B1088" s="16"/>
      <c r="C1088" t="s">
        <v>1146</v>
      </c>
      <c r="D1088" s="1"/>
      <c r="E1088" s="1" t="str">
        <f>_xlfn.REGEXREPLACE(C1088, "(.*)\/$", "https://extremismterms.adl.org\1")</f>
        <v>https://extremismterms.adl.org/glossary/saviours-day-0</v>
      </c>
      <c r="F1088" s="1" t="str" cm="1">
        <f t="array" ref="F1088">_xlfn.LET(_xlpm.rowNum,MATCH(E1088,'glossaryterms-export'!C:C,0),
IF(AND(NOT(ISBLANK(INDEX('glossaryterms-export'!H:H,_xlpm.rowNum))),ISBLANK(INDEX('glossaryterms-export'!I:I,_xlpm.rowNum))),"Ready to Fix",""))</f>
        <v/>
      </c>
      <c r="G1088">
        <v>7</v>
      </c>
      <c r="H1088">
        <v>7</v>
      </c>
      <c r="I1088">
        <v>1</v>
      </c>
      <c r="J1088">
        <v>6.5714285714285703</v>
      </c>
      <c r="K1088">
        <v>13</v>
      </c>
    </row>
    <row r="1089" spans="1:11" ht="61.5">
      <c r="A1089">
        <v>1088</v>
      </c>
      <c r="B1089" s="16"/>
      <c r="C1089" t="s">
        <v>1147</v>
      </c>
      <c r="D1089" s="1"/>
      <c r="E1089" s="1" t="str">
        <f>_xlfn.REGEXREPLACE(C1089, "(.*)\/$", "https://extremismterms.adl.org\1")</f>
        <v>https://extremismterms.adl.org/glossary/swp</v>
      </c>
      <c r="F1089" s="1" t="str" cm="1">
        <f t="array" ref="F1089">_xlfn.LET(_xlpm.rowNum,MATCH(E1089,'glossaryterms-export'!C:C,0),
IF(AND(NOT(ISBLANK(INDEX('glossaryterms-export'!H:H,_xlpm.rowNum))),ISBLANK(INDEX('glossaryterms-export'!I:I,_xlpm.rowNum))),"Ready to Fix",""))</f>
        <v>Ready to Fix</v>
      </c>
      <c r="G1089">
        <v>7</v>
      </c>
      <c r="H1089">
        <v>7</v>
      </c>
      <c r="I1089">
        <v>1</v>
      </c>
      <c r="J1089">
        <v>11.5714285714285</v>
      </c>
      <c r="K1089">
        <v>20</v>
      </c>
    </row>
    <row r="1090" spans="1:11" ht="61.5">
      <c r="A1090">
        <v>1089</v>
      </c>
      <c r="B1090" s="16"/>
      <c r="C1090" t="s">
        <v>1148</v>
      </c>
      <c r="D1090" s="1"/>
      <c r="E1090" s="1" t="str">
        <f>_xlfn.REGEXREPLACE(C1090, "(.*)\/$", "https://extremismterms.adl.org\1")</f>
        <v>https://extremismterms.adl.org/glossary/waheba-issa-dais</v>
      </c>
      <c r="F1090" s="1" t="str" cm="1">
        <f t="array" ref="F1090">_xlfn.LET(_xlpm.rowNum,MATCH(E1090,'glossaryterms-export'!C:C,0),
IF(AND(NOT(ISBLANK(INDEX('glossaryterms-export'!H:H,_xlpm.rowNum))),ISBLANK(INDEX('glossaryterms-export'!I:I,_xlpm.rowNum))),"Ready to Fix",""))</f>
        <v/>
      </c>
      <c r="G1090">
        <v>7</v>
      </c>
      <c r="H1090">
        <v>7</v>
      </c>
      <c r="I1090">
        <v>1</v>
      </c>
      <c r="J1090">
        <v>11.857142857142801</v>
      </c>
      <c r="K1090">
        <v>16</v>
      </c>
    </row>
    <row r="1091" spans="1:11" ht="77.25">
      <c r="A1091">
        <v>1090</v>
      </c>
      <c r="B1091" s="16"/>
      <c r="C1091" t="s">
        <v>1149</v>
      </c>
      <c r="D1091" s="1"/>
      <c r="E1091" s="1" t="str">
        <f>_xlfn.REGEXREPLACE(C1091, "(.*)\/$", "https://extremismterms.adl.org\1")</f>
        <v>https://extremismterms.adl.org/glossary/chabad-poway-shooting</v>
      </c>
      <c r="F1091" s="1" t="str" cm="1">
        <f t="array" ref="F1091">_xlfn.LET(_xlpm.rowNum,MATCH(E1091,'glossaryterms-export'!C:C,0),
IF(AND(NOT(ISBLANK(INDEX('glossaryterms-export'!H:H,_xlpm.rowNum))),ISBLANK(INDEX('glossaryterms-export'!I:I,_xlpm.rowNum))),"Ready to Fix",""))</f>
        <v>Ready to Fix</v>
      </c>
      <c r="G1091">
        <v>6</v>
      </c>
      <c r="H1091">
        <v>7</v>
      </c>
      <c r="I1091">
        <v>0.85714285714285698</v>
      </c>
      <c r="J1091">
        <v>12.1428571428571</v>
      </c>
      <c r="K1091">
        <v>12</v>
      </c>
    </row>
    <row r="1092" spans="1:11" ht="77.25">
      <c r="A1092">
        <v>1091</v>
      </c>
      <c r="B1092" s="16"/>
      <c r="C1092" t="s">
        <v>1150</v>
      </c>
      <c r="E1092" s="1" t="str">
        <f>_xlfn.REGEXREPLACE(C1092, "(.*)\/$", "https://extremismterms.adl.org\1")</f>
        <v>https://extremismterms.adl.org/glossary/minuteman-project</v>
      </c>
      <c r="F1092" s="1" t="str" cm="1">
        <f t="array" ref="F1092">_xlfn.LET(_xlpm.rowNum,MATCH(E1092,'glossaryterms-export'!C:C,0),
IF(AND(NOT(ISBLANK(INDEX('glossaryterms-export'!H:H,_xlpm.rowNum))),ISBLANK(INDEX('glossaryterms-export'!I:I,_xlpm.rowNum))),"Ready to Fix",""))</f>
        <v/>
      </c>
      <c r="G1092">
        <v>6</v>
      </c>
      <c r="H1092">
        <v>6</v>
      </c>
      <c r="I1092">
        <v>1</v>
      </c>
      <c r="J1092">
        <v>20.3333333333333</v>
      </c>
      <c r="K1092">
        <v>18</v>
      </c>
    </row>
    <row r="1093" spans="1:11" ht="61.5">
      <c r="A1093">
        <v>1092</v>
      </c>
      <c r="B1093" s="14" t="s">
        <v>25</v>
      </c>
      <c r="C1093" t="s">
        <v>1151</v>
      </c>
      <c r="D1093" t="s">
        <v>20</v>
      </c>
      <c r="E1093" s="1" t="str">
        <f>_xlfn.REGEXREPLACE(C1093, "(.*)\/$", "https://extremismterms.adl.org\1")</f>
        <v>https://extremismterms.adl.org/glossary/non-resident-alien</v>
      </c>
      <c r="F1093" s="1" t="str" cm="1">
        <f t="array" ref="F1093">_xlfn.LET(_xlpm.rowNum,MATCH(E1093,'glossaryterms-export'!C:C,0),
IF(AND(NOT(ISBLANK(INDEX('glossaryterms-export'!H:H,_xlpm.rowNum))),ISBLANK(INDEX('glossaryterms-export'!I:I,_xlpm.rowNum))),"Ready to Fix",""))</f>
        <v/>
      </c>
      <c r="G1093">
        <v>6</v>
      </c>
      <c r="H1093">
        <v>6</v>
      </c>
      <c r="I1093">
        <v>1</v>
      </c>
      <c r="J1093">
        <v>70.1666666666666</v>
      </c>
      <c r="K1093">
        <v>17</v>
      </c>
    </row>
    <row r="1094" spans="1:11" ht="92.25">
      <c r="A1094">
        <v>1093</v>
      </c>
      <c r="B1094" s="16"/>
      <c r="C1094" t="s">
        <v>1152</v>
      </c>
      <c r="E1094" s="1" t="str">
        <f>_xlfn.REGEXREPLACE(C1094, "(.*)\/$", "https://extremismterms.adl.org\1")</f>
        <v>https://extremismterms.adl.org/glossary/second-lt-mohammed-saeed-alshamrani</v>
      </c>
      <c r="F1094" s="1" t="str" cm="1">
        <f t="array" ref="F1094">_xlfn.LET(_xlpm.rowNum,MATCH(E1094,'glossaryterms-export'!C:C,0),
IF(AND(NOT(ISBLANK(INDEX('glossaryterms-export'!H:H,_xlpm.rowNum))),ISBLANK(INDEX('glossaryterms-export'!I:I,_xlpm.rowNum))),"Ready to Fix",""))</f>
        <v/>
      </c>
      <c r="G1094">
        <v>6</v>
      </c>
      <c r="H1094">
        <v>6</v>
      </c>
      <c r="I1094">
        <v>1</v>
      </c>
      <c r="J1094">
        <v>12.8333333333333</v>
      </c>
      <c r="K1094">
        <v>12</v>
      </c>
    </row>
    <row r="1095" spans="1:11" ht="61.5">
      <c r="A1095">
        <v>1094</v>
      </c>
      <c r="B1095" s="16"/>
      <c r="C1095" t="s">
        <v>1153</v>
      </c>
      <c r="E1095" s="1" t="str">
        <f>_xlfn.REGEXREPLACE(C1095, "(.*)\/$", "https://extremismterms.adl.org\1")</f>
        <v>https://extremismterms.adl.org/glossary/toq-live</v>
      </c>
      <c r="F1095" s="1" t="str" cm="1">
        <f t="array" ref="F1095">_xlfn.LET(_xlpm.rowNum,MATCH(E1095,'glossaryterms-export'!C:C,0),
IF(AND(NOT(ISBLANK(INDEX('glossaryterms-export'!H:H,_xlpm.rowNum))),ISBLANK(INDEX('glossaryterms-export'!I:I,_xlpm.rowNum))),"Ready to Fix",""))</f>
        <v/>
      </c>
      <c r="G1095">
        <v>6</v>
      </c>
      <c r="H1095">
        <v>6</v>
      </c>
      <c r="I1095">
        <v>1</v>
      </c>
      <c r="J1095">
        <v>7.6666666666666599</v>
      </c>
      <c r="K1095">
        <v>15</v>
      </c>
    </row>
    <row r="1096" spans="1:11" ht="77.25">
      <c r="A1096">
        <v>1095</v>
      </c>
      <c r="B1096" s="16"/>
      <c r="C1096" t="s">
        <v>1154</v>
      </c>
      <c r="E1096" s="1" t="str">
        <f>_xlfn.REGEXREPLACE(C1096, "(.*)\/$", "https://extremismterms.adl.org\1")</f>
        <v>https://extremismterms.adl.org/glossary/ramadan-abdullah-shallah</v>
      </c>
      <c r="F1096" s="1" t="str" cm="1">
        <f t="array" ref="F1096">_xlfn.LET(_xlpm.rowNum,MATCH(E1096,'glossaryterms-export'!C:C,0),
IF(AND(NOT(ISBLANK(INDEX('glossaryterms-export'!H:H,_xlpm.rowNum))),ISBLANK(INDEX('glossaryterms-export'!I:I,_xlpm.rowNum))),"Ready to Fix",""))</f>
        <v/>
      </c>
      <c r="G1096">
        <v>5</v>
      </c>
      <c r="H1096">
        <v>5</v>
      </c>
      <c r="I1096">
        <v>1</v>
      </c>
      <c r="J1096">
        <v>6.4</v>
      </c>
      <c r="K1096">
        <v>11</v>
      </c>
    </row>
    <row r="1097" spans="1:11" ht="61.5">
      <c r="A1097">
        <v>1096</v>
      </c>
      <c r="B1097" s="16"/>
      <c r="C1097" t="s">
        <v>1155</v>
      </c>
      <c r="E1097" s="1" t="str">
        <f>_xlfn.REGEXREPLACE(C1097, "(.*)\/$", "https://extremismterms.adl.org\1")</f>
        <v>https://extremismterms.adl.org/glossary/road-power</v>
      </c>
      <c r="F1097" s="1" t="str" cm="1">
        <f t="array" ref="F1097">_xlfn.LET(_xlpm.rowNum,MATCH(E1097,'glossaryterms-export'!C:C,0),
IF(AND(NOT(ISBLANK(INDEX('glossaryterms-export'!H:H,_xlpm.rowNum))),ISBLANK(INDEX('glossaryterms-export'!I:I,_xlpm.rowNum))),"Ready to Fix",""))</f>
        <v>Ready to Fix</v>
      </c>
      <c r="G1097">
        <v>5</v>
      </c>
      <c r="H1097">
        <v>5</v>
      </c>
      <c r="I1097">
        <v>1</v>
      </c>
      <c r="J1097">
        <v>11.4</v>
      </c>
      <c r="K1097">
        <v>10</v>
      </c>
    </row>
    <row r="1098" spans="1:11" ht="61.5">
      <c r="A1098">
        <v>1097</v>
      </c>
      <c r="B1098" s="16"/>
      <c r="C1098" t="s">
        <v>1156</v>
      </c>
      <c r="E1098" s="1" t="str">
        <f>_xlfn.REGEXREPLACE(C1098, "(.*)\/$", "https://extremismterms.adl.org\1")</f>
        <v>https://extremismterms.adl.org/glossary/samir-khan</v>
      </c>
      <c r="F1098" s="1" t="str" cm="1">
        <f t="array" ref="F1098">_xlfn.LET(_xlpm.rowNum,MATCH(E1098,'glossaryterms-export'!C:C,0),
IF(AND(NOT(ISBLANK(INDEX('glossaryterms-export'!H:H,_xlpm.rowNum))),ISBLANK(INDEX('glossaryterms-export'!I:I,_xlpm.rowNum))),"Ready to Fix",""))</f>
        <v/>
      </c>
      <c r="G1098">
        <v>5</v>
      </c>
      <c r="H1098">
        <v>5</v>
      </c>
      <c r="I1098">
        <v>1</v>
      </c>
      <c r="J1098">
        <v>11.6</v>
      </c>
      <c r="K1098">
        <v>10</v>
      </c>
    </row>
    <row r="1099" spans="1:11" ht="77.25">
      <c r="A1099">
        <v>1098</v>
      </c>
      <c r="B1099" s="16"/>
      <c r="C1099" t="s">
        <v>1157</v>
      </c>
      <c r="E1099" s="1" t="str">
        <f>_xlfn.REGEXREPLACE(C1099, "(.*)\/$", "https://extremismterms.adl.org\1")</f>
        <v>https://extremismterms.adl.org/glossary/sheikh-omar-abdel-rahman</v>
      </c>
      <c r="F1099" s="1" t="str" cm="1">
        <f t="array" ref="F1099">_xlfn.LET(_xlpm.rowNum,MATCH(E1099,'glossaryterms-export'!C:C,0),
IF(AND(NOT(ISBLANK(INDEX('glossaryterms-export'!H:H,_xlpm.rowNum))),ISBLANK(INDEX('glossaryterms-export'!I:I,_xlpm.rowNum))),"Ready to Fix",""))</f>
        <v/>
      </c>
      <c r="G1099">
        <v>5</v>
      </c>
      <c r="H1099">
        <v>5</v>
      </c>
      <c r="I1099">
        <v>1</v>
      </c>
      <c r="J1099">
        <v>24.2</v>
      </c>
      <c r="K1099">
        <v>13</v>
      </c>
    </row>
    <row r="1100" spans="1:11">
      <c r="A1100">
        <v>1099</v>
      </c>
      <c r="B1100" s="16"/>
      <c r="C1100" t="s">
        <v>1158</v>
      </c>
      <c r="E1100" s="1"/>
      <c r="F1100" s="1" t="str" cm="1">
        <f t="array" ref="F1100">_xlfn.LET(_xlpm.rowNum,MATCH(E1100,'glossaryterms-export'!C:C,0),
IF(AND(NOT(ISBLANK(INDEX('glossaryterms-export'!H:H,_xlpm.rowNum))),ISBLANK(INDEX('glossaryterms-export'!I:I,_xlpm.rowNum))),"Ready to Fix",""))</f>
        <v/>
      </c>
      <c r="G1100">
        <v>5</v>
      </c>
      <c r="H1100">
        <v>4</v>
      </c>
      <c r="I1100">
        <v>1.25</v>
      </c>
      <c r="J1100">
        <v>53</v>
      </c>
      <c r="K1100">
        <v>25</v>
      </c>
    </row>
    <row r="1101" spans="1:11" ht="61.5">
      <c r="A1101">
        <v>1100</v>
      </c>
      <c r="B1101" s="16"/>
      <c r="C1101" t="s">
        <v>1159</v>
      </c>
      <c r="E1101" s="1" t="str">
        <f>_xlfn.REGEXREPLACE(C1101, "(.*)\/$", "https://extremismterms.adl.org\1")</f>
        <v>https://extremismterms.adl.org/glossary/hate-club-1</v>
      </c>
      <c r="F1101" s="1" t="str" cm="1">
        <f t="array" ref="F1101">_xlfn.LET(_xlpm.rowNum,MATCH(E1101,'glossaryterms-export'!C:C,0),
IF(AND(NOT(ISBLANK(INDEX('glossaryterms-export'!H:H,_xlpm.rowNum))),ISBLANK(INDEX('glossaryterms-export'!I:I,_xlpm.rowNum))),"Ready to Fix",""))</f>
        <v/>
      </c>
      <c r="G1101">
        <v>4</v>
      </c>
      <c r="H1101">
        <v>1</v>
      </c>
      <c r="I1101">
        <v>4</v>
      </c>
      <c r="J1101">
        <v>45</v>
      </c>
      <c r="K1101">
        <v>10</v>
      </c>
    </row>
    <row r="1102" spans="1:11" ht="61.5">
      <c r="A1102">
        <v>1101</v>
      </c>
      <c r="B1102" s="16"/>
      <c r="C1102" t="s">
        <v>1160</v>
      </c>
      <c r="E1102" s="1" t="str">
        <f>_xlfn.REGEXREPLACE(C1102, "(.*)\/$", "https://extremismterms.adl.org\1")</f>
        <v>https://extremismterms.adl.org/glossary/political-cesspool</v>
      </c>
      <c r="F1102" s="1" t="str" cm="1">
        <f t="array" ref="F1102">_xlfn.LET(_xlpm.rowNum,MATCH(E1102,'glossaryterms-export'!C:C,0),
IF(AND(NOT(ISBLANK(INDEX('glossaryterms-export'!H:H,_xlpm.rowNum))),ISBLANK(INDEX('glossaryterms-export'!I:I,_xlpm.rowNum))),"Ready to Fix",""))</f>
        <v>Ready to Fix</v>
      </c>
      <c r="G1102">
        <v>4</v>
      </c>
      <c r="H1102">
        <v>4</v>
      </c>
      <c r="I1102">
        <v>1</v>
      </c>
      <c r="J1102">
        <v>4.5</v>
      </c>
      <c r="K1102">
        <v>11</v>
      </c>
    </row>
    <row r="1103" spans="1:11" ht="46.5">
      <c r="A1103">
        <v>1102</v>
      </c>
      <c r="B1103" s="16"/>
      <c r="C1103" t="s">
        <v>1161</v>
      </c>
      <c r="E1103" s="1" t="str">
        <f>_xlfn.REGEXREPLACE(C1103, "(.*)\/$", "https://extremismterms.adl.org\1")</f>
        <v>https://extremismterms.adl.org/glossary/roa</v>
      </c>
      <c r="F1103" s="1" t="str" cm="1">
        <f t="array" ref="F1103">_xlfn.LET(_xlpm.rowNum,MATCH(E1103,'glossaryterms-export'!C:C,0),
IF(AND(NOT(ISBLANK(INDEX('glossaryterms-export'!H:H,_xlpm.rowNum))),ISBLANK(INDEX('glossaryterms-export'!I:I,_xlpm.rowNum))),"Ready to Fix",""))</f>
        <v>Ready to Fix</v>
      </c>
      <c r="G1103">
        <v>4</v>
      </c>
      <c r="H1103">
        <v>4</v>
      </c>
      <c r="I1103">
        <v>1</v>
      </c>
      <c r="J1103">
        <v>9</v>
      </c>
      <c r="K1103">
        <v>9</v>
      </c>
    </row>
    <row r="1104" spans="1:11" ht="61.5">
      <c r="A1104">
        <v>1103</v>
      </c>
      <c r="B1104" s="16"/>
      <c r="C1104" t="s">
        <v>1162</v>
      </c>
      <c r="E1104" s="1" t="str">
        <f>_xlfn.REGEXREPLACE(C1104, "(.*)\/$", "https://extremismterms.adl.org\1")</f>
        <v>https://extremismterms.adl.org/glossary/timothy-wilson</v>
      </c>
      <c r="F1104" s="1" t="str" cm="1">
        <f t="array" ref="F1104">_xlfn.LET(_xlpm.rowNum,MATCH(E1104,'glossaryterms-export'!C:C,0),
IF(AND(NOT(ISBLANK(INDEX('glossaryterms-export'!H:H,_xlpm.rowNum))),ISBLANK(INDEX('glossaryterms-export'!I:I,_xlpm.rowNum))),"Ready to Fix",""))</f>
        <v>Ready to Fix</v>
      </c>
      <c r="G1104">
        <v>4</v>
      </c>
      <c r="H1104">
        <v>4</v>
      </c>
      <c r="I1104">
        <v>1</v>
      </c>
      <c r="J1104">
        <v>9.5</v>
      </c>
      <c r="K1104">
        <v>9</v>
      </c>
    </row>
    <row r="1105" spans="1:11" ht="61.5">
      <c r="A1105">
        <v>1104</v>
      </c>
      <c r="B1105" s="16"/>
      <c r="C1105" t="s">
        <v>1163</v>
      </c>
      <c r="E1105" s="1" t="str">
        <f>_xlfn.REGEXREPLACE(C1105, "(.*)\/$", "https://extremismterms.adl.org\1")</f>
        <v>https://extremismterms.adl.org/glossary/samuel-dickson</v>
      </c>
      <c r="F1105" s="1" t="str" cm="1">
        <f t="array" ref="F1105">_xlfn.LET(_xlpm.rowNum,MATCH(E1105,'glossaryterms-export'!C:C,0),
IF(AND(NOT(ISBLANK(INDEX('glossaryterms-export'!H:H,_xlpm.rowNum))),ISBLANK(INDEX('glossaryterms-export'!I:I,_xlpm.rowNum))),"Ready to Fix",""))</f>
        <v/>
      </c>
      <c r="G1105">
        <v>3</v>
      </c>
      <c r="H1105">
        <v>3</v>
      </c>
      <c r="I1105">
        <v>1</v>
      </c>
      <c r="J1105">
        <v>11.6666666666666</v>
      </c>
      <c r="K1105">
        <v>8</v>
      </c>
    </row>
    <row r="1106" spans="1:11" ht="77.25">
      <c r="A1106">
        <v>1105</v>
      </c>
      <c r="B1106" s="16"/>
      <c r="C1106" t="s">
        <v>1164</v>
      </c>
      <c r="E1106" s="1" t="str">
        <f>_xlfn.REGEXREPLACE(C1106, "(.*)\/$", "https://extremismterms.adl.org\1")</f>
        <v>https://extremismterms.adl.org/glossary/umar-farouk-abdulmutallab</v>
      </c>
      <c r="F1106" s="1" t="str" cm="1">
        <f t="array" ref="F1106">_xlfn.LET(_xlpm.rowNum,MATCH(E1106,'glossaryterms-export'!C:C,0),
IF(AND(NOT(ISBLANK(INDEX('glossaryterms-export'!H:H,_xlpm.rowNum))),ISBLANK(INDEX('glossaryterms-export'!I:I,_xlpm.rowNum))),"Ready to Fix",""))</f>
        <v/>
      </c>
      <c r="G1106">
        <v>3</v>
      </c>
      <c r="H1106">
        <v>3</v>
      </c>
      <c r="I1106">
        <v>1</v>
      </c>
      <c r="J1106">
        <v>6.3333333333333304</v>
      </c>
      <c r="K1106">
        <v>10</v>
      </c>
    </row>
    <row r="1107" spans="1:11" ht="77.25">
      <c r="A1107">
        <v>1106</v>
      </c>
      <c r="B1107" s="16"/>
      <c r="C1107" t="s">
        <v>1165</v>
      </c>
      <c r="E1107" s="1" t="str">
        <f>_xlfn.REGEXREPLACE(C1107, "(.*)\/$", "https://extremismterms.adl.org\1")</f>
        <v>https://extremismterms.adl.org/glossary/william-daniel-johnson</v>
      </c>
      <c r="F1107" s="1" t="str" cm="1">
        <f t="array" ref="F1107">_xlfn.LET(_xlpm.rowNum,MATCH(E1107,'glossaryterms-export'!C:C,0),
IF(AND(NOT(ISBLANK(INDEX('glossaryterms-export'!H:H,_xlpm.rowNum))),ISBLANK(INDEX('glossaryterms-export'!I:I,_xlpm.rowNum))),"Ready to Fix",""))</f>
        <v/>
      </c>
      <c r="G1107">
        <v>3</v>
      </c>
      <c r="H1107">
        <v>3</v>
      </c>
      <c r="I1107">
        <v>1</v>
      </c>
      <c r="J1107">
        <v>12</v>
      </c>
      <c r="K1107">
        <v>8</v>
      </c>
    </row>
    <row r="1108" spans="1:11">
      <c r="A1108">
        <v>1107</v>
      </c>
      <c r="B1108" s="16"/>
      <c r="C1108" t="s">
        <v>1166</v>
      </c>
      <c r="E1108" s="1"/>
      <c r="F1108" s="1" t="str" cm="1">
        <f t="array" ref="F1108">_xlfn.LET(_xlpm.rowNum,MATCH(E1108,'glossaryterms-export'!C:C,0),
IF(AND(NOT(ISBLANK(INDEX('glossaryterms-export'!H:H,_xlpm.rowNum))),ISBLANK(INDEX('glossaryterms-export'!I:I,_xlpm.rowNum))),"Ready to Fix",""))</f>
        <v/>
      </c>
      <c r="G1108">
        <v>3</v>
      </c>
      <c r="H1108">
        <v>2</v>
      </c>
      <c r="I1108">
        <v>1.5</v>
      </c>
      <c r="J1108">
        <v>1</v>
      </c>
      <c r="K1108">
        <v>9</v>
      </c>
    </row>
    <row r="1109" spans="1:11">
      <c r="A1109">
        <v>1108</v>
      </c>
      <c r="B1109" s="16"/>
      <c r="C1109" t="s">
        <v>1167</v>
      </c>
      <c r="E1109" s="1"/>
      <c r="F1109" s="1" t="str" cm="1">
        <f t="array" ref="F1109">_xlfn.LET(_xlpm.rowNum,MATCH(E1109,'glossaryterms-export'!C:C,0),
IF(AND(NOT(ISBLANK(INDEX('glossaryterms-export'!H:H,_xlpm.rowNum))),ISBLANK(INDEX('glossaryterms-export'!I:I,_xlpm.rowNum))),"Ready to Fix",""))</f>
        <v/>
      </c>
      <c r="G1109">
        <v>3</v>
      </c>
      <c r="H1109">
        <v>3</v>
      </c>
      <c r="I1109">
        <v>1</v>
      </c>
      <c r="J1109">
        <v>1.3333333333333299</v>
      </c>
      <c r="K1109">
        <v>27</v>
      </c>
    </row>
    <row r="1110" spans="1:11">
      <c r="A1110">
        <v>1109</v>
      </c>
      <c r="B1110" s="16"/>
      <c r="C1110" t="s">
        <v>1168</v>
      </c>
      <c r="E1110" s="1"/>
      <c r="F1110" s="1" t="str" cm="1">
        <f t="array" ref="F1110">_xlfn.LET(_xlpm.rowNum,MATCH(E1110,'glossaryterms-export'!C:C,0),
IF(AND(NOT(ISBLANK(INDEX('glossaryterms-export'!H:H,_xlpm.rowNum))),ISBLANK(INDEX('glossaryterms-export'!I:I,_xlpm.rowNum))),"Ready to Fix",""))</f>
        <v/>
      </c>
      <c r="G1110">
        <v>2</v>
      </c>
      <c r="H1110">
        <v>2</v>
      </c>
      <c r="I1110">
        <v>1</v>
      </c>
      <c r="J1110">
        <v>6</v>
      </c>
      <c r="K1110">
        <v>8</v>
      </c>
    </row>
    <row r="1111" spans="1:11">
      <c r="A1111">
        <v>1110</v>
      </c>
      <c r="B1111" s="16"/>
      <c r="C1111" t="s">
        <v>1169</v>
      </c>
      <c r="E1111" s="1"/>
      <c r="F1111" s="1" t="str" cm="1">
        <f t="array" ref="F1111">_xlfn.LET(_xlpm.rowNum,MATCH(E1111,'glossaryterms-export'!C:C,0),
IF(AND(NOT(ISBLANK(INDEX('glossaryterms-export'!H:H,_xlpm.rowNum))),ISBLANK(INDEX('glossaryterms-export'!I:I,_xlpm.rowNum))),"Ready to Fix",""))</f>
        <v/>
      </c>
      <c r="G1111">
        <v>2</v>
      </c>
      <c r="H1111">
        <v>2</v>
      </c>
      <c r="I1111">
        <v>1</v>
      </c>
      <c r="J1111">
        <v>0</v>
      </c>
      <c r="K1111">
        <v>8</v>
      </c>
    </row>
    <row r="1112" spans="1:11">
      <c r="A1112">
        <v>1111</v>
      </c>
      <c r="B1112" s="16"/>
      <c r="C1112" t="s">
        <v>1170</v>
      </c>
      <c r="E1112" s="1"/>
      <c r="F1112" s="1" t="str" cm="1">
        <f t="array" ref="F1112">_xlfn.LET(_xlpm.rowNum,MATCH(E1112,'glossaryterms-export'!C:C,0),
IF(AND(NOT(ISBLANK(INDEX('glossaryterms-export'!H:H,_xlpm.rowNum))),ISBLANK(INDEX('glossaryterms-export'!I:I,_xlpm.rowNum))),"Ready to Fix",""))</f>
        <v/>
      </c>
      <c r="G1112">
        <v>1</v>
      </c>
      <c r="H1112">
        <v>1</v>
      </c>
      <c r="I1112">
        <v>1</v>
      </c>
      <c r="J1112">
        <v>12</v>
      </c>
      <c r="K1112">
        <v>6</v>
      </c>
    </row>
    <row r="1113" spans="1:11">
      <c r="A1113">
        <v>1112</v>
      </c>
      <c r="B1113" s="16"/>
      <c r="C1113" t="s">
        <v>1171</v>
      </c>
      <c r="E1113" s="1"/>
      <c r="F1113" s="1" t="str" cm="1">
        <f t="array" ref="F1113">_xlfn.LET(_xlpm.rowNum,MATCH(E1113,'glossaryterms-export'!C:C,0),
IF(AND(NOT(ISBLANK(INDEX('glossaryterms-export'!H:H,_xlpm.rowNum))),ISBLANK(INDEX('glossaryterms-export'!I:I,_xlpm.rowNum))),"Ready to Fix",""))</f>
        <v/>
      </c>
      <c r="G1113">
        <v>1</v>
      </c>
      <c r="H1113">
        <v>1</v>
      </c>
      <c r="I1113">
        <v>1</v>
      </c>
      <c r="J1113">
        <v>5</v>
      </c>
      <c r="K1113">
        <v>9</v>
      </c>
    </row>
    <row r="1114" spans="1:11">
      <c r="A1114">
        <v>1113</v>
      </c>
      <c r="B1114" s="16"/>
      <c r="C1114" t="s">
        <v>1172</v>
      </c>
      <c r="E1114" s="1"/>
      <c r="F1114" s="1" t="str" cm="1">
        <f t="array" ref="F1114">_xlfn.LET(_xlpm.rowNum,MATCH(E1114,'glossaryterms-export'!C:C,0),
IF(AND(NOT(ISBLANK(INDEX('glossaryterms-export'!H:H,_xlpm.rowNum))),ISBLANK(INDEX('glossaryterms-export'!I:I,_xlpm.rowNum))),"Ready to Fix",""))</f>
        <v/>
      </c>
      <c r="G1114">
        <v>1</v>
      </c>
      <c r="H1114">
        <v>1</v>
      </c>
      <c r="I1114">
        <v>1</v>
      </c>
      <c r="J1114">
        <v>7</v>
      </c>
      <c r="K1114">
        <v>6</v>
      </c>
    </row>
    <row r="1115" spans="1:11">
      <c r="A1115">
        <v>1114</v>
      </c>
      <c r="B1115" s="16"/>
      <c r="C1115" t="s">
        <v>1173</v>
      </c>
      <c r="E1115" s="1"/>
      <c r="F1115" s="1" t="str" cm="1">
        <f t="array" ref="F1115">_xlfn.LET(_xlpm.rowNum,MATCH(E1115,'glossaryterms-export'!C:C,0),
IF(AND(NOT(ISBLANK(INDEX('glossaryterms-export'!H:H,_xlpm.rowNum))),ISBLANK(INDEX('glossaryterms-export'!I:I,_xlpm.rowNum))),"Ready to Fix",""))</f>
        <v/>
      </c>
      <c r="G1115">
        <v>1</v>
      </c>
      <c r="H1115">
        <v>1</v>
      </c>
      <c r="I1115">
        <v>1</v>
      </c>
      <c r="J1115">
        <v>0</v>
      </c>
      <c r="K1115">
        <v>3</v>
      </c>
    </row>
    <row r="1116" spans="1:11">
      <c r="A1116">
        <v>1115</v>
      </c>
      <c r="B1116" s="16"/>
      <c r="C1116" t="s">
        <v>1174</v>
      </c>
      <c r="E1116" s="1"/>
      <c r="F1116" s="1" t="str" cm="1">
        <f t="array" ref="F1116">_xlfn.LET(_xlpm.rowNum,MATCH(E1116,'glossaryterms-export'!C:C,0),
IF(AND(NOT(ISBLANK(INDEX('glossaryterms-export'!H:H,_xlpm.rowNum))),ISBLANK(INDEX('glossaryterms-export'!I:I,_xlpm.rowNum))),"Ready to Fix",""))</f>
        <v/>
      </c>
      <c r="G1116">
        <v>1</v>
      </c>
      <c r="H1116">
        <v>1</v>
      </c>
      <c r="I1116">
        <v>1</v>
      </c>
      <c r="J1116">
        <v>0</v>
      </c>
      <c r="K1116">
        <v>5</v>
      </c>
    </row>
    <row r="1117" spans="1:11">
      <c r="A1117">
        <v>1116</v>
      </c>
      <c r="B1117" s="16"/>
      <c r="C1117" t="s">
        <v>1175</v>
      </c>
      <c r="E1117" s="1"/>
      <c r="F1117" s="1" t="str" cm="1">
        <f t="array" ref="F1117">_xlfn.LET(_xlpm.rowNum,MATCH(E1117,'glossaryterms-export'!C:C,0),
IF(AND(NOT(ISBLANK(INDEX('glossaryterms-export'!H:H,_xlpm.rowNum))),ISBLANK(INDEX('glossaryterms-export'!I:I,_xlpm.rowNum))),"Ready to Fix",""))</f>
        <v/>
      </c>
      <c r="G1117">
        <v>1</v>
      </c>
      <c r="H1117">
        <v>1</v>
      </c>
      <c r="I1117">
        <v>1</v>
      </c>
      <c r="J1117">
        <v>32</v>
      </c>
      <c r="K1117">
        <v>4</v>
      </c>
    </row>
    <row r="1118" spans="1:11">
      <c r="A1118">
        <v>1117</v>
      </c>
      <c r="B1118" s="16"/>
      <c r="C1118" t="s">
        <v>1176</v>
      </c>
      <c r="E1118" s="1"/>
      <c r="F1118" s="1" t="str" cm="1">
        <f t="array" ref="F1118">_xlfn.LET(_xlpm.rowNum,MATCH(E1118,'glossaryterms-export'!C:C,0),
IF(AND(NOT(ISBLANK(INDEX('glossaryterms-export'!H:H,_xlpm.rowNum))),ISBLANK(INDEX('glossaryterms-export'!I:I,_xlpm.rowNum))),"Ready to Fix",""))</f>
        <v/>
      </c>
      <c r="G1118">
        <v>0</v>
      </c>
      <c r="H1118">
        <v>1</v>
      </c>
      <c r="I1118">
        <v>0</v>
      </c>
      <c r="J1118">
        <v>0</v>
      </c>
      <c r="K1118">
        <v>3</v>
      </c>
    </row>
    <row r="1119" spans="1:11">
      <c r="A1119">
        <v>1118</v>
      </c>
      <c r="B1119" s="16"/>
      <c r="C1119" t="s">
        <v>1177</v>
      </c>
      <c r="E1119" s="1"/>
      <c r="F1119" s="1" t="str" cm="1">
        <f t="array" ref="F1119">_xlfn.LET(_xlpm.rowNum,MATCH(E1119,'glossaryterms-export'!C:C,0),
IF(AND(NOT(ISBLANK(INDEX('glossaryterms-export'!H:H,_xlpm.rowNum))),ISBLANK(INDEX('glossaryterms-export'!I:I,_xlpm.rowNum))),"Ready to Fix",""))</f>
        <v/>
      </c>
      <c r="G1119">
        <v>0</v>
      </c>
      <c r="H1119">
        <v>1</v>
      </c>
      <c r="I1119">
        <v>0</v>
      </c>
      <c r="J1119">
        <v>0</v>
      </c>
      <c r="K1119">
        <v>3</v>
      </c>
    </row>
    <row r="1120" spans="1:11" ht="30.75">
      <c r="A1120">
        <v>1119</v>
      </c>
      <c r="B1120" s="14" t="s">
        <v>22</v>
      </c>
      <c r="C1120" t="s">
        <v>1178</v>
      </c>
      <c r="D1120" t="s">
        <v>20</v>
      </c>
      <c r="E1120" s="1"/>
      <c r="F1120" s="1" t="str" cm="1">
        <f t="array" ref="F1120">_xlfn.LET(_xlpm.rowNum,MATCH(E1120,'glossaryterms-export'!C:C,0),
IF(AND(NOT(ISBLANK(INDEX('glossaryterms-export'!H:H,_xlpm.rowNum))),ISBLANK(INDEX('glossaryterms-export'!I:I,_xlpm.rowNum))),"Ready to Fix",""))</f>
        <v/>
      </c>
      <c r="G1120">
        <v>0</v>
      </c>
      <c r="H1120">
        <v>1</v>
      </c>
      <c r="I1120">
        <v>0</v>
      </c>
      <c r="J1120">
        <v>0</v>
      </c>
      <c r="K1120">
        <v>3</v>
      </c>
    </row>
    <row r="1121" spans="1:11" ht="30.75">
      <c r="A1121">
        <v>1120</v>
      </c>
      <c r="B1121" s="14" t="s">
        <v>22</v>
      </c>
      <c r="C1121" t="s">
        <v>1179</v>
      </c>
      <c r="D1121" t="s">
        <v>20</v>
      </c>
      <c r="E1121" s="1"/>
      <c r="F1121" s="1" t="str" cm="1">
        <f t="array" ref="F1121">_xlfn.LET(_xlpm.rowNum,MATCH(E1121,'glossaryterms-export'!C:C,0),
IF(AND(NOT(ISBLANK(INDEX('glossaryterms-export'!H:H,_xlpm.rowNum))),ISBLANK(INDEX('glossaryterms-export'!I:I,_xlpm.rowNum))),"Ready to Fix",""))</f>
        <v/>
      </c>
      <c r="G1121">
        <v>0</v>
      </c>
      <c r="H1121">
        <v>1</v>
      </c>
      <c r="I1121">
        <v>0</v>
      </c>
      <c r="J1121">
        <v>0</v>
      </c>
      <c r="K1121">
        <v>3</v>
      </c>
    </row>
    <row r="1122" spans="1:11">
      <c r="A1122">
        <v>1121</v>
      </c>
      <c r="B1122" s="16"/>
      <c r="C1122" t="s">
        <v>1180</v>
      </c>
      <c r="E1122" s="1"/>
      <c r="F1122" s="1" t="str" cm="1">
        <f t="array" ref="F1122">_xlfn.LET(_xlpm.rowNum,MATCH(E1122,'glossaryterms-export'!C:C,0),
IF(AND(NOT(ISBLANK(INDEX('glossaryterms-export'!H:H,_xlpm.rowNum))),ISBLANK(INDEX('glossaryterms-export'!I:I,_xlpm.rowNum))),"Ready to Fix",""))</f>
        <v/>
      </c>
      <c r="G1122">
        <v>0</v>
      </c>
      <c r="H1122">
        <v>3</v>
      </c>
      <c r="I1122">
        <v>0</v>
      </c>
      <c r="J1122">
        <v>0</v>
      </c>
      <c r="K1122">
        <v>9</v>
      </c>
    </row>
    <row r="1123" spans="1:11">
      <c r="A1123">
        <v>1122</v>
      </c>
      <c r="B1123" s="16"/>
      <c r="C1123" t="s">
        <v>1181</v>
      </c>
      <c r="E1123" s="1"/>
      <c r="F1123" s="1" t="str" cm="1">
        <f t="array" ref="F1123">_xlfn.LET(_xlpm.rowNum,MATCH(E1123,'glossaryterms-export'!C:C,0),
IF(AND(NOT(ISBLANK(INDEX('glossaryterms-export'!H:H,_xlpm.rowNum))),ISBLANK(INDEX('glossaryterms-export'!I:I,_xlpm.rowNum))),"Ready to Fix",""))</f>
        <v/>
      </c>
      <c r="G1123">
        <v>0</v>
      </c>
      <c r="H1123">
        <v>1</v>
      </c>
      <c r="I1123">
        <v>0</v>
      </c>
      <c r="J1123">
        <v>0</v>
      </c>
      <c r="K1123">
        <v>4</v>
      </c>
    </row>
    <row r="1124" spans="1:11">
      <c r="A1124">
        <v>1123</v>
      </c>
      <c r="B1124" s="16"/>
      <c r="C1124" t="s">
        <v>1182</v>
      </c>
      <c r="E1124" s="1"/>
      <c r="F1124" s="1" t="str" cm="1">
        <f t="array" ref="F1124">_xlfn.LET(_xlpm.rowNum,MATCH(E1124,'glossaryterms-export'!C:C,0),
IF(AND(NOT(ISBLANK(INDEX('glossaryterms-export'!H:H,_xlpm.rowNum))),ISBLANK(INDEX('glossaryterms-export'!I:I,_xlpm.rowNum))),"Ready to Fix",""))</f>
        <v/>
      </c>
      <c r="G1124">
        <v>0</v>
      </c>
      <c r="H1124">
        <v>1</v>
      </c>
      <c r="I1124">
        <v>0</v>
      </c>
      <c r="J1124">
        <v>0</v>
      </c>
      <c r="K1124">
        <v>2</v>
      </c>
    </row>
    <row r="1125" spans="1:11">
      <c r="A1125">
        <v>1124</v>
      </c>
      <c r="B1125" s="16"/>
      <c r="C1125" t="s">
        <v>1183</v>
      </c>
      <c r="E1125" s="1"/>
      <c r="F1125" s="1" t="str" cm="1">
        <f t="array" ref="F1125">_xlfn.LET(_xlpm.rowNum,MATCH(E1125,'glossaryterms-export'!C:C,0),
IF(AND(NOT(ISBLANK(INDEX('glossaryterms-export'!H:H,_xlpm.rowNum))),ISBLANK(INDEX('glossaryterms-export'!I:I,_xlpm.rowNum))),"Ready to Fix",""))</f>
        <v/>
      </c>
      <c r="G1125">
        <v>0</v>
      </c>
      <c r="H1125">
        <v>3</v>
      </c>
      <c r="I1125">
        <v>0</v>
      </c>
      <c r="J1125">
        <v>0</v>
      </c>
      <c r="K1125">
        <v>9</v>
      </c>
    </row>
    <row r="1126" spans="1:11">
      <c r="A1126">
        <v>1125</v>
      </c>
      <c r="B1126" s="16"/>
      <c r="C1126" t="s">
        <v>1184</v>
      </c>
      <c r="E1126" s="1"/>
      <c r="F1126" s="1" t="str" cm="1">
        <f t="array" ref="F1126">_xlfn.LET(_xlpm.rowNum,MATCH(E1126,'glossaryterms-export'!C:C,0),
IF(AND(NOT(ISBLANK(INDEX('glossaryterms-export'!H:H,_xlpm.rowNum))),ISBLANK(INDEX('glossaryterms-export'!I:I,_xlpm.rowNum))),"Ready to Fix",""))</f>
        <v/>
      </c>
      <c r="G1126">
        <v>0</v>
      </c>
      <c r="H1126">
        <v>1</v>
      </c>
      <c r="I1126">
        <v>0</v>
      </c>
      <c r="J1126">
        <v>0</v>
      </c>
      <c r="K1126">
        <v>3</v>
      </c>
    </row>
    <row r="1127" spans="1:11">
      <c r="A1127">
        <v>1126</v>
      </c>
      <c r="B1127" s="16"/>
      <c r="C1127" t="s">
        <v>1185</v>
      </c>
      <c r="E1127" s="1"/>
      <c r="F1127" s="1" t="str" cm="1">
        <f t="array" ref="F1127">_xlfn.LET(_xlpm.rowNum,MATCH(E1127,'glossaryterms-export'!C:C,0),
IF(AND(NOT(ISBLANK(INDEX('glossaryterms-export'!H:H,_xlpm.rowNum))),ISBLANK(INDEX('glossaryterms-export'!I:I,_xlpm.rowNum))),"Ready to Fix",""))</f>
        <v/>
      </c>
      <c r="G1127">
        <v>0</v>
      </c>
      <c r="H1127">
        <v>1</v>
      </c>
      <c r="I1127">
        <v>0</v>
      </c>
      <c r="J1127">
        <v>0</v>
      </c>
      <c r="K1127">
        <v>2</v>
      </c>
    </row>
    <row r="1128" spans="1:11">
      <c r="A1128">
        <v>1127</v>
      </c>
      <c r="B1128" s="14" t="s">
        <v>15</v>
      </c>
      <c r="C1128" t="s">
        <v>1186</v>
      </c>
      <c r="D1128" t="s">
        <v>20</v>
      </c>
      <c r="E1128" s="1"/>
      <c r="F1128" s="1" t="str" cm="1">
        <f t="array" ref="F1128">_xlfn.LET(_xlpm.rowNum,MATCH(E1128,'glossaryterms-export'!C:C,0),
IF(AND(NOT(ISBLANK(INDEX('glossaryterms-export'!H:H,_xlpm.rowNum))),ISBLANK(INDEX('glossaryterms-export'!I:I,_xlpm.rowNum))),"Ready to Fix",""))</f>
        <v/>
      </c>
      <c r="G1128">
        <v>0</v>
      </c>
      <c r="H1128">
        <v>1</v>
      </c>
      <c r="I1128">
        <v>0</v>
      </c>
      <c r="J1128">
        <v>0</v>
      </c>
      <c r="K1128">
        <v>1</v>
      </c>
    </row>
    <row r="1129" spans="1:11">
      <c r="A1129">
        <v>1128</v>
      </c>
      <c r="B1129" s="16"/>
      <c r="C1129" t="s">
        <v>1187</v>
      </c>
      <c r="E1129" s="1"/>
      <c r="F1129" s="1" t="str" cm="1">
        <f t="array" ref="F1129">_xlfn.LET(_xlpm.rowNum,MATCH(E1129,'glossaryterms-export'!C:C,0),
IF(AND(NOT(ISBLANK(INDEX('glossaryterms-export'!H:H,_xlpm.rowNum))),ISBLANK(INDEX('glossaryterms-export'!I:I,_xlpm.rowNum))),"Ready to Fix",""))</f>
        <v/>
      </c>
      <c r="G1129">
        <v>0</v>
      </c>
      <c r="H1129">
        <v>1</v>
      </c>
      <c r="I1129">
        <v>0</v>
      </c>
      <c r="J1129">
        <v>0</v>
      </c>
      <c r="K1129">
        <v>3</v>
      </c>
    </row>
    <row r="1130" spans="1:11">
      <c r="A1130">
        <v>1129</v>
      </c>
      <c r="B1130" s="17"/>
      <c r="C1130" t="s">
        <v>1188</v>
      </c>
      <c r="E1130" s="1"/>
      <c r="F1130" s="1" t="str" cm="1">
        <f t="array" ref="F1130">_xlfn.LET(_xlpm.rowNum,MATCH(E1130,'glossaryterms-export'!C:C,0),
IF(AND(NOT(ISBLANK(INDEX('glossaryterms-export'!H:H,_xlpm.rowNum))),ISBLANK(INDEX('glossaryterms-export'!I:I,_xlpm.rowNum))),"Ready to Fix",""))</f>
        <v/>
      </c>
      <c r="G1130">
        <v>0</v>
      </c>
      <c r="H1130">
        <v>1</v>
      </c>
      <c r="I1130">
        <v>0</v>
      </c>
      <c r="J1130">
        <v>0</v>
      </c>
      <c r="K1130">
        <v>1</v>
      </c>
    </row>
    <row r="1131" spans="1:11">
      <c r="F1131" s="1" t="str" cm="1">
        <f t="array" ref="F1131">_xlfn.LET(_xlpm.rowNum,MATCH(E1131,'glossaryterms-export'!C:C,0),
IF(AND(NOT(ISBLANK(INDEX('glossaryterms-export'!H:H,_xlpm.rowNum))),ISBLANK(INDEX('glossaryterms-export'!I:I,_xlpm.rowNum))),"Ready to Fix",""))</f>
        <v/>
      </c>
    </row>
    <row r="1132" spans="1:11">
      <c r="F1132" s="1" t="str" cm="1">
        <f t="array" ref="F1132">_xlfn.LET(_xlpm.rowNum,MATCH(E1132,'glossaryterms-export'!C:C,0),
IF(AND(NOT(ISBLANK(INDEX('glossaryterms-export'!H:H,_xlpm.rowNum))),ISBLANK(INDEX('glossaryterms-export'!I:I,_xlpm.rowNum))),"Ready to Fix",""))</f>
        <v/>
      </c>
    </row>
    <row r="1133" spans="1:11">
      <c r="F1133" s="1" t="str" cm="1">
        <f t="array" ref="F1133">_xlfn.LET(_xlpm.rowNum,MATCH(E1133,'glossaryterms-export'!C:C,0),
IF(AND(NOT(ISBLANK(INDEX('glossaryterms-export'!H:H,_xlpm.rowNum))),ISBLANK(INDEX('glossaryterms-export'!I:I,_xlpm.rowNum))),"Ready to Fix",""))</f>
        <v/>
      </c>
    </row>
    <row r="1134" spans="1:11">
      <c r="F1134" s="1" t="str" cm="1">
        <f t="array" ref="F1134">_xlfn.LET(_xlpm.rowNum,MATCH(E1134,'glossaryterms-export'!C:C,0),
IF(AND(NOT(ISBLANK(INDEX('glossaryterms-export'!H:H,_xlpm.rowNum))),ISBLANK(INDEX('glossaryterms-export'!I:I,_xlpm.rowNum))),"Ready to Fix",""))</f>
        <v/>
      </c>
    </row>
    <row r="1135" spans="1:11">
      <c r="F1135" s="1" t="str" cm="1">
        <f t="array" ref="F1135">_xlfn.LET(_xlpm.rowNum,MATCH(E1135,'glossaryterms-export'!C:C,0),
IF(AND(NOT(ISBLANK(INDEX('glossaryterms-export'!H:H,_xlpm.rowNum))),ISBLANK(INDEX('glossaryterms-export'!I:I,_xlpm.rowNum))),"Ready to Fix",""))</f>
        <v/>
      </c>
    </row>
    <row r="1136" spans="1:11">
      <c r="F1136" s="1" t="str" cm="1">
        <f t="array" ref="F1136">_xlfn.LET(_xlpm.rowNum,MATCH(E1136,'glossaryterms-export'!C:C,0),
IF(AND(NOT(ISBLANK(INDEX('glossaryterms-export'!H:H,_xlpm.rowNum))),ISBLANK(INDEX('glossaryterms-export'!I:I,_xlpm.rowNum))),"Ready to Fix",""))</f>
        <v/>
      </c>
    </row>
    <row r="1137" spans="6:6">
      <c r="F1137" s="1" t="str" cm="1">
        <f t="array" ref="F1137">_xlfn.LET(_xlpm.rowNum,MATCH(E1137,'glossaryterms-export'!C:C,0),
IF(AND(NOT(ISBLANK(INDEX('glossaryterms-export'!H:H,_xlpm.rowNum))),ISBLANK(INDEX('glossaryterms-export'!I:I,_xlpm.rowNum))),"Ready to Fix",""))</f>
        <v/>
      </c>
    </row>
    <row r="1138" spans="6:6">
      <c r="F1138" s="1" t="str" cm="1">
        <f t="array" ref="F1138">_xlfn.LET(_xlpm.rowNum,MATCH(E1138,'glossaryterms-export'!C:C,0),
IF(AND(NOT(ISBLANK(INDEX('glossaryterms-export'!H:H,_xlpm.rowNum))),ISBLANK(INDEX('glossaryterms-export'!I:I,_xlpm.rowNum))),"Ready to Fix",""))</f>
        <v/>
      </c>
    </row>
    <row r="1139" spans="6:6">
      <c r="F1139" s="1" t="str" cm="1">
        <f t="array" ref="F1139">_xlfn.LET(_xlpm.rowNum,MATCH(E1139,'glossaryterms-export'!C:C,0),
IF(AND(NOT(ISBLANK(INDEX('glossaryterms-export'!H:H,_xlpm.rowNum))),ISBLANK(INDEX('glossaryterms-export'!I:I,_xlpm.rowNum))),"Ready to Fix",""))</f>
        <v/>
      </c>
    </row>
    <row r="1140" spans="6:6">
      <c r="F1140" s="1" t="str" cm="1">
        <f t="array" ref="F1140">_xlfn.LET(_xlpm.rowNum,MATCH(E1140,'glossaryterms-export'!C:C,0),
IF(AND(NOT(ISBLANK(INDEX('glossaryterms-export'!H:H,_xlpm.rowNum))),ISBLANK(INDEX('glossaryterms-export'!I:I,_xlpm.rowNum))),"Ready to Fix",""))</f>
        <v/>
      </c>
    </row>
    <row r="1141" spans="6:6">
      <c r="F1141" s="1" t="str" cm="1">
        <f t="array" ref="F1141">_xlfn.LET(_xlpm.rowNum,MATCH(E1141,'glossaryterms-export'!C:C,0),
IF(AND(NOT(ISBLANK(INDEX('glossaryterms-export'!H:H,_xlpm.rowNum))),ISBLANK(INDEX('glossaryterms-export'!I:I,_xlpm.rowNum))),"Ready to Fix",""))</f>
        <v/>
      </c>
    </row>
    <row r="1142" spans="6:6">
      <c r="F1142" s="1" t="str" cm="1">
        <f t="array" ref="F1142">_xlfn.LET(_xlpm.rowNum,MATCH(E1142,'glossaryterms-export'!C:C,0),
IF(AND(NOT(ISBLANK(INDEX('glossaryterms-export'!H:H,_xlpm.rowNum))),ISBLANK(INDEX('glossaryterms-export'!I:I,_xlpm.rowNum))),"Ready to Fix",""))</f>
        <v/>
      </c>
    </row>
    <row r="1143" spans="6:6">
      <c r="F1143" s="1" t="str" cm="1">
        <f t="array" ref="F1143">_xlfn.LET(_xlpm.rowNum,MATCH(E1143,'glossaryterms-export'!C:C,0),
IF(AND(NOT(ISBLANK(INDEX('glossaryterms-export'!H:H,_xlpm.rowNum))),ISBLANK(INDEX('glossaryterms-export'!I:I,_xlpm.rowNum))),"Ready to Fix",""))</f>
        <v/>
      </c>
    </row>
    <row r="1144" spans="6:6">
      <c r="F1144" s="1" t="str" cm="1">
        <f t="array" ref="F1144">_xlfn.LET(_xlpm.rowNum,MATCH(E1144,'glossaryterms-export'!C:C,0),
IF(AND(NOT(ISBLANK(INDEX('glossaryterms-export'!H:H,_xlpm.rowNum))),ISBLANK(INDEX('glossaryterms-export'!I:I,_xlpm.rowNum))),"Ready to Fix",""))</f>
        <v/>
      </c>
    </row>
    <row r="1145" spans="6:6">
      <c r="F1145" s="1" t="str" cm="1">
        <f t="array" ref="F1145">_xlfn.LET(_xlpm.rowNum,MATCH(E1145,'glossaryterms-export'!C:C,0),
IF(AND(NOT(ISBLANK(INDEX('glossaryterms-export'!H:H,_xlpm.rowNum))),ISBLANK(INDEX('glossaryterms-export'!I:I,_xlpm.rowNum))),"Ready to Fix",""))</f>
        <v/>
      </c>
    </row>
    <row r="1146" spans="6:6">
      <c r="F1146" s="1" t="str" cm="1">
        <f t="array" ref="F1146">_xlfn.LET(_xlpm.rowNum,MATCH(E1146,'glossaryterms-export'!C:C,0),
IF(AND(NOT(ISBLANK(INDEX('glossaryterms-export'!H:H,_xlpm.rowNum))),ISBLANK(INDEX('glossaryterms-export'!I:I,_xlpm.rowNum))),"Ready to Fix",""))</f>
        <v/>
      </c>
    </row>
    <row r="1147" spans="6:6">
      <c r="F1147" s="1" t="str" cm="1">
        <f t="array" ref="F1147">_xlfn.LET(_xlpm.rowNum,MATCH(E1147,'glossaryterms-export'!C:C,0),
IF(AND(NOT(ISBLANK(INDEX('glossaryterms-export'!H:H,_xlpm.rowNum))),ISBLANK(INDEX('glossaryterms-export'!I:I,_xlpm.rowNum))),"Ready to Fix",""))</f>
        <v/>
      </c>
    </row>
    <row r="1148" spans="6:6">
      <c r="F1148" s="1" t="str" cm="1">
        <f t="array" ref="F1148">_xlfn.LET(_xlpm.rowNum,MATCH(E1148,'glossaryterms-export'!C:C,0),
IF(AND(NOT(ISBLANK(INDEX('glossaryterms-export'!H:H,_xlpm.rowNum))),ISBLANK(INDEX('glossaryterms-export'!I:I,_xlpm.rowNum))),"Ready to Fix",""))</f>
        <v/>
      </c>
    </row>
    <row r="1149" spans="6:6">
      <c r="F1149" s="1" t="str" cm="1">
        <f t="array" ref="F1149">_xlfn.LET(_xlpm.rowNum,MATCH(E1149,'glossaryterms-export'!C:C,0),
IF(AND(NOT(ISBLANK(INDEX('glossaryterms-export'!H:H,_xlpm.rowNum))),ISBLANK(INDEX('glossaryterms-export'!I:I,_xlpm.rowNum))),"Ready to Fix",""))</f>
        <v/>
      </c>
    </row>
    <row r="1150" spans="6:6">
      <c r="F1150" s="1" t="str" cm="1">
        <f t="array" ref="F1150">_xlfn.LET(_xlpm.rowNum,MATCH(E1150,'glossaryterms-export'!C:C,0),
IF(AND(NOT(ISBLANK(INDEX('glossaryterms-export'!H:H,_xlpm.rowNum))),ISBLANK(INDEX('glossaryterms-export'!I:I,_xlpm.rowNum))),"Ready to Fix",""))</f>
        <v/>
      </c>
    </row>
    <row r="1151" spans="6:6">
      <c r="F1151" s="1" t="str" cm="1">
        <f t="array" ref="F1151">_xlfn.LET(_xlpm.rowNum,MATCH(E1151,'glossaryterms-export'!C:C,0),
IF(AND(NOT(ISBLANK(INDEX('glossaryterms-export'!H:H,_xlpm.rowNum))),ISBLANK(INDEX('glossaryterms-export'!I:I,_xlpm.rowNum))),"Ready to Fix",""))</f>
        <v/>
      </c>
    </row>
    <row r="1152" spans="6:6">
      <c r="F1152" s="1" t="str" cm="1">
        <f t="array" ref="F1152">_xlfn.LET(_xlpm.rowNum,MATCH(E1152,'glossaryterms-export'!C:C,0),
IF(AND(NOT(ISBLANK(INDEX('glossaryterms-export'!H:H,_xlpm.rowNum))),ISBLANK(INDEX('glossaryterms-export'!I:I,_xlpm.rowNum))),"Ready to Fix",""))</f>
        <v/>
      </c>
    </row>
    <row r="1153" spans="6:6">
      <c r="F1153" s="1" t="str" cm="1">
        <f t="array" ref="F1153">_xlfn.LET(_xlpm.rowNum,MATCH(E1153,'glossaryterms-export'!C:C,0),
IF(AND(NOT(ISBLANK(INDEX('glossaryterms-export'!H:H,_xlpm.rowNum))),ISBLANK(INDEX('glossaryterms-export'!I:I,_xlpm.rowNum))),"Ready to Fix",""))</f>
        <v/>
      </c>
    </row>
    <row r="1154" spans="6:6">
      <c r="F1154" s="1" t="str" cm="1">
        <f t="array" ref="F1154">_xlfn.LET(_xlpm.rowNum,MATCH(E1154,'glossaryterms-export'!C:C,0),
IF(AND(NOT(ISBLANK(INDEX('glossaryterms-export'!H:H,_xlpm.rowNum))),ISBLANK(INDEX('glossaryterms-export'!I:I,_xlpm.rowNum))),"Ready to Fix",""))</f>
        <v/>
      </c>
    </row>
    <row r="1155" spans="6:6">
      <c r="F1155" s="1" t="str" cm="1">
        <f t="array" ref="F1155">_xlfn.LET(_xlpm.rowNum,MATCH(E1155,'glossaryterms-export'!C:C,0),
IF(AND(NOT(ISBLANK(INDEX('glossaryterms-export'!H:H,_xlpm.rowNum))),ISBLANK(INDEX('glossaryterms-export'!I:I,_xlpm.rowNum))),"Ready to Fix",""))</f>
        <v/>
      </c>
    </row>
    <row r="1156" spans="6:6">
      <c r="F1156" s="1" t="str" cm="1">
        <f t="array" ref="F1156">_xlfn.LET(_xlpm.rowNum,MATCH(E1156,'glossaryterms-export'!C:C,0),
IF(AND(NOT(ISBLANK(INDEX('glossaryterms-export'!H:H,_xlpm.rowNum))),ISBLANK(INDEX('glossaryterms-export'!I:I,_xlpm.rowNum))),"Ready to Fix",""))</f>
        <v/>
      </c>
    </row>
    <row r="1157" spans="6:6">
      <c r="F1157" s="1" t="str" cm="1">
        <f t="array" ref="F1157">_xlfn.LET(_xlpm.rowNum,MATCH(E1157,'glossaryterms-export'!C:C,0),
IF(AND(NOT(ISBLANK(INDEX('glossaryterms-export'!H:H,_xlpm.rowNum))),ISBLANK(INDEX('glossaryterms-export'!I:I,_xlpm.rowNum))),"Ready to Fix",""))</f>
        <v/>
      </c>
    </row>
    <row r="1158" spans="6:6">
      <c r="F1158" s="1" t="str" cm="1">
        <f t="array" ref="F1158">_xlfn.LET(_xlpm.rowNum,MATCH(E1158,'glossaryterms-export'!C:C,0),
IF(AND(NOT(ISBLANK(INDEX('glossaryterms-export'!H:H,_xlpm.rowNum))),ISBLANK(INDEX('glossaryterms-export'!I:I,_xlpm.rowNum))),"Ready to Fix",""))</f>
        <v/>
      </c>
    </row>
    <row r="1159" spans="6:6">
      <c r="F1159" s="1" t="str" cm="1">
        <f t="array" ref="F1159">_xlfn.LET(_xlpm.rowNum,MATCH(E1159,'glossaryterms-export'!C:C,0),
IF(AND(NOT(ISBLANK(INDEX('glossaryterms-export'!H:H,_xlpm.rowNum))),ISBLANK(INDEX('glossaryterms-export'!I:I,_xlpm.rowNum))),"Ready to Fix",""))</f>
        <v/>
      </c>
    </row>
    <row r="1160" spans="6:6">
      <c r="F1160" s="1" t="str" cm="1">
        <f t="array" ref="F1160">_xlfn.LET(_xlpm.rowNum,MATCH(E1160,'glossaryterms-export'!C:C,0),
IF(AND(NOT(ISBLANK(INDEX('glossaryterms-export'!H:H,_xlpm.rowNum))),ISBLANK(INDEX('glossaryterms-export'!I:I,_xlpm.rowNum))),"Ready to Fix",""))</f>
        <v/>
      </c>
    </row>
    <row r="1161" spans="6:6">
      <c r="F1161" s="1" t="str" cm="1">
        <f t="array" ref="F1161">_xlfn.LET(_xlpm.rowNum,MATCH(E1161,'glossaryterms-export'!C:C,0),
IF(AND(NOT(ISBLANK(INDEX('glossaryterms-export'!H:H,_xlpm.rowNum))),ISBLANK(INDEX('glossaryterms-export'!I:I,_xlpm.rowNum))),"Ready to Fix",""))</f>
        <v/>
      </c>
    </row>
    <row r="1162" spans="6:6">
      <c r="F1162" s="1" t="str" cm="1">
        <f t="array" ref="F1162">_xlfn.LET(_xlpm.rowNum,MATCH(E1162,'glossaryterms-export'!C:C,0),
IF(AND(NOT(ISBLANK(INDEX('glossaryterms-export'!H:H,_xlpm.rowNum))),ISBLANK(INDEX('glossaryterms-export'!I:I,_xlpm.rowNum))),"Ready to Fix",""))</f>
        <v/>
      </c>
    </row>
    <row r="1163" spans="6:6">
      <c r="F1163" s="1" t="str" cm="1">
        <f t="array" ref="F1163">_xlfn.LET(_xlpm.rowNum,MATCH(E1163,'glossaryterms-export'!C:C,0),
IF(AND(NOT(ISBLANK(INDEX('glossaryterms-export'!H:H,_xlpm.rowNum))),ISBLANK(INDEX('glossaryterms-export'!I:I,_xlpm.rowNum))),"Ready to Fix",""))</f>
        <v/>
      </c>
    </row>
    <row r="1164" spans="6:6">
      <c r="F1164" s="1" t="str" cm="1">
        <f t="array" ref="F1164">_xlfn.LET(_xlpm.rowNum,MATCH(E1164,'glossaryterms-export'!C:C,0),
IF(AND(NOT(ISBLANK(INDEX('glossaryterms-export'!H:H,_xlpm.rowNum))),ISBLANK(INDEX('glossaryterms-export'!I:I,_xlpm.rowNum))),"Ready to Fix",""))</f>
        <v/>
      </c>
    </row>
    <row r="1165" spans="6:6">
      <c r="F1165" s="1" t="str" cm="1">
        <f t="array" ref="F1165">_xlfn.LET(_xlpm.rowNum,MATCH(E1165,'glossaryterms-export'!C:C,0),
IF(AND(NOT(ISBLANK(INDEX('glossaryterms-export'!H:H,_xlpm.rowNum))),ISBLANK(INDEX('glossaryterms-export'!I:I,_xlpm.rowNum))),"Ready to Fix",""))</f>
        <v/>
      </c>
    </row>
    <row r="1166" spans="6:6">
      <c r="F1166" s="1" t="str" cm="1">
        <f t="array" ref="F1166">_xlfn.LET(_xlpm.rowNum,MATCH(E1166,'glossaryterms-export'!C:C,0),
IF(AND(NOT(ISBLANK(INDEX('glossaryterms-export'!H:H,_xlpm.rowNum))),ISBLANK(INDEX('glossaryterms-export'!I:I,_xlpm.rowNum))),"Ready to Fix",""))</f>
        <v/>
      </c>
    </row>
    <row r="1167" spans="6:6">
      <c r="F1167" s="1" t="str" cm="1">
        <f t="array" ref="F1167">_xlfn.LET(_xlpm.rowNum,MATCH(E1167,'glossaryterms-export'!C:C,0),
IF(AND(NOT(ISBLANK(INDEX('glossaryterms-export'!H:H,_xlpm.rowNum))),ISBLANK(INDEX('glossaryterms-export'!I:I,_xlpm.rowNum))),"Ready to Fix",""))</f>
        <v/>
      </c>
    </row>
    <row r="1168" spans="6:6">
      <c r="F1168" s="1" t="str" cm="1">
        <f t="array" ref="F1168">_xlfn.LET(_xlpm.rowNum,MATCH(E1168,'glossaryterms-export'!C:C,0),
IF(AND(NOT(ISBLANK(INDEX('glossaryterms-export'!H:H,_xlpm.rowNum))),ISBLANK(INDEX('glossaryterms-export'!I:I,_xlpm.rowNum))),"Ready to Fix",""))</f>
        <v/>
      </c>
    </row>
    <row r="1169" spans="6:6">
      <c r="F1169" s="1" t="str" cm="1">
        <f t="array" ref="F1169">_xlfn.LET(_xlpm.rowNum,MATCH(E1169,'glossaryterms-export'!C:C,0),
IF(AND(NOT(ISBLANK(INDEX('glossaryterms-export'!H:H,_xlpm.rowNum))),ISBLANK(INDEX('glossaryterms-export'!I:I,_xlpm.rowNum))),"Ready to Fix",""))</f>
        <v/>
      </c>
    </row>
    <row r="1170" spans="6:6">
      <c r="F1170" s="1" t="str" cm="1">
        <f t="array" ref="F1170">_xlfn.LET(_xlpm.rowNum,MATCH(E1170,'glossaryterms-export'!C:C,0),
IF(AND(NOT(ISBLANK(INDEX('glossaryterms-export'!H:H,_xlpm.rowNum))),ISBLANK(INDEX('glossaryterms-export'!I:I,_xlpm.rowNum))),"Ready to Fix",""))</f>
        <v/>
      </c>
    </row>
    <row r="1171" spans="6:6">
      <c r="F1171" s="1" t="str" cm="1">
        <f t="array" ref="F1171">_xlfn.LET(_xlpm.rowNum,MATCH(E1171,'glossaryterms-export'!C:C,0),
IF(AND(NOT(ISBLANK(INDEX('glossaryterms-export'!H:H,_xlpm.rowNum))),ISBLANK(INDEX('glossaryterms-export'!I:I,_xlpm.rowNum))),"Ready to Fix",""))</f>
        <v/>
      </c>
    </row>
    <row r="1172" spans="6:6">
      <c r="F1172" s="1" t="str" cm="1">
        <f t="array" ref="F1172">_xlfn.LET(_xlpm.rowNum,MATCH(E1172,'glossaryterms-export'!C:C,0),
IF(AND(NOT(ISBLANK(INDEX('glossaryterms-export'!H:H,_xlpm.rowNum))),ISBLANK(INDEX('glossaryterms-export'!I:I,_xlpm.rowNum))),"Ready to Fix",""))</f>
        <v/>
      </c>
    </row>
    <row r="1173" spans="6:6">
      <c r="F1173" s="1" t="str" cm="1">
        <f t="array" ref="F1173">_xlfn.LET(_xlpm.rowNum,MATCH(E1173,'glossaryterms-export'!C:C,0),
IF(AND(NOT(ISBLANK(INDEX('glossaryterms-export'!H:H,_xlpm.rowNum))),ISBLANK(INDEX('glossaryterms-export'!I:I,_xlpm.rowNum))),"Ready to Fix",""))</f>
        <v/>
      </c>
    </row>
    <row r="1174" spans="6:6">
      <c r="F1174" s="1" t="str" cm="1">
        <f t="array" ref="F1174">_xlfn.LET(_xlpm.rowNum,MATCH(E1174,'glossaryterms-export'!C:C,0),
IF(AND(NOT(ISBLANK(INDEX('glossaryterms-export'!H:H,_xlpm.rowNum))),ISBLANK(INDEX('glossaryterms-export'!I:I,_xlpm.rowNum))),"Ready to Fix",""))</f>
        <v/>
      </c>
    </row>
    <row r="1175" spans="6:6">
      <c r="F1175" s="1" t="str" cm="1">
        <f t="array" ref="F1175">_xlfn.LET(_xlpm.rowNum,MATCH(E1175,'glossaryterms-export'!C:C,0),
IF(AND(NOT(ISBLANK(INDEX('glossaryterms-export'!H:H,_xlpm.rowNum))),ISBLANK(INDEX('glossaryterms-export'!I:I,_xlpm.rowNum))),"Ready to Fix",""))</f>
        <v/>
      </c>
    </row>
    <row r="1176" spans="6:6">
      <c r="F1176" s="1" t="str" cm="1">
        <f t="array" ref="F1176">_xlfn.LET(_xlpm.rowNum,MATCH(E1176,'glossaryterms-export'!C:C,0),
IF(AND(NOT(ISBLANK(INDEX('glossaryterms-export'!H:H,_xlpm.rowNum))),ISBLANK(INDEX('glossaryterms-export'!I:I,_xlpm.rowNum))),"Ready to Fix",""))</f>
        <v/>
      </c>
    </row>
    <row r="1177" spans="6:6">
      <c r="F1177" s="1" t="str" cm="1">
        <f t="array" ref="F1177">_xlfn.LET(_xlpm.rowNum,MATCH(E1177,'glossaryterms-export'!C:C,0),
IF(AND(NOT(ISBLANK(INDEX('glossaryterms-export'!H:H,_xlpm.rowNum))),ISBLANK(INDEX('glossaryterms-export'!I:I,_xlpm.rowNum))),"Ready to Fix",""))</f>
        <v/>
      </c>
    </row>
    <row r="1178" spans="6:6">
      <c r="F1178" s="1" t="str" cm="1">
        <f t="array" ref="F1178">_xlfn.LET(_xlpm.rowNum,MATCH(E1178,'glossaryterms-export'!C:C,0),
IF(AND(NOT(ISBLANK(INDEX('glossaryterms-export'!H:H,_xlpm.rowNum))),ISBLANK(INDEX('glossaryterms-export'!I:I,_xlpm.rowNum))),"Ready to Fix",""))</f>
        <v/>
      </c>
    </row>
    <row r="1179" spans="6:6">
      <c r="F1179" s="1" t="str" cm="1">
        <f t="array" ref="F1179">_xlfn.LET(_xlpm.rowNum,MATCH(E1179,'glossaryterms-export'!C:C,0),
IF(AND(NOT(ISBLANK(INDEX('glossaryterms-export'!H:H,_xlpm.rowNum))),ISBLANK(INDEX('glossaryterms-export'!I:I,_xlpm.rowNum))),"Ready to Fix",""))</f>
        <v/>
      </c>
    </row>
    <row r="1180" spans="6:6">
      <c r="F1180" s="1" t="str" cm="1">
        <f t="array" ref="F1180">_xlfn.LET(_xlpm.rowNum,MATCH(E1180,'glossaryterms-export'!C:C,0),
IF(AND(NOT(ISBLANK(INDEX('glossaryterms-export'!H:H,_xlpm.rowNum))),ISBLANK(INDEX('glossaryterms-export'!I:I,_xlpm.rowNum))),"Ready to Fix",""))</f>
        <v/>
      </c>
    </row>
    <row r="1181" spans="6:6">
      <c r="F1181" s="1" t="str" cm="1">
        <f t="array" ref="F1181">_xlfn.LET(_xlpm.rowNum,MATCH(E1181,'glossaryterms-export'!C:C,0),
IF(AND(NOT(ISBLANK(INDEX('glossaryterms-export'!H:H,_xlpm.rowNum))),ISBLANK(INDEX('glossaryterms-export'!I:I,_xlpm.rowNum))),"Ready to Fix",""))</f>
        <v/>
      </c>
    </row>
    <row r="1182" spans="6:6">
      <c r="F1182" s="1" t="str" cm="1">
        <f t="array" ref="F1182">_xlfn.LET(_xlpm.rowNum,MATCH(E1182,'glossaryterms-export'!C:C,0),
IF(AND(NOT(ISBLANK(INDEX('glossaryterms-export'!H:H,_xlpm.rowNum))),ISBLANK(INDEX('glossaryterms-export'!I:I,_xlpm.rowNum))),"Ready to Fix",""))</f>
        <v/>
      </c>
    </row>
    <row r="1183" spans="6:6">
      <c r="F1183" s="1" t="str" cm="1">
        <f t="array" ref="F1183">_xlfn.LET(_xlpm.rowNum,MATCH(E1183,'glossaryterms-export'!C:C,0),
IF(AND(NOT(ISBLANK(INDEX('glossaryterms-export'!H:H,_xlpm.rowNum))),ISBLANK(INDEX('glossaryterms-export'!I:I,_xlpm.rowNum))),"Ready to Fix",""))</f>
        <v/>
      </c>
    </row>
    <row r="1184" spans="6:6">
      <c r="F1184" s="1" t="str" cm="1">
        <f t="array" ref="F1184">_xlfn.LET(_xlpm.rowNum,MATCH(E1184,'glossaryterms-export'!C:C,0),
IF(AND(NOT(ISBLANK(INDEX('glossaryterms-export'!H:H,_xlpm.rowNum))),ISBLANK(INDEX('glossaryterms-export'!I:I,_xlpm.rowNum))),"Ready to Fix",""))</f>
        <v/>
      </c>
    </row>
    <row r="1185" spans="6:6">
      <c r="F1185" s="1" t="str" cm="1">
        <f t="array" ref="F1185">_xlfn.LET(_xlpm.rowNum,MATCH(E1185,'glossaryterms-export'!C:C,0),
IF(AND(NOT(ISBLANK(INDEX('glossaryterms-export'!H:H,_xlpm.rowNum))),ISBLANK(INDEX('glossaryterms-export'!I:I,_xlpm.rowNum))),"Ready to Fix",""))</f>
        <v/>
      </c>
    </row>
    <row r="1186" spans="6:6">
      <c r="F1186" s="1" t="str" cm="1">
        <f t="array" ref="F1186">_xlfn.LET(_xlpm.rowNum,MATCH(E1186,'glossaryterms-export'!C:C,0),
IF(AND(NOT(ISBLANK(INDEX('glossaryterms-export'!H:H,_xlpm.rowNum))),ISBLANK(INDEX('glossaryterms-export'!I:I,_xlpm.rowNum))),"Ready to Fix",""))</f>
        <v/>
      </c>
    </row>
    <row r="1187" spans="6:6">
      <c r="F1187" s="1" t="str" cm="1">
        <f t="array" ref="F1187">_xlfn.LET(_xlpm.rowNum,MATCH(E1187,'glossaryterms-export'!C:C,0),
IF(AND(NOT(ISBLANK(INDEX('glossaryterms-export'!H:H,_xlpm.rowNum))),ISBLANK(INDEX('glossaryterms-export'!I:I,_xlpm.rowNum))),"Ready to Fix",""))</f>
        <v/>
      </c>
    </row>
    <row r="1188" spans="6:6">
      <c r="F1188" s="1" t="str" cm="1">
        <f t="array" ref="F1188">_xlfn.LET(_xlpm.rowNum,MATCH(E1188,'glossaryterms-export'!C:C,0),
IF(AND(NOT(ISBLANK(INDEX('glossaryterms-export'!H:H,_xlpm.rowNum))),ISBLANK(INDEX('glossaryterms-export'!I:I,_xlpm.rowNum))),"Ready to Fix",""))</f>
        <v/>
      </c>
    </row>
    <row r="1189" spans="6:6">
      <c r="F1189" s="1" t="str" cm="1">
        <f t="array" ref="F1189">_xlfn.LET(_xlpm.rowNum,MATCH(E1189,'glossaryterms-export'!C:C,0),
IF(AND(NOT(ISBLANK(INDEX('glossaryterms-export'!H:H,_xlpm.rowNum))),ISBLANK(INDEX('glossaryterms-export'!I:I,_xlpm.rowNum))),"Ready to Fix",""))</f>
        <v/>
      </c>
    </row>
    <row r="1190" spans="6:6">
      <c r="F1190" s="1" t="str" cm="1">
        <f t="array" ref="F1190">_xlfn.LET(_xlpm.rowNum,MATCH(E1190,'glossaryterms-export'!C:C,0),
IF(AND(NOT(ISBLANK(INDEX('glossaryterms-export'!H:H,_xlpm.rowNum))),ISBLANK(INDEX('glossaryterms-export'!I:I,_xlpm.rowNum))),"Ready to Fix",""))</f>
        <v/>
      </c>
    </row>
    <row r="1191" spans="6:6">
      <c r="F1191" s="1" t="str" cm="1">
        <f t="array" ref="F1191">_xlfn.LET(_xlpm.rowNum,MATCH(E1191,'glossaryterms-export'!C:C,0),
IF(AND(NOT(ISBLANK(INDEX('glossaryterms-export'!H:H,_xlpm.rowNum))),ISBLANK(INDEX('glossaryterms-export'!I:I,_xlpm.rowNum))),"Ready to Fix",""))</f>
        <v/>
      </c>
    </row>
    <row r="1192" spans="6:6">
      <c r="F1192" s="1" t="str" cm="1">
        <f t="array" ref="F1192">_xlfn.LET(_xlpm.rowNum,MATCH(E1192,'glossaryterms-export'!C:C,0),
IF(AND(NOT(ISBLANK(INDEX('glossaryterms-export'!H:H,_xlpm.rowNum))),ISBLANK(INDEX('glossaryterms-export'!I:I,_xlpm.rowNum))),"Ready to Fix",""))</f>
        <v/>
      </c>
    </row>
    <row r="1193" spans="6:6">
      <c r="F1193" s="1" t="str" cm="1">
        <f t="array" ref="F1193">_xlfn.LET(_xlpm.rowNum,MATCH(E1193,'glossaryterms-export'!C:C,0),
IF(AND(NOT(ISBLANK(INDEX('glossaryterms-export'!H:H,_xlpm.rowNum))),ISBLANK(INDEX('glossaryterms-export'!I:I,_xlpm.rowNum))),"Ready to Fix",""))</f>
        <v/>
      </c>
    </row>
    <row r="1194" spans="6:6">
      <c r="F1194" s="1" t="str" cm="1">
        <f t="array" ref="F1194">_xlfn.LET(_xlpm.rowNum,MATCH(E1194,'glossaryterms-export'!C:C,0),
IF(AND(NOT(ISBLANK(INDEX('glossaryterms-export'!H:H,_xlpm.rowNum))),ISBLANK(INDEX('glossaryterms-export'!I:I,_xlpm.rowNum))),"Ready to Fix",""))</f>
        <v/>
      </c>
    </row>
    <row r="1195" spans="6:6">
      <c r="F1195" s="1" t="str" cm="1">
        <f t="array" ref="F1195">_xlfn.LET(_xlpm.rowNum,MATCH(E1195,'glossaryterms-export'!C:C,0),
IF(AND(NOT(ISBLANK(INDEX('glossaryterms-export'!H:H,_xlpm.rowNum))),ISBLANK(INDEX('glossaryterms-export'!I:I,_xlpm.rowNum))),"Ready to Fix",""))</f>
        <v/>
      </c>
    </row>
    <row r="1196" spans="6:6">
      <c r="F1196" s="1" t="str" cm="1">
        <f t="array" ref="F1196">_xlfn.LET(_xlpm.rowNum,MATCH(E1196,'glossaryterms-export'!C:C,0),
IF(AND(NOT(ISBLANK(INDEX('glossaryterms-export'!H:H,_xlpm.rowNum))),ISBLANK(INDEX('glossaryterms-export'!I:I,_xlpm.rowNum))),"Ready to Fix",""))</f>
        <v/>
      </c>
    </row>
    <row r="1197" spans="6:6">
      <c r="F1197" s="1" t="str" cm="1">
        <f t="array" ref="F1197">_xlfn.LET(_xlpm.rowNum,MATCH(E1197,'glossaryterms-export'!C:C,0),
IF(AND(NOT(ISBLANK(INDEX('glossaryterms-export'!H:H,_xlpm.rowNum))),ISBLANK(INDEX('glossaryterms-export'!I:I,_xlpm.rowNum))),"Ready to Fix",""))</f>
        <v/>
      </c>
    </row>
    <row r="1198" spans="6:6">
      <c r="F1198" s="1" t="str" cm="1">
        <f t="array" ref="F1198">_xlfn.LET(_xlpm.rowNum,MATCH(E1198,'glossaryterms-export'!C:C,0),
IF(AND(NOT(ISBLANK(INDEX('glossaryterms-export'!H:H,_xlpm.rowNum))),ISBLANK(INDEX('glossaryterms-export'!I:I,_xlpm.rowNum))),"Ready to Fix",""))</f>
        <v/>
      </c>
    </row>
    <row r="1199" spans="6:6">
      <c r="F1199" s="1" t="str" cm="1">
        <f t="array" ref="F1199">_xlfn.LET(_xlpm.rowNum,MATCH(E1199,'glossaryterms-export'!C:C,0),
IF(AND(NOT(ISBLANK(INDEX('glossaryterms-export'!H:H,_xlpm.rowNum))),ISBLANK(INDEX('glossaryterms-export'!I:I,_xlpm.rowNum))),"Ready to Fix",""))</f>
        <v/>
      </c>
    </row>
    <row r="1200" spans="6:6">
      <c r="F1200" s="1" t="str" cm="1">
        <f t="array" ref="F1200">_xlfn.LET(_xlpm.rowNum,MATCH(E1200,'glossaryterms-export'!C:C,0),
IF(AND(NOT(ISBLANK(INDEX('glossaryterms-export'!H:H,_xlpm.rowNum))),ISBLANK(INDEX('glossaryterms-export'!I:I,_xlpm.rowNum))),"Ready to Fix",""))</f>
        <v/>
      </c>
    </row>
    <row r="1201" spans="6:6">
      <c r="F1201" s="1" t="str" cm="1">
        <f t="array" ref="F1201">_xlfn.LET(_xlpm.rowNum,MATCH(E1201,'glossaryterms-export'!C:C,0),
IF(AND(NOT(ISBLANK(INDEX('glossaryterms-export'!H:H,_xlpm.rowNum))),ISBLANK(INDEX('glossaryterms-export'!I:I,_xlpm.rowNum))),"Ready to Fix",""))</f>
        <v/>
      </c>
    </row>
    <row r="1202" spans="6:6">
      <c r="F1202" s="1" t="str" cm="1">
        <f t="array" ref="F1202">_xlfn.LET(_xlpm.rowNum,MATCH(E1202,'glossaryterms-export'!C:C,0),
IF(AND(NOT(ISBLANK(INDEX('glossaryterms-export'!H:H,_xlpm.rowNum))),ISBLANK(INDEX('glossaryterms-export'!I:I,_xlpm.rowNum))),"Ready to Fix",""))</f>
        <v/>
      </c>
    </row>
    <row r="1203" spans="6:6">
      <c r="F1203" s="1" t="str" cm="1">
        <f t="array" ref="F1203">_xlfn.LET(_xlpm.rowNum,MATCH(E1203,'glossaryterms-export'!C:C,0),
IF(AND(NOT(ISBLANK(INDEX('glossaryterms-export'!H:H,_xlpm.rowNum))),ISBLANK(INDEX('glossaryterms-export'!I:I,_xlpm.rowNum))),"Ready to Fix",""))</f>
        <v/>
      </c>
    </row>
    <row r="1204" spans="6:6">
      <c r="F1204" s="1" t="str" cm="1">
        <f t="array" ref="F1204">_xlfn.LET(_xlpm.rowNum,MATCH(E1204,'glossaryterms-export'!C:C,0),
IF(AND(NOT(ISBLANK(INDEX('glossaryterms-export'!H:H,_xlpm.rowNum))),ISBLANK(INDEX('glossaryterms-export'!I:I,_xlpm.rowNum))),"Ready to Fix",""))</f>
        <v/>
      </c>
    </row>
    <row r="1205" spans="6:6">
      <c r="F1205" s="1" t="str" cm="1">
        <f t="array" ref="F1205">_xlfn.LET(_xlpm.rowNum,MATCH(E1205,'glossaryterms-export'!C:C,0),
IF(AND(NOT(ISBLANK(INDEX('glossaryterms-export'!H:H,_xlpm.rowNum))),ISBLANK(INDEX('glossaryterms-export'!I:I,_xlpm.rowNum))),"Ready to Fix",""))</f>
        <v/>
      </c>
    </row>
    <row r="1206" spans="6:6">
      <c r="F1206" s="1" t="str" cm="1">
        <f t="array" ref="F1206">_xlfn.LET(_xlpm.rowNum,MATCH(E1206,'glossaryterms-export'!C:C,0),
IF(AND(NOT(ISBLANK(INDEX('glossaryterms-export'!H:H,_xlpm.rowNum))),ISBLANK(INDEX('glossaryterms-export'!I:I,_xlpm.rowNum))),"Ready to Fix",""))</f>
        <v/>
      </c>
    </row>
    <row r="1207" spans="6:6">
      <c r="F1207" s="1" t="str" cm="1">
        <f t="array" ref="F1207">_xlfn.LET(_xlpm.rowNum,MATCH(E1207,'glossaryterms-export'!C:C,0),
IF(AND(NOT(ISBLANK(INDEX('glossaryterms-export'!H:H,_xlpm.rowNum))),ISBLANK(INDEX('glossaryterms-export'!I:I,_xlpm.rowNum))),"Ready to Fix",""))</f>
        <v/>
      </c>
    </row>
    <row r="1208" spans="6:6">
      <c r="F1208" s="1" t="str" cm="1">
        <f t="array" ref="F1208">_xlfn.LET(_xlpm.rowNum,MATCH(E1208,'glossaryterms-export'!C:C,0),
IF(AND(NOT(ISBLANK(INDEX('glossaryterms-export'!H:H,_xlpm.rowNum))),ISBLANK(INDEX('glossaryterms-export'!I:I,_xlpm.rowNum))),"Ready to Fix",""))</f>
        <v/>
      </c>
    </row>
    <row r="1209" spans="6:6">
      <c r="F1209" s="1" t="str" cm="1">
        <f t="array" ref="F1209">_xlfn.LET(_xlpm.rowNum,MATCH(E1209,'glossaryterms-export'!C:C,0),
IF(AND(NOT(ISBLANK(INDEX('glossaryterms-export'!H:H,_xlpm.rowNum))),ISBLANK(INDEX('glossaryterms-export'!I:I,_xlpm.rowNum))),"Ready to Fix",""))</f>
        <v/>
      </c>
    </row>
    <row r="1210" spans="6:6">
      <c r="F1210" s="1" t="str" cm="1">
        <f t="array" ref="F1210">_xlfn.LET(_xlpm.rowNum,MATCH(E1210,'glossaryterms-export'!C:C,0),
IF(AND(NOT(ISBLANK(INDEX('glossaryterms-export'!H:H,_xlpm.rowNum))),ISBLANK(INDEX('glossaryterms-export'!I:I,_xlpm.rowNum))),"Ready to Fix",""))</f>
        <v/>
      </c>
    </row>
    <row r="1211" spans="6:6">
      <c r="F1211" s="1" t="str" cm="1">
        <f t="array" ref="F1211">_xlfn.LET(_xlpm.rowNum,MATCH(E1211,'glossaryterms-export'!C:C,0),
IF(AND(NOT(ISBLANK(INDEX('glossaryterms-export'!H:H,_xlpm.rowNum))),ISBLANK(INDEX('glossaryterms-export'!I:I,_xlpm.rowNum))),"Ready to Fix",""))</f>
        <v/>
      </c>
    </row>
    <row r="1212" spans="6:6">
      <c r="F1212" s="1" t="str" cm="1">
        <f t="array" ref="F1212">_xlfn.LET(_xlpm.rowNum,MATCH(E1212,'glossaryterms-export'!C:C,0),
IF(AND(NOT(ISBLANK(INDEX('glossaryterms-export'!H:H,_xlpm.rowNum))),ISBLANK(INDEX('glossaryterms-export'!I:I,_xlpm.rowNum))),"Ready to Fix",""))</f>
        <v/>
      </c>
    </row>
    <row r="1213" spans="6:6">
      <c r="F1213" s="1" t="str" cm="1">
        <f t="array" ref="F1213">_xlfn.LET(_xlpm.rowNum,MATCH(E1213,'glossaryterms-export'!C:C,0),
IF(AND(NOT(ISBLANK(INDEX('glossaryterms-export'!H:H,_xlpm.rowNum))),ISBLANK(INDEX('glossaryterms-export'!I:I,_xlpm.rowNum))),"Ready to Fix",""))</f>
        <v/>
      </c>
    </row>
    <row r="1214" spans="6:6">
      <c r="F1214" s="1" t="str" cm="1">
        <f t="array" ref="F1214">_xlfn.LET(_xlpm.rowNum,MATCH(E1214,'glossaryterms-export'!C:C,0),
IF(AND(NOT(ISBLANK(INDEX('glossaryterms-export'!H:H,_xlpm.rowNum))),ISBLANK(INDEX('glossaryterms-export'!I:I,_xlpm.rowNum))),"Ready to Fix",""))</f>
        <v/>
      </c>
    </row>
    <row r="1215" spans="6:6">
      <c r="F1215" s="1" t="str" cm="1">
        <f t="array" ref="F1215">_xlfn.LET(_xlpm.rowNum,MATCH(E1215,'glossaryterms-export'!C:C,0),
IF(AND(NOT(ISBLANK(INDEX('glossaryterms-export'!H:H,_xlpm.rowNum))),ISBLANK(INDEX('glossaryterms-export'!I:I,_xlpm.rowNum))),"Ready to Fix",""))</f>
        <v/>
      </c>
    </row>
    <row r="1216" spans="6:6">
      <c r="F1216" s="1" t="str" cm="1">
        <f t="array" ref="F1216">_xlfn.LET(_xlpm.rowNum,MATCH(E1216,'glossaryterms-export'!C:C,0),
IF(AND(NOT(ISBLANK(INDEX('glossaryterms-export'!H:H,_xlpm.rowNum))),ISBLANK(INDEX('glossaryterms-export'!I:I,_xlpm.rowNum))),"Ready to Fix",""))</f>
        <v/>
      </c>
    </row>
    <row r="1217" spans="6:6">
      <c r="F1217" s="1" t="str" cm="1">
        <f t="array" ref="F1217">_xlfn.LET(_xlpm.rowNum,MATCH(E1217,'glossaryterms-export'!C:C,0),
IF(AND(NOT(ISBLANK(INDEX('glossaryterms-export'!H:H,_xlpm.rowNum))),ISBLANK(INDEX('glossaryterms-export'!I:I,_xlpm.rowNum))),"Ready to Fix",""))</f>
        <v/>
      </c>
    </row>
    <row r="1218" spans="6:6">
      <c r="F1218" s="1" t="str" cm="1">
        <f t="array" ref="F1218">_xlfn.LET(_xlpm.rowNum,MATCH(E1218,'glossaryterms-export'!C:C,0),
IF(AND(NOT(ISBLANK(INDEX('glossaryterms-export'!H:H,_xlpm.rowNum))),ISBLANK(INDEX('glossaryterms-export'!I:I,_xlpm.rowNum))),"Ready to Fix",""))</f>
        <v/>
      </c>
    </row>
    <row r="1219" spans="6:6">
      <c r="F1219" s="1" t="str" cm="1">
        <f t="array" ref="F1219">_xlfn.LET(_xlpm.rowNum,MATCH(E1219,'glossaryterms-export'!C:C,0),
IF(AND(NOT(ISBLANK(INDEX('glossaryterms-export'!H:H,_xlpm.rowNum))),ISBLANK(INDEX('glossaryterms-export'!I:I,_xlpm.rowNum))),"Ready to Fix",""))</f>
        <v/>
      </c>
    </row>
    <row r="1220" spans="6:6">
      <c r="F1220" s="1" t="str" cm="1">
        <f t="array" ref="F1220">_xlfn.LET(_xlpm.rowNum,MATCH(E1220,'glossaryterms-export'!C:C,0),
IF(AND(NOT(ISBLANK(INDEX('glossaryterms-export'!H:H,_xlpm.rowNum))),ISBLANK(INDEX('glossaryterms-export'!I:I,_xlpm.rowNum))),"Ready to Fix",""))</f>
        <v/>
      </c>
    </row>
    <row r="1221" spans="6:6">
      <c r="F1221" s="1" t="str" cm="1">
        <f t="array" ref="F1221">_xlfn.LET(_xlpm.rowNum,MATCH(E1221,'glossaryterms-export'!C:C,0),
IF(AND(NOT(ISBLANK(INDEX('glossaryterms-export'!H:H,_xlpm.rowNum))),ISBLANK(INDEX('glossaryterms-export'!I:I,_xlpm.rowNum))),"Ready to Fix",""))</f>
        <v/>
      </c>
    </row>
    <row r="1222" spans="6:6">
      <c r="F1222" s="1" t="str" cm="1">
        <f t="array" ref="F1222">_xlfn.LET(_xlpm.rowNum,MATCH(E1222,'glossaryterms-export'!C:C,0),
IF(AND(NOT(ISBLANK(INDEX('glossaryterms-export'!H:H,_xlpm.rowNum))),ISBLANK(INDEX('glossaryterms-export'!I:I,_xlpm.rowNum))),"Ready to Fix",""))</f>
        <v/>
      </c>
    </row>
    <row r="1223" spans="6:6">
      <c r="F1223" s="1" t="str" cm="1">
        <f t="array" ref="F1223">_xlfn.LET(_xlpm.rowNum,MATCH(E1223,'glossaryterms-export'!C:C,0),
IF(AND(NOT(ISBLANK(INDEX('glossaryterms-export'!H:H,_xlpm.rowNum))),ISBLANK(INDEX('glossaryterms-export'!I:I,_xlpm.rowNum))),"Ready to Fix",""))</f>
        <v/>
      </c>
    </row>
    <row r="1224" spans="6:6">
      <c r="F1224" s="1" t="str" cm="1">
        <f t="array" ref="F1224">_xlfn.LET(_xlpm.rowNum,MATCH(E1224,'glossaryterms-export'!C:C,0),
IF(AND(NOT(ISBLANK(INDEX('glossaryterms-export'!H:H,_xlpm.rowNum))),ISBLANK(INDEX('glossaryterms-export'!I:I,_xlpm.rowNum))),"Ready to Fix",""))</f>
        <v/>
      </c>
    </row>
    <row r="1225" spans="6:6">
      <c r="F1225" s="1" t="str" cm="1">
        <f t="array" ref="F1225">_xlfn.LET(_xlpm.rowNum,MATCH(E1225,'glossaryterms-export'!C:C,0),
IF(AND(NOT(ISBLANK(INDEX('glossaryterms-export'!H:H,_xlpm.rowNum))),ISBLANK(INDEX('glossaryterms-export'!I:I,_xlpm.rowNum))),"Ready to Fix",""))</f>
        <v/>
      </c>
    </row>
    <row r="1226" spans="6:6">
      <c r="F1226" s="1" t="str" cm="1">
        <f t="array" ref="F1226">_xlfn.LET(_xlpm.rowNum,MATCH(E1226,'glossaryterms-export'!C:C,0),
IF(AND(NOT(ISBLANK(INDEX('glossaryterms-export'!H:H,_xlpm.rowNum))),ISBLANK(INDEX('glossaryterms-export'!I:I,_xlpm.rowNum))),"Ready to Fix",""))</f>
        <v/>
      </c>
    </row>
    <row r="1227" spans="6:6">
      <c r="F1227" s="1" t="str" cm="1">
        <f t="array" ref="F1227">_xlfn.LET(_xlpm.rowNum,MATCH(E1227,'glossaryterms-export'!C:C,0),
IF(AND(NOT(ISBLANK(INDEX('glossaryterms-export'!H:H,_xlpm.rowNum))),ISBLANK(INDEX('glossaryterms-export'!I:I,_xlpm.rowNum))),"Ready to Fix",""))</f>
        <v/>
      </c>
    </row>
    <row r="1228" spans="6:6">
      <c r="F1228" s="1" t="str" cm="1">
        <f t="array" ref="F1228">_xlfn.LET(_xlpm.rowNum,MATCH(E1228,'glossaryterms-export'!C:C,0),
IF(AND(NOT(ISBLANK(INDEX('glossaryterms-export'!H:H,_xlpm.rowNum))),ISBLANK(INDEX('glossaryterms-export'!I:I,_xlpm.rowNum))),"Ready to Fix",""))</f>
        <v/>
      </c>
    </row>
    <row r="1229" spans="6:6">
      <c r="F1229" s="1" t="str" cm="1">
        <f t="array" ref="F1229">_xlfn.LET(_xlpm.rowNum,MATCH(E1229,'glossaryterms-export'!C:C,0),
IF(AND(NOT(ISBLANK(INDEX('glossaryterms-export'!H:H,_xlpm.rowNum))),ISBLANK(INDEX('glossaryterms-export'!I:I,_xlpm.rowNum))),"Ready to Fix",""))</f>
        <v/>
      </c>
    </row>
    <row r="1230" spans="6:6">
      <c r="F1230" s="1" t="str" cm="1">
        <f t="array" ref="F1230">_xlfn.LET(_xlpm.rowNum,MATCH(E1230,'glossaryterms-export'!C:C,0),
IF(AND(NOT(ISBLANK(INDEX('glossaryterms-export'!H:H,_xlpm.rowNum))),ISBLANK(INDEX('glossaryterms-export'!I:I,_xlpm.rowNum))),"Ready to Fix",""))</f>
        <v/>
      </c>
    </row>
    <row r="1231" spans="6:6">
      <c r="F1231" s="1" t="str" cm="1">
        <f t="array" ref="F1231">_xlfn.LET(_xlpm.rowNum,MATCH(E1231,'glossaryterms-export'!C:C,0),
IF(AND(NOT(ISBLANK(INDEX('glossaryterms-export'!H:H,_xlpm.rowNum))),ISBLANK(INDEX('glossaryterms-export'!I:I,_xlpm.rowNum))),"Ready to Fix",""))</f>
        <v/>
      </c>
    </row>
    <row r="1232" spans="6:6">
      <c r="F1232" s="1" t="str" cm="1">
        <f t="array" ref="F1232">_xlfn.LET(_xlpm.rowNum,MATCH(E1232,'glossaryterms-export'!C:C,0),
IF(AND(NOT(ISBLANK(INDEX('glossaryterms-export'!H:H,_xlpm.rowNum))),ISBLANK(INDEX('glossaryterms-export'!I:I,_xlpm.rowNum))),"Ready to Fix",""))</f>
        <v/>
      </c>
    </row>
    <row r="1233" spans="6:6">
      <c r="F1233" s="1" t="str" cm="1">
        <f t="array" ref="F1233">_xlfn.LET(_xlpm.rowNum,MATCH(E1233,'glossaryterms-export'!C:C,0),
IF(AND(NOT(ISBLANK(INDEX('glossaryterms-export'!H:H,_xlpm.rowNum))),ISBLANK(INDEX('glossaryterms-export'!I:I,_xlpm.rowNum))),"Ready to Fix",""))</f>
        <v/>
      </c>
    </row>
    <row r="1234" spans="6:6">
      <c r="F1234" s="1" t="str" cm="1">
        <f t="array" ref="F1234">_xlfn.LET(_xlpm.rowNum,MATCH(E1234,'glossaryterms-export'!C:C,0),
IF(AND(NOT(ISBLANK(INDEX('glossaryterms-export'!H:H,_xlpm.rowNum))),ISBLANK(INDEX('glossaryterms-export'!I:I,_xlpm.rowNum))),"Ready to Fix",""))</f>
        <v/>
      </c>
    </row>
    <row r="1235" spans="6:6">
      <c r="F1235" s="1" t="str" cm="1">
        <f t="array" ref="F1235">_xlfn.LET(_xlpm.rowNum,MATCH(E1235,'glossaryterms-export'!C:C,0),
IF(AND(NOT(ISBLANK(INDEX('glossaryterms-export'!H:H,_xlpm.rowNum))),ISBLANK(INDEX('glossaryterms-export'!I:I,_xlpm.rowNum))),"Ready to Fix",""))</f>
        <v/>
      </c>
    </row>
    <row r="1236" spans="6:6">
      <c r="F1236" s="1" t="str" cm="1">
        <f t="array" ref="F1236">_xlfn.LET(_xlpm.rowNum,MATCH(E1236,'glossaryterms-export'!C:C,0),
IF(AND(NOT(ISBLANK(INDEX('glossaryterms-export'!H:H,_xlpm.rowNum))),ISBLANK(INDEX('glossaryterms-export'!I:I,_xlpm.rowNum))),"Ready to Fix",""))</f>
        <v/>
      </c>
    </row>
    <row r="1237" spans="6:6">
      <c r="F1237" s="1" t="str" cm="1">
        <f t="array" ref="F1237">_xlfn.LET(_xlpm.rowNum,MATCH(E1237,'glossaryterms-export'!C:C,0),
IF(AND(NOT(ISBLANK(INDEX('glossaryterms-export'!H:H,_xlpm.rowNum))),ISBLANK(INDEX('glossaryterms-export'!I:I,_xlpm.rowNum))),"Ready to Fix",""))</f>
        <v/>
      </c>
    </row>
    <row r="1238" spans="6:6">
      <c r="F1238" s="1" t="str" cm="1">
        <f t="array" ref="F1238">_xlfn.LET(_xlpm.rowNum,MATCH(E1238,'glossaryterms-export'!C:C,0),
IF(AND(NOT(ISBLANK(INDEX('glossaryterms-export'!H:H,_xlpm.rowNum))),ISBLANK(INDEX('glossaryterms-export'!I:I,_xlpm.rowNum))),"Ready to Fix",""))</f>
        <v/>
      </c>
    </row>
    <row r="1239" spans="6:6">
      <c r="F1239" s="1" t="str" cm="1">
        <f t="array" ref="F1239">_xlfn.LET(_xlpm.rowNum,MATCH(E1239,'glossaryterms-export'!C:C,0),
IF(AND(NOT(ISBLANK(INDEX('glossaryterms-export'!H:H,_xlpm.rowNum))),ISBLANK(INDEX('glossaryterms-export'!I:I,_xlpm.rowNum))),"Ready to Fix",""))</f>
        <v/>
      </c>
    </row>
    <row r="1240" spans="6:6">
      <c r="F1240" s="1" t="str" cm="1">
        <f t="array" ref="F1240">_xlfn.LET(_xlpm.rowNum,MATCH(E1240,'glossaryterms-export'!C:C,0),
IF(AND(NOT(ISBLANK(INDEX('glossaryterms-export'!H:H,_xlpm.rowNum))),ISBLANK(INDEX('glossaryterms-export'!I:I,_xlpm.rowNum))),"Ready to Fix",""))</f>
        <v/>
      </c>
    </row>
    <row r="1241" spans="6:6">
      <c r="F1241" s="1" t="str" cm="1">
        <f t="array" ref="F1241">_xlfn.LET(_xlpm.rowNum,MATCH(E1241,'glossaryterms-export'!C:C,0),
IF(AND(NOT(ISBLANK(INDEX('glossaryterms-export'!H:H,_xlpm.rowNum))),ISBLANK(INDEX('glossaryterms-export'!I:I,_xlpm.rowNum))),"Ready to Fix",""))</f>
        <v/>
      </c>
    </row>
    <row r="1242" spans="6:6">
      <c r="F1242" s="1" t="str" cm="1">
        <f t="array" ref="F1242">_xlfn.LET(_xlpm.rowNum,MATCH(E1242,'glossaryterms-export'!C:C,0),
IF(AND(NOT(ISBLANK(INDEX('glossaryterms-export'!H:H,_xlpm.rowNum))),ISBLANK(INDEX('glossaryterms-export'!I:I,_xlpm.rowNum))),"Ready to Fix",""))</f>
        <v/>
      </c>
    </row>
    <row r="1243" spans="6:6">
      <c r="F1243" s="1" t="str" cm="1">
        <f t="array" ref="F1243">_xlfn.LET(_xlpm.rowNum,MATCH(E1243,'glossaryterms-export'!C:C,0),
IF(AND(NOT(ISBLANK(INDEX('glossaryterms-export'!H:H,_xlpm.rowNum))),ISBLANK(INDEX('glossaryterms-export'!I:I,_xlpm.rowNum))),"Ready to Fix",""))</f>
        <v/>
      </c>
    </row>
    <row r="1244" spans="6:6">
      <c r="F1244" s="1" t="str" cm="1">
        <f t="array" ref="F1244">_xlfn.LET(_xlpm.rowNum,MATCH(E1244,'glossaryterms-export'!C:C,0),
IF(AND(NOT(ISBLANK(INDEX('glossaryterms-export'!H:H,_xlpm.rowNum))),ISBLANK(INDEX('glossaryterms-export'!I:I,_xlpm.rowNum))),"Ready to Fix",""))</f>
        <v/>
      </c>
    </row>
    <row r="1245" spans="6:6">
      <c r="F1245" s="1" t="str" cm="1">
        <f t="array" ref="F1245">_xlfn.LET(_xlpm.rowNum,MATCH(E1245,'glossaryterms-export'!C:C,0),
IF(AND(NOT(ISBLANK(INDEX('glossaryterms-export'!H:H,_xlpm.rowNum))),ISBLANK(INDEX('glossaryterms-export'!I:I,_xlpm.rowNum))),"Ready to Fix",""))</f>
        <v/>
      </c>
    </row>
    <row r="1246" spans="6:6">
      <c r="F1246" s="1" t="str" cm="1">
        <f t="array" ref="F1246">_xlfn.LET(_xlpm.rowNum,MATCH(E1246,'glossaryterms-export'!C:C,0),
IF(AND(NOT(ISBLANK(INDEX('glossaryterms-export'!H:H,_xlpm.rowNum))),ISBLANK(INDEX('glossaryterms-export'!I:I,_xlpm.rowNum))),"Ready to Fix",""))</f>
        <v/>
      </c>
    </row>
    <row r="1247" spans="6:6">
      <c r="F1247" s="1" t="str" cm="1">
        <f t="array" ref="F1247">_xlfn.LET(_xlpm.rowNum,MATCH(E1247,'glossaryterms-export'!C:C,0),
IF(AND(NOT(ISBLANK(INDEX('glossaryterms-export'!H:H,_xlpm.rowNum))),ISBLANK(INDEX('glossaryterms-export'!I:I,_xlpm.rowNum))),"Ready to Fix",""))</f>
        <v/>
      </c>
    </row>
    <row r="1248" spans="6:6">
      <c r="F1248" s="1" t="str" cm="1">
        <f t="array" ref="F1248">_xlfn.LET(_xlpm.rowNum,MATCH(E1248,'glossaryterms-export'!C:C,0),
IF(AND(NOT(ISBLANK(INDEX('glossaryterms-export'!H:H,_xlpm.rowNum))),ISBLANK(INDEX('glossaryterms-export'!I:I,_xlpm.rowNum))),"Ready to Fix",""))</f>
        <v/>
      </c>
    </row>
    <row r="1249" spans="6:6">
      <c r="F1249" s="1" t="str" cm="1">
        <f t="array" ref="F1249">_xlfn.LET(_xlpm.rowNum,MATCH(E1249,'glossaryterms-export'!C:C,0),
IF(AND(NOT(ISBLANK(INDEX('glossaryterms-export'!H:H,_xlpm.rowNum))),ISBLANK(INDEX('glossaryterms-export'!I:I,_xlpm.rowNum))),"Ready to Fix",""))</f>
        <v/>
      </c>
    </row>
    <row r="1250" spans="6:6">
      <c r="F1250" s="1" t="str" cm="1">
        <f t="array" ref="F1250">_xlfn.LET(_xlpm.rowNum,MATCH(E1250,'glossaryterms-export'!C:C,0),
IF(AND(NOT(ISBLANK(INDEX('glossaryterms-export'!H:H,_xlpm.rowNum))),ISBLANK(INDEX('glossaryterms-export'!I:I,_xlpm.rowNum))),"Ready to Fix",""))</f>
        <v/>
      </c>
    </row>
    <row r="1251" spans="6:6">
      <c r="F1251" s="1" t="str" cm="1">
        <f t="array" ref="F1251">_xlfn.LET(_xlpm.rowNum,MATCH(E1251,'glossaryterms-export'!C:C,0),
IF(AND(NOT(ISBLANK(INDEX('glossaryterms-export'!H:H,_xlpm.rowNum))),ISBLANK(INDEX('glossaryterms-export'!I:I,_xlpm.rowNum))),"Ready to Fix",""))</f>
        <v/>
      </c>
    </row>
    <row r="1252" spans="6:6">
      <c r="F1252" s="1" t="str" cm="1">
        <f t="array" ref="F1252">_xlfn.LET(_xlpm.rowNum,MATCH(E1252,'glossaryterms-export'!C:C,0),
IF(AND(NOT(ISBLANK(INDEX('glossaryterms-export'!H:H,_xlpm.rowNum))),ISBLANK(INDEX('glossaryterms-export'!I:I,_xlpm.rowNum))),"Ready to Fix",""))</f>
        <v/>
      </c>
    </row>
    <row r="1253" spans="6:6">
      <c r="F1253" s="1" t="str" cm="1">
        <f t="array" ref="F1253">_xlfn.LET(_xlpm.rowNum,MATCH(E1253,'glossaryterms-export'!C:C,0),
IF(AND(NOT(ISBLANK(INDEX('glossaryterms-export'!H:H,_xlpm.rowNum))),ISBLANK(INDEX('glossaryterms-export'!I:I,_xlpm.rowNum))),"Ready to Fix",""))</f>
        <v/>
      </c>
    </row>
    <row r="1254" spans="6:6">
      <c r="F1254" s="1" t="str" cm="1">
        <f t="array" ref="F1254">_xlfn.LET(_xlpm.rowNum,MATCH(E1254,'glossaryterms-export'!C:C,0),
IF(AND(NOT(ISBLANK(INDEX('glossaryterms-export'!H:H,_xlpm.rowNum))),ISBLANK(INDEX('glossaryterms-export'!I:I,_xlpm.rowNum))),"Ready to Fix",""))</f>
        <v/>
      </c>
    </row>
    <row r="1255" spans="6:6">
      <c r="F1255" s="1" t="str" cm="1">
        <f t="array" ref="F1255">_xlfn.LET(_xlpm.rowNum,MATCH(E1255,'glossaryterms-export'!C:C,0),
IF(AND(NOT(ISBLANK(INDEX('glossaryterms-export'!H:H,_xlpm.rowNum))),ISBLANK(INDEX('glossaryterms-export'!I:I,_xlpm.rowNum))),"Ready to Fix",""))</f>
        <v/>
      </c>
    </row>
    <row r="1256" spans="6:6">
      <c r="F1256" s="1" t="str" cm="1">
        <f t="array" ref="F1256">_xlfn.LET(_xlpm.rowNum,MATCH(E1256,'glossaryterms-export'!C:C,0),
IF(AND(NOT(ISBLANK(INDEX('glossaryterms-export'!H:H,_xlpm.rowNum))),ISBLANK(INDEX('glossaryterms-export'!I:I,_xlpm.rowNum))),"Ready to Fix",""))</f>
        <v/>
      </c>
    </row>
    <row r="1257" spans="6:6">
      <c r="F1257" s="1" t="str" cm="1">
        <f t="array" ref="F1257">_xlfn.LET(_xlpm.rowNum,MATCH(E1257,'glossaryterms-export'!C:C,0),
IF(AND(NOT(ISBLANK(INDEX('glossaryterms-export'!H:H,_xlpm.rowNum))),ISBLANK(INDEX('glossaryterms-export'!I:I,_xlpm.rowNum))),"Ready to Fix",""))</f>
        <v/>
      </c>
    </row>
    <row r="1258" spans="6:6">
      <c r="F1258" s="1" t="str" cm="1">
        <f t="array" ref="F1258">_xlfn.LET(_xlpm.rowNum,MATCH(E1258,'glossaryterms-export'!C:C,0),
IF(AND(NOT(ISBLANK(INDEX('glossaryterms-export'!H:H,_xlpm.rowNum))),ISBLANK(INDEX('glossaryterms-export'!I:I,_xlpm.rowNum))),"Ready to Fix",""))</f>
        <v/>
      </c>
    </row>
    <row r="1259" spans="6:6">
      <c r="F1259" s="1" t="str" cm="1">
        <f t="array" ref="F1259">_xlfn.LET(_xlpm.rowNum,MATCH(E1259,'glossaryterms-export'!C:C,0),
IF(AND(NOT(ISBLANK(INDEX('glossaryterms-export'!H:H,_xlpm.rowNum))),ISBLANK(INDEX('glossaryterms-export'!I:I,_xlpm.rowNum))),"Ready to Fix",""))</f>
        <v/>
      </c>
    </row>
    <row r="1260" spans="6:6">
      <c r="F1260" s="1" t="str" cm="1">
        <f t="array" ref="F1260">_xlfn.LET(_xlpm.rowNum,MATCH(E1260,'glossaryterms-export'!C:C,0),
IF(AND(NOT(ISBLANK(INDEX('glossaryterms-export'!H:H,_xlpm.rowNum))),ISBLANK(INDEX('glossaryterms-export'!I:I,_xlpm.rowNum))),"Ready to Fix",""))</f>
        <v/>
      </c>
    </row>
    <row r="1261" spans="6:6">
      <c r="F1261" s="1" t="str" cm="1">
        <f t="array" ref="F1261">_xlfn.LET(_xlpm.rowNum,MATCH(E1261,'glossaryterms-export'!C:C,0),
IF(AND(NOT(ISBLANK(INDEX('glossaryterms-export'!H:H,_xlpm.rowNum))),ISBLANK(INDEX('glossaryterms-export'!I:I,_xlpm.rowNum))),"Ready to Fix",""))</f>
        <v/>
      </c>
    </row>
    <row r="1262" spans="6:6">
      <c r="F1262" s="1" t="str" cm="1">
        <f t="array" ref="F1262">_xlfn.LET(_xlpm.rowNum,MATCH(E1262,'glossaryterms-export'!C:C,0),
IF(AND(NOT(ISBLANK(INDEX('glossaryterms-export'!H:H,_xlpm.rowNum))),ISBLANK(INDEX('glossaryterms-export'!I:I,_xlpm.rowNum))),"Ready to Fix",""))</f>
        <v/>
      </c>
    </row>
    <row r="1263" spans="6:6">
      <c r="F1263" s="1" t="str" cm="1">
        <f t="array" ref="F1263">_xlfn.LET(_xlpm.rowNum,MATCH(E1263,'glossaryterms-export'!C:C,0),
IF(AND(NOT(ISBLANK(INDEX('glossaryterms-export'!H:H,_xlpm.rowNum))),ISBLANK(INDEX('glossaryterms-export'!I:I,_xlpm.rowNum))),"Ready to Fix",""))</f>
        <v/>
      </c>
    </row>
    <row r="1264" spans="6:6">
      <c r="F1264" s="1" t="str" cm="1">
        <f t="array" ref="F1264">_xlfn.LET(_xlpm.rowNum,MATCH(E1264,'glossaryterms-export'!C:C,0),
IF(AND(NOT(ISBLANK(INDEX('glossaryterms-export'!H:H,_xlpm.rowNum))),ISBLANK(INDEX('glossaryterms-export'!I:I,_xlpm.rowNum))),"Ready to Fix",""))</f>
        <v/>
      </c>
    </row>
    <row r="1265" spans="6:6">
      <c r="F1265" s="1" t="str" cm="1">
        <f t="array" ref="F1265">_xlfn.LET(_xlpm.rowNum,MATCH(E1265,'glossaryterms-export'!C:C,0),
IF(AND(NOT(ISBLANK(INDEX('glossaryterms-export'!H:H,_xlpm.rowNum))),ISBLANK(INDEX('glossaryterms-export'!I:I,_xlpm.rowNum))),"Ready to Fix",""))</f>
        <v/>
      </c>
    </row>
    <row r="1266" spans="6:6">
      <c r="F1266" s="1" t="str" cm="1">
        <f t="array" ref="F1266">_xlfn.LET(_xlpm.rowNum,MATCH(E1266,'glossaryterms-export'!C:C,0),
IF(AND(NOT(ISBLANK(INDEX('glossaryterms-export'!H:H,_xlpm.rowNum))),ISBLANK(INDEX('glossaryterms-export'!I:I,_xlpm.rowNum))),"Ready to Fix",""))</f>
        <v/>
      </c>
    </row>
    <row r="1267" spans="6:6">
      <c r="F1267" s="1" t="str" cm="1">
        <f t="array" ref="F1267">_xlfn.LET(_xlpm.rowNum,MATCH(E1267,'glossaryterms-export'!C:C,0),
IF(AND(NOT(ISBLANK(INDEX('glossaryterms-export'!H:H,_xlpm.rowNum))),ISBLANK(INDEX('glossaryterms-export'!I:I,_xlpm.rowNum))),"Ready to Fix",""))</f>
        <v/>
      </c>
    </row>
    <row r="1268" spans="6:6">
      <c r="F1268" s="1" t="str" cm="1">
        <f t="array" ref="F1268">_xlfn.LET(_xlpm.rowNum,MATCH(E1268,'glossaryterms-export'!C:C,0),
IF(AND(NOT(ISBLANK(INDEX('glossaryterms-export'!H:H,_xlpm.rowNum))),ISBLANK(INDEX('glossaryterms-export'!I:I,_xlpm.rowNum))),"Ready to Fix",""))</f>
        <v/>
      </c>
    </row>
    <row r="1269" spans="6:6">
      <c r="F1269" s="1" t="str" cm="1">
        <f t="array" ref="F1269">_xlfn.LET(_xlpm.rowNum,MATCH(E1269,'glossaryterms-export'!C:C,0),
IF(AND(NOT(ISBLANK(INDEX('glossaryterms-export'!H:H,_xlpm.rowNum))),ISBLANK(INDEX('glossaryterms-export'!I:I,_xlpm.rowNum))),"Ready to Fix",""))</f>
        <v/>
      </c>
    </row>
    <row r="1270" spans="6:6">
      <c r="F1270" s="1" t="str" cm="1">
        <f t="array" ref="F1270">_xlfn.LET(_xlpm.rowNum,MATCH(E1270,'glossaryterms-export'!C:C,0),
IF(AND(NOT(ISBLANK(INDEX('glossaryterms-export'!H:H,_xlpm.rowNum))),ISBLANK(INDEX('glossaryterms-export'!I:I,_xlpm.rowNum))),"Ready to Fix",""))</f>
        <v/>
      </c>
    </row>
    <row r="1271" spans="6:6">
      <c r="F1271" s="1" t="str" cm="1">
        <f t="array" ref="F1271">_xlfn.LET(_xlpm.rowNum,MATCH(E1271,'glossaryterms-export'!C:C,0),
IF(AND(NOT(ISBLANK(INDEX('glossaryterms-export'!H:H,_xlpm.rowNum))),ISBLANK(INDEX('glossaryterms-export'!I:I,_xlpm.rowNum))),"Ready to Fix",""))</f>
        <v/>
      </c>
    </row>
    <row r="1272" spans="6:6">
      <c r="F1272" s="1" t="str" cm="1">
        <f t="array" ref="F1272">_xlfn.LET(_xlpm.rowNum,MATCH(E1272,'glossaryterms-export'!C:C,0),
IF(AND(NOT(ISBLANK(INDEX('glossaryterms-export'!H:H,_xlpm.rowNum))),ISBLANK(INDEX('glossaryterms-export'!I:I,_xlpm.rowNum))),"Ready to Fix",""))</f>
        <v/>
      </c>
    </row>
    <row r="1273" spans="6:6">
      <c r="F1273" s="1" t="str" cm="1">
        <f t="array" ref="F1273">_xlfn.LET(_xlpm.rowNum,MATCH(E1273,'glossaryterms-export'!C:C,0),
IF(AND(NOT(ISBLANK(INDEX('glossaryterms-export'!H:H,_xlpm.rowNum))),ISBLANK(INDEX('glossaryterms-export'!I:I,_xlpm.rowNum))),"Ready to Fix",""))</f>
        <v/>
      </c>
    </row>
    <row r="1274" spans="6:6">
      <c r="F1274" s="1" t="str" cm="1">
        <f t="array" ref="F1274">_xlfn.LET(_xlpm.rowNum,MATCH(E1274,'glossaryterms-export'!C:C,0),
IF(AND(NOT(ISBLANK(INDEX('glossaryterms-export'!H:H,_xlpm.rowNum))),ISBLANK(INDEX('glossaryterms-export'!I:I,_xlpm.rowNum))),"Ready to Fix",""))</f>
        <v/>
      </c>
    </row>
    <row r="1275" spans="6:6">
      <c r="F1275" s="1" t="str" cm="1">
        <f t="array" ref="F1275">_xlfn.LET(_xlpm.rowNum,MATCH(E1275,'glossaryterms-export'!C:C,0),
IF(AND(NOT(ISBLANK(INDEX('glossaryterms-export'!H:H,_xlpm.rowNum))),ISBLANK(INDEX('glossaryterms-export'!I:I,_xlpm.rowNum))),"Ready to Fix",""))</f>
        <v/>
      </c>
    </row>
    <row r="1276" spans="6:6">
      <c r="F1276" s="1" t="str" cm="1">
        <f t="array" ref="F1276">_xlfn.LET(_xlpm.rowNum,MATCH(E1276,'glossaryterms-export'!C:C,0),
IF(AND(NOT(ISBLANK(INDEX('glossaryterms-export'!H:H,_xlpm.rowNum))),ISBLANK(INDEX('glossaryterms-export'!I:I,_xlpm.rowNum))),"Ready to Fix",""))</f>
        <v/>
      </c>
    </row>
    <row r="1277" spans="6:6">
      <c r="F1277" s="1" t="str" cm="1">
        <f t="array" ref="F1277">_xlfn.LET(_xlpm.rowNum,MATCH(E1277,'glossaryterms-export'!C:C,0),
IF(AND(NOT(ISBLANK(INDEX('glossaryterms-export'!H:H,_xlpm.rowNum))),ISBLANK(INDEX('glossaryterms-export'!I:I,_xlpm.rowNum))),"Ready to Fix",""))</f>
        <v/>
      </c>
    </row>
    <row r="1278" spans="6:6">
      <c r="F1278" s="1" t="str" cm="1">
        <f t="array" ref="F1278">_xlfn.LET(_xlpm.rowNum,MATCH(E1278,'glossaryterms-export'!C:C,0),
IF(AND(NOT(ISBLANK(INDEX('glossaryterms-export'!H:H,_xlpm.rowNum))),ISBLANK(INDEX('glossaryterms-export'!I:I,_xlpm.rowNum))),"Ready to Fix",""))</f>
        <v/>
      </c>
    </row>
    <row r="1279" spans="6:6">
      <c r="F1279" s="1" t="str" cm="1">
        <f t="array" ref="F1279">_xlfn.LET(_xlpm.rowNum,MATCH(E1279,'glossaryterms-export'!C:C,0),
IF(AND(NOT(ISBLANK(INDEX('glossaryterms-export'!H:H,_xlpm.rowNum))),ISBLANK(INDEX('glossaryterms-export'!I:I,_xlpm.rowNum))),"Ready to Fix",""))</f>
        <v/>
      </c>
    </row>
    <row r="1280" spans="6:6">
      <c r="F1280" s="1" t="str" cm="1">
        <f t="array" ref="F1280">_xlfn.LET(_xlpm.rowNum,MATCH(E1280,'glossaryterms-export'!C:C,0),
IF(AND(NOT(ISBLANK(INDEX('glossaryterms-export'!H:H,_xlpm.rowNum))),ISBLANK(INDEX('glossaryterms-export'!I:I,_xlpm.rowNum))),"Ready to Fix",""))</f>
        <v/>
      </c>
    </row>
    <row r="1281" spans="6:6">
      <c r="F1281" s="1" t="str" cm="1">
        <f t="array" ref="F1281">_xlfn.LET(_xlpm.rowNum,MATCH(E1281,'glossaryterms-export'!C:C,0),
IF(AND(NOT(ISBLANK(INDEX('glossaryterms-export'!H:H,_xlpm.rowNum))),ISBLANK(INDEX('glossaryterms-export'!I:I,_xlpm.rowNum))),"Ready to Fix",""))</f>
        <v/>
      </c>
    </row>
    <row r="1282" spans="6:6">
      <c r="F1282" s="1" t="str" cm="1">
        <f t="array" ref="F1282">_xlfn.LET(_xlpm.rowNum,MATCH(E1282,'glossaryterms-export'!C:C,0),
IF(AND(NOT(ISBLANK(INDEX('glossaryterms-export'!H:H,_xlpm.rowNum))),ISBLANK(INDEX('glossaryterms-export'!I:I,_xlpm.rowNum))),"Ready to Fix",""))</f>
        <v/>
      </c>
    </row>
    <row r="1283" spans="6:6">
      <c r="F1283" s="1" t="str" cm="1">
        <f t="array" ref="F1283">_xlfn.LET(_xlpm.rowNum,MATCH(E1283,'glossaryterms-export'!C:C,0),
IF(AND(NOT(ISBLANK(INDEX('glossaryterms-export'!H:H,_xlpm.rowNum))),ISBLANK(INDEX('glossaryterms-export'!I:I,_xlpm.rowNum))),"Ready to Fix",""))</f>
        <v/>
      </c>
    </row>
    <row r="1284" spans="6:6">
      <c r="F1284" s="1" t="str" cm="1">
        <f t="array" ref="F1284">_xlfn.LET(_xlpm.rowNum,MATCH(E1284,'glossaryterms-export'!C:C,0),
IF(AND(NOT(ISBLANK(INDEX('glossaryterms-export'!H:H,_xlpm.rowNum))),ISBLANK(INDEX('glossaryterms-export'!I:I,_xlpm.rowNum))),"Ready to Fix",""))</f>
        <v/>
      </c>
    </row>
    <row r="1285" spans="6:6">
      <c r="F1285" s="1" t="str" cm="1">
        <f t="array" ref="F1285">_xlfn.LET(_xlpm.rowNum,MATCH(E1285,'glossaryterms-export'!C:C,0),
IF(AND(NOT(ISBLANK(INDEX('glossaryterms-export'!H:H,_xlpm.rowNum))),ISBLANK(INDEX('glossaryterms-export'!I:I,_xlpm.rowNum))),"Ready to Fix",""))</f>
        <v/>
      </c>
    </row>
    <row r="1286" spans="6:6">
      <c r="F1286" s="1" t="str" cm="1">
        <f t="array" ref="F1286">_xlfn.LET(_xlpm.rowNum,MATCH(E1286,'glossaryterms-export'!C:C,0),
IF(AND(NOT(ISBLANK(INDEX('glossaryterms-export'!H:H,_xlpm.rowNum))),ISBLANK(INDEX('glossaryterms-export'!I:I,_xlpm.rowNum))),"Ready to Fix",""))</f>
        <v/>
      </c>
    </row>
    <row r="1287" spans="6:6">
      <c r="F1287" s="1" t="str" cm="1">
        <f t="array" ref="F1287">_xlfn.LET(_xlpm.rowNum,MATCH(E1287,'glossaryterms-export'!C:C,0),
IF(AND(NOT(ISBLANK(INDEX('glossaryterms-export'!H:H,_xlpm.rowNum))),ISBLANK(INDEX('glossaryterms-export'!I:I,_xlpm.rowNum))),"Ready to Fix",""))</f>
        <v/>
      </c>
    </row>
    <row r="1288" spans="6:6">
      <c r="F1288" s="1" t="str" cm="1">
        <f t="array" ref="F1288">_xlfn.LET(_xlpm.rowNum,MATCH(E1288,'glossaryterms-export'!C:C,0),
IF(AND(NOT(ISBLANK(INDEX('glossaryterms-export'!H:H,_xlpm.rowNum))),ISBLANK(INDEX('glossaryterms-export'!I:I,_xlpm.rowNum))),"Ready to Fix",""))</f>
        <v/>
      </c>
    </row>
    <row r="1289" spans="6:6">
      <c r="F1289" s="1" t="str" cm="1">
        <f t="array" ref="F1289">_xlfn.LET(_xlpm.rowNum,MATCH(E1289,'glossaryterms-export'!C:C,0),
IF(AND(NOT(ISBLANK(INDEX('glossaryterms-export'!H:H,_xlpm.rowNum))),ISBLANK(INDEX('glossaryterms-export'!I:I,_xlpm.rowNum))),"Ready to Fix",""))</f>
        <v/>
      </c>
    </row>
    <row r="1290" spans="6:6">
      <c r="F1290" s="1" t="str" cm="1">
        <f t="array" ref="F1290">_xlfn.LET(_xlpm.rowNum,MATCH(E1290,'glossaryterms-export'!C:C,0),
IF(AND(NOT(ISBLANK(INDEX('glossaryterms-export'!H:H,_xlpm.rowNum))),ISBLANK(INDEX('glossaryterms-export'!I:I,_xlpm.rowNum))),"Ready to Fix",""))</f>
        <v/>
      </c>
    </row>
    <row r="1291" spans="6:6">
      <c r="F1291" s="1" t="str" cm="1">
        <f t="array" ref="F1291">_xlfn.LET(_xlpm.rowNum,MATCH(E1291,'glossaryterms-export'!C:C,0),
IF(AND(NOT(ISBLANK(INDEX('glossaryterms-export'!H:H,_xlpm.rowNum))),ISBLANK(INDEX('glossaryterms-export'!I:I,_xlpm.rowNum))),"Ready to Fix",""))</f>
        <v/>
      </c>
    </row>
    <row r="1292" spans="6:6">
      <c r="F1292" s="1" t="str" cm="1">
        <f t="array" ref="F1292">_xlfn.LET(_xlpm.rowNum,MATCH(E1292,'glossaryterms-export'!C:C,0),
IF(AND(NOT(ISBLANK(INDEX('glossaryterms-export'!H:H,_xlpm.rowNum))),ISBLANK(INDEX('glossaryterms-export'!I:I,_xlpm.rowNum))),"Ready to Fix",""))</f>
        <v/>
      </c>
    </row>
    <row r="1293" spans="6:6">
      <c r="F1293" s="1" t="str" cm="1">
        <f t="array" ref="F1293">_xlfn.LET(_xlpm.rowNum,MATCH(E1293,'glossaryterms-export'!C:C,0),
IF(AND(NOT(ISBLANK(INDEX('glossaryterms-export'!H:H,_xlpm.rowNum))),ISBLANK(INDEX('glossaryterms-export'!I:I,_xlpm.rowNum))),"Ready to Fix",""))</f>
        <v/>
      </c>
    </row>
    <row r="1294" spans="6:6">
      <c r="F1294" s="1" t="str" cm="1">
        <f t="array" ref="F1294">_xlfn.LET(_xlpm.rowNum,MATCH(E1294,'glossaryterms-export'!C:C,0),
IF(AND(NOT(ISBLANK(INDEX('glossaryterms-export'!H:H,_xlpm.rowNum))),ISBLANK(INDEX('glossaryterms-export'!I:I,_xlpm.rowNum))),"Ready to Fix",""))</f>
        <v/>
      </c>
    </row>
    <row r="1295" spans="6:6">
      <c r="F1295" s="1" t="str" cm="1">
        <f t="array" ref="F1295">_xlfn.LET(_xlpm.rowNum,MATCH(E1295,'glossaryterms-export'!C:C,0),
IF(AND(NOT(ISBLANK(INDEX('glossaryterms-export'!H:H,_xlpm.rowNum))),ISBLANK(INDEX('glossaryterms-export'!I:I,_xlpm.rowNum))),"Ready to Fix",""))</f>
        <v/>
      </c>
    </row>
    <row r="1296" spans="6:6">
      <c r="F1296" s="1" t="str" cm="1">
        <f t="array" ref="F1296">_xlfn.LET(_xlpm.rowNum,MATCH(E1296,'glossaryterms-export'!C:C,0),
IF(AND(NOT(ISBLANK(INDEX('glossaryterms-export'!H:H,_xlpm.rowNum))),ISBLANK(INDEX('glossaryterms-export'!I:I,_xlpm.rowNum))),"Ready to Fix",""))</f>
        <v/>
      </c>
    </row>
    <row r="1297" spans="6:6">
      <c r="F1297" s="1" t="str" cm="1">
        <f t="array" ref="F1297">_xlfn.LET(_xlpm.rowNum,MATCH(E1297,'glossaryterms-export'!C:C,0),
IF(AND(NOT(ISBLANK(INDEX('glossaryterms-export'!H:H,_xlpm.rowNum))),ISBLANK(INDEX('glossaryterms-export'!I:I,_xlpm.rowNum))),"Ready to Fix",""))</f>
        <v/>
      </c>
    </row>
    <row r="1298" spans="6:6">
      <c r="F1298" s="1" t="str" cm="1">
        <f t="array" ref="F1298">_xlfn.LET(_xlpm.rowNum,MATCH(E1298,'glossaryterms-export'!C:C,0),
IF(AND(NOT(ISBLANK(INDEX('glossaryterms-export'!H:H,_xlpm.rowNum))),ISBLANK(INDEX('glossaryterms-export'!I:I,_xlpm.rowNum))),"Ready to Fix",""))</f>
        <v/>
      </c>
    </row>
    <row r="1299" spans="6:6">
      <c r="F1299" s="1" t="str" cm="1">
        <f t="array" ref="F1299">_xlfn.LET(_xlpm.rowNum,MATCH(E1299,'glossaryterms-export'!C:C,0),
IF(AND(NOT(ISBLANK(INDEX('glossaryterms-export'!H:H,_xlpm.rowNum))),ISBLANK(INDEX('glossaryterms-export'!I:I,_xlpm.rowNum))),"Ready to Fix",""))</f>
        <v/>
      </c>
    </row>
    <row r="1300" spans="6:6">
      <c r="F1300" s="1" t="str" cm="1">
        <f t="array" ref="F1300">_xlfn.LET(_xlpm.rowNum,MATCH(E1300,'glossaryterms-export'!C:C,0),
IF(AND(NOT(ISBLANK(INDEX('glossaryterms-export'!H:H,_xlpm.rowNum))),ISBLANK(INDEX('glossaryterms-export'!I:I,_xlpm.rowNum))),"Ready to Fix",""))</f>
        <v/>
      </c>
    </row>
    <row r="1301" spans="6:6">
      <c r="F1301" s="1" t="str" cm="1">
        <f t="array" ref="F1301">_xlfn.LET(_xlpm.rowNum,MATCH(E1301,'glossaryterms-export'!C:C,0),
IF(AND(NOT(ISBLANK(INDEX('glossaryterms-export'!H:H,_xlpm.rowNum))),ISBLANK(INDEX('glossaryterms-export'!I:I,_xlpm.rowNum))),"Ready to Fix",""))</f>
        <v/>
      </c>
    </row>
    <row r="1302" spans="6:6">
      <c r="F1302" s="1" t="str" cm="1">
        <f t="array" ref="F1302">_xlfn.LET(_xlpm.rowNum,MATCH(E1302,'glossaryterms-export'!C:C,0),
IF(AND(NOT(ISBLANK(INDEX('glossaryterms-export'!H:H,_xlpm.rowNum))),ISBLANK(INDEX('glossaryterms-export'!I:I,_xlpm.rowNum))),"Ready to Fix",""))</f>
        <v/>
      </c>
    </row>
    <row r="1303" spans="6:6">
      <c r="F1303" s="1" t="str" cm="1">
        <f t="array" ref="F1303">_xlfn.LET(_xlpm.rowNum,MATCH(E1303,'glossaryterms-export'!C:C,0),
IF(AND(NOT(ISBLANK(INDEX('glossaryterms-export'!H:H,_xlpm.rowNum))),ISBLANK(INDEX('glossaryterms-export'!I:I,_xlpm.rowNum))),"Ready to Fix",""))</f>
        <v/>
      </c>
    </row>
    <row r="1304" spans="6:6">
      <c r="F1304" s="1" t="str" cm="1">
        <f t="array" ref="F1304">_xlfn.LET(_xlpm.rowNum,MATCH(E1304,'glossaryterms-export'!C:C,0),
IF(AND(NOT(ISBLANK(INDEX('glossaryterms-export'!H:H,_xlpm.rowNum))),ISBLANK(INDEX('glossaryterms-export'!I:I,_xlpm.rowNum))),"Ready to Fix",""))</f>
        <v/>
      </c>
    </row>
    <row r="1305" spans="6:6">
      <c r="F1305" s="1" t="str" cm="1">
        <f t="array" ref="F1305">_xlfn.LET(_xlpm.rowNum,MATCH(E1305,'glossaryterms-export'!C:C,0),
IF(AND(NOT(ISBLANK(INDEX('glossaryterms-export'!H:H,_xlpm.rowNum))),ISBLANK(INDEX('glossaryterms-export'!I:I,_xlpm.rowNum))),"Ready to Fix",""))</f>
        <v/>
      </c>
    </row>
    <row r="1306" spans="6:6">
      <c r="F1306" s="1" t="str" cm="1">
        <f t="array" ref="F1306">_xlfn.LET(_xlpm.rowNum,MATCH(E1306,'glossaryterms-export'!C:C,0),
IF(AND(NOT(ISBLANK(INDEX('glossaryterms-export'!H:H,_xlpm.rowNum))),ISBLANK(INDEX('glossaryterms-export'!I:I,_xlpm.rowNum))),"Ready to Fix",""))</f>
        <v/>
      </c>
    </row>
    <row r="1307" spans="6:6">
      <c r="F1307" s="1" t="str" cm="1">
        <f t="array" ref="F1307">_xlfn.LET(_xlpm.rowNum,MATCH(E1307,'glossaryterms-export'!C:C,0),
IF(AND(NOT(ISBLANK(INDEX('glossaryterms-export'!H:H,_xlpm.rowNum))),ISBLANK(INDEX('glossaryterms-export'!I:I,_xlpm.rowNum))),"Ready to Fix",""))</f>
        <v/>
      </c>
    </row>
    <row r="1308" spans="6:6">
      <c r="F1308" s="1" t="str" cm="1">
        <f t="array" ref="F1308">_xlfn.LET(_xlpm.rowNum,MATCH(E1308,'glossaryterms-export'!C:C,0),
IF(AND(NOT(ISBLANK(INDEX('glossaryterms-export'!H:H,_xlpm.rowNum))),ISBLANK(INDEX('glossaryterms-export'!I:I,_xlpm.rowNum))),"Ready to Fix",""))</f>
        <v/>
      </c>
    </row>
    <row r="1309" spans="6:6">
      <c r="F1309" s="1" t="str" cm="1">
        <f t="array" ref="F1309">_xlfn.LET(_xlpm.rowNum,MATCH(E1309,'glossaryterms-export'!C:C,0),
IF(AND(NOT(ISBLANK(INDEX('glossaryterms-export'!H:H,_xlpm.rowNum))),ISBLANK(INDEX('glossaryterms-export'!I:I,_xlpm.rowNum))),"Ready to Fix",""))</f>
        <v/>
      </c>
    </row>
    <row r="1310" spans="6:6">
      <c r="F1310" s="1" t="str" cm="1">
        <f t="array" ref="F1310">_xlfn.LET(_xlpm.rowNum,MATCH(E1310,'glossaryterms-export'!C:C,0),
IF(AND(NOT(ISBLANK(INDEX('glossaryterms-export'!H:H,_xlpm.rowNum))),ISBLANK(INDEX('glossaryterms-export'!I:I,_xlpm.rowNum))),"Ready to Fix",""))</f>
        <v/>
      </c>
    </row>
    <row r="1311" spans="6:6">
      <c r="F1311" s="1" t="str" cm="1">
        <f t="array" ref="F1311">_xlfn.LET(_xlpm.rowNum,MATCH(E1311,'glossaryterms-export'!C:C,0),
IF(AND(NOT(ISBLANK(INDEX('glossaryterms-export'!H:H,_xlpm.rowNum))),ISBLANK(INDEX('glossaryterms-export'!I:I,_xlpm.rowNum))),"Ready to Fix",""))</f>
        <v/>
      </c>
    </row>
    <row r="1312" spans="6:6">
      <c r="F1312" s="1" t="str" cm="1">
        <f t="array" ref="F1312">_xlfn.LET(_xlpm.rowNum,MATCH(E1312,'glossaryterms-export'!C:C,0),
IF(AND(NOT(ISBLANK(INDEX('glossaryterms-export'!H:H,_xlpm.rowNum))),ISBLANK(INDEX('glossaryterms-export'!I:I,_xlpm.rowNum))),"Ready to Fix",""))</f>
        <v/>
      </c>
    </row>
    <row r="1313" spans="6:6">
      <c r="F1313" s="1" t="str" cm="1">
        <f t="array" ref="F1313">_xlfn.LET(_xlpm.rowNum,MATCH(E1313,'glossaryterms-export'!C:C,0),
IF(AND(NOT(ISBLANK(INDEX('glossaryterms-export'!H:H,_xlpm.rowNum))),ISBLANK(INDEX('glossaryterms-export'!I:I,_xlpm.rowNum))),"Ready to Fix",""))</f>
        <v/>
      </c>
    </row>
    <row r="1314" spans="6:6">
      <c r="F1314" s="1" t="str" cm="1">
        <f t="array" ref="F1314">_xlfn.LET(_xlpm.rowNum,MATCH(E1314,'glossaryterms-export'!C:C,0),
IF(AND(NOT(ISBLANK(INDEX('glossaryterms-export'!H:H,_xlpm.rowNum))),ISBLANK(INDEX('glossaryterms-export'!I:I,_xlpm.rowNum))),"Ready to Fix",""))</f>
        <v/>
      </c>
    </row>
    <row r="1315" spans="6:6">
      <c r="F1315" s="1" t="str" cm="1">
        <f t="array" ref="F1315">_xlfn.LET(_xlpm.rowNum,MATCH(E1315,'glossaryterms-export'!C:C,0),
IF(AND(NOT(ISBLANK(INDEX('glossaryterms-export'!H:H,_xlpm.rowNum))),ISBLANK(INDEX('glossaryterms-export'!I:I,_xlpm.rowNum))),"Ready to Fix",""))</f>
        <v/>
      </c>
    </row>
    <row r="1316" spans="6:6">
      <c r="F1316" s="1" t="str" cm="1">
        <f t="array" ref="F1316">_xlfn.LET(_xlpm.rowNum,MATCH(E1316,'glossaryterms-export'!C:C,0),
IF(AND(NOT(ISBLANK(INDEX('glossaryterms-export'!H:H,_xlpm.rowNum))),ISBLANK(INDEX('glossaryterms-export'!I:I,_xlpm.rowNum))),"Ready to Fix",""))</f>
        <v/>
      </c>
    </row>
    <row r="1317" spans="6:6">
      <c r="F1317" s="1" t="str" cm="1">
        <f t="array" ref="F1317">_xlfn.LET(_xlpm.rowNum,MATCH(E1317,'glossaryterms-export'!C:C,0),
IF(AND(NOT(ISBLANK(INDEX('glossaryterms-export'!H:H,_xlpm.rowNum))),ISBLANK(INDEX('glossaryterms-export'!I:I,_xlpm.rowNum))),"Ready to Fix",""))</f>
        <v/>
      </c>
    </row>
    <row r="1318" spans="6:6">
      <c r="F1318" s="1" t="str" cm="1">
        <f t="array" ref="F1318">_xlfn.LET(_xlpm.rowNum,MATCH(E1318,'glossaryterms-export'!C:C,0),
IF(AND(NOT(ISBLANK(INDEX('glossaryterms-export'!H:H,_xlpm.rowNum))),ISBLANK(INDEX('glossaryterms-export'!I:I,_xlpm.rowNum))),"Ready to Fix",""))</f>
        <v/>
      </c>
    </row>
    <row r="1319" spans="6:6">
      <c r="F1319" s="1" t="str" cm="1">
        <f t="array" ref="F1319">_xlfn.LET(_xlpm.rowNum,MATCH(E1319,'glossaryterms-export'!C:C,0),
IF(AND(NOT(ISBLANK(INDEX('glossaryterms-export'!H:H,_xlpm.rowNum))),ISBLANK(INDEX('glossaryterms-export'!I:I,_xlpm.rowNum))),"Ready to Fix",""))</f>
        <v/>
      </c>
    </row>
    <row r="1320" spans="6:6">
      <c r="F1320" s="1" t="str" cm="1">
        <f t="array" ref="F1320">_xlfn.LET(_xlpm.rowNum,MATCH(E1320,'glossaryterms-export'!C:C,0),
IF(AND(NOT(ISBLANK(INDEX('glossaryterms-export'!H:H,_xlpm.rowNum))),ISBLANK(INDEX('glossaryterms-export'!I:I,_xlpm.rowNum))),"Ready to Fix",""))</f>
        <v/>
      </c>
    </row>
    <row r="1321" spans="6:6">
      <c r="F1321" s="1" t="str" cm="1">
        <f t="array" ref="F1321">_xlfn.LET(_xlpm.rowNum,MATCH(E1321,'glossaryterms-export'!C:C,0),
IF(AND(NOT(ISBLANK(INDEX('glossaryterms-export'!H:H,_xlpm.rowNum))),ISBLANK(INDEX('glossaryterms-export'!I:I,_xlpm.rowNum))),"Ready to Fix",""))</f>
        <v/>
      </c>
    </row>
    <row r="1322" spans="6:6">
      <c r="F1322" s="1" t="str" cm="1">
        <f t="array" ref="F1322">_xlfn.LET(_xlpm.rowNum,MATCH(E1322,'glossaryterms-export'!C:C,0),
IF(AND(NOT(ISBLANK(INDEX('glossaryterms-export'!H:H,_xlpm.rowNum))),ISBLANK(INDEX('glossaryterms-export'!I:I,_xlpm.rowNum))),"Ready to Fix",""))</f>
        <v/>
      </c>
    </row>
    <row r="1323" spans="6:6">
      <c r="F1323" s="1" t="str" cm="1">
        <f t="array" ref="F1323">_xlfn.LET(_xlpm.rowNum,MATCH(E1323,'glossaryterms-export'!C:C,0),
IF(AND(NOT(ISBLANK(INDEX('glossaryterms-export'!H:H,_xlpm.rowNum))),ISBLANK(INDEX('glossaryterms-export'!I:I,_xlpm.rowNum))),"Ready to Fix",""))</f>
        <v/>
      </c>
    </row>
    <row r="1324" spans="6:6">
      <c r="F1324" s="1" t="str" cm="1">
        <f t="array" ref="F1324">_xlfn.LET(_xlpm.rowNum,MATCH(E1324,'glossaryterms-export'!C:C,0),
IF(AND(NOT(ISBLANK(INDEX('glossaryterms-export'!H:H,_xlpm.rowNum))),ISBLANK(INDEX('glossaryterms-export'!I:I,_xlpm.rowNum))),"Ready to Fix",""))</f>
        <v/>
      </c>
    </row>
    <row r="1325" spans="6:6">
      <c r="F1325" s="1" t="str" cm="1">
        <f t="array" ref="F1325">_xlfn.LET(_xlpm.rowNum,MATCH(E1325,'glossaryterms-export'!C:C,0),
IF(AND(NOT(ISBLANK(INDEX('glossaryterms-export'!H:H,_xlpm.rowNum))),ISBLANK(INDEX('glossaryterms-export'!I:I,_xlpm.rowNum))),"Ready to Fix",""))</f>
        <v/>
      </c>
    </row>
    <row r="1326" spans="6:6">
      <c r="F1326" s="1" t="str" cm="1">
        <f t="array" ref="F1326">_xlfn.LET(_xlpm.rowNum,MATCH(E1326,'glossaryterms-export'!C:C,0),
IF(AND(NOT(ISBLANK(INDEX('glossaryterms-export'!H:H,_xlpm.rowNum))),ISBLANK(INDEX('glossaryterms-export'!I:I,_xlpm.rowNum))),"Ready to Fix",""))</f>
        <v/>
      </c>
    </row>
    <row r="1327" spans="6:6">
      <c r="F1327" s="1" t="str" cm="1">
        <f t="array" ref="F1327">_xlfn.LET(_xlpm.rowNum,MATCH(E1327,'glossaryterms-export'!C:C,0),
IF(AND(NOT(ISBLANK(INDEX('glossaryterms-export'!H:H,_xlpm.rowNum))),ISBLANK(INDEX('glossaryterms-export'!I:I,_xlpm.rowNum))),"Ready to Fix",""))</f>
        <v/>
      </c>
    </row>
    <row r="1328" spans="6:6">
      <c r="F1328" s="1" t="str" cm="1">
        <f t="array" ref="F1328">_xlfn.LET(_xlpm.rowNum,MATCH(E1328,'glossaryterms-export'!C:C,0),
IF(AND(NOT(ISBLANK(INDEX('glossaryterms-export'!H:H,_xlpm.rowNum))),ISBLANK(INDEX('glossaryterms-export'!I:I,_xlpm.rowNum))),"Ready to Fix",""))</f>
        <v/>
      </c>
    </row>
    <row r="1329" spans="6:6">
      <c r="F1329" s="1" t="str" cm="1">
        <f t="array" ref="F1329">_xlfn.LET(_xlpm.rowNum,MATCH(E1329,'glossaryterms-export'!C:C,0),
IF(AND(NOT(ISBLANK(INDEX('glossaryterms-export'!H:H,_xlpm.rowNum))),ISBLANK(INDEX('glossaryterms-export'!I:I,_xlpm.rowNum))),"Ready to Fix",""))</f>
        <v/>
      </c>
    </row>
    <row r="1330" spans="6:6">
      <c r="F1330" s="1" t="str" cm="1">
        <f t="array" ref="F1330">_xlfn.LET(_xlpm.rowNum,MATCH(E1330,'glossaryterms-export'!C:C,0),
IF(AND(NOT(ISBLANK(INDEX('glossaryterms-export'!H:H,_xlpm.rowNum))),ISBLANK(INDEX('glossaryterms-export'!I:I,_xlpm.rowNum))),"Ready to Fix",""))</f>
        <v/>
      </c>
    </row>
    <row r="1331" spans="6:6">
      <c r="F1331" s="1" t="str" cm="1">
        <f t="array" ref="F1331">_xlfn.LET(_xlpm.rowNum,MATCH(E1331,'glossaryterms-export'!C:C,0),
IF(AND(NOT(ISBLANK(INDEX('glossaryterms-export'!H:H,_xlpm.rowNum))),ISBLANK(INDEX('glossaryterms-export'!I:I,_xlpm.rowNum))),"Ready to Fix",""))</f>
        <v/>
      </c>
    </row>
    <row r="1332" spans="6:6">
      <c r="F1332" s="1" t="str" cm="1">
        <f t="array" ref="F1332">_xlfn.LET(_xlpm.rowNum,MATCH(E1332,'glossaryterms-export'!C:C,0),
IF(AND(NOT(ISBLANK(INDEX('glossaryterms-export'!H:H,_xlpm.rowNum))),ISBLANK(INDEX('glossaryterms-export'!I:I,_xlpm.rowNum))),"Ready to Fix",""))</f>
        <v/>
      </c>
    </row>
    <row r="1333" spans="6:6">
      <c r="F1333" s="1" t="str" cm="1">
        <f t="array" ref="F1333">_xlfn.LET(_xlpm.rowNum,MATCH(E1333,'glossaryterms-export'!C:C,0),
IF(AND(NOT(ISBLANK(INDEX('glossaryterms-export'!H:H,_xlpm.rowNum))),ISBLANK(INDEX('glossaryterms-export'!I:I,_xlpm.rowNum))),"Ready to Fix",""))</f>
        <v/>
      </c>
    </row>
    <row r="1334" spans="6:6">
      <c r="F1334" s="1" t="str" cm="1">
        <f t="array" ref="F1334">_xlfn.LET(_xlpm.rowNum,MATCH(E1334,'glossaryterms-export'!C:C,0),
IF(AND(NOT(ISBLANK(INDEX('glossaryterms-export'!H:H,_xlpm.rowNum))),ISBLANK(INDEX('glossaryterms-export'!I:I,_xlpm.rowNum))),"Ready to Fix",""))</f>
        <v/>
      </c>
    </row>
    <row r="1335" spans="6:6">
      <c r="F1335" s="1" t="str" cm="1">
        <f t="array" ref="F1335">_xlfn.LET(_xlpm.rowNum,MATCH(E1335,'glossaryterms-export'!C:C,0),
IF(AND(NOT(ISBLANK(INDEX('glossaryterms-export'!H:H,_xlpm.rowNum))),ISBLANK(INDEX('glossaryterms-export'!I:I,_xlpm.rowNum))),"Ready to Fix",""))</f>
        <v/>
      </c>
    </row>
    <row r="1336" spans="6:6">
      <c r="F1336" s="1" t="str" cm="1">
        <f t="array" ref="F1336">_xlfn.LET(_xlpm.rowNum,MATCH(E1336,'glossaryterms-export'!C:C,0),
IF(AND(NOT(ISBLANK(INDEX('glossaryterms-export'!H:H,_xlpm.rowNum))),ISBLANK(INDEX('glossaryterms-export'!I:I,_xlpm.rowNum))),"Ready to Fix",""))</f>
        <v/>
      </c>
    </row>
    <row r="1337" spans="6:6">
      <c r="F1337" s="1" t="str" cm="1">
        <f t="array" ref="F1337">_xlfn.LET(_xlpm.rowNum,MATCH(E1337,'glossaryterms-export'!C:C,0),
IF(AND(NOT(ISBLANK(INDEX('glossaryterms-export'!H:H,_xlpm.rowNum))),ISBLANK(INDEX('glossaryterms-export'!I:I,_xlpm.rowNum))),"Ready to Fix",""))</f>
        <v/>
      </c>
    </row>
    <row r="1338" spans="6:6">
      <c r="F1338" s="1" t="str" cm="1">
        <f t="array" ref="F1338">_xlfn.LET(_xlpm.rowNum,MATCH(E1338,'glossaryterms-export'!C:C,0),
IF(AND(NOT(ISBLANK(INDEX('glossaryterms-export'!H:H,_xlpm.rowNum))),ISBLANK(INDEX('glossaryterms-export'!I:I,_xlpm.rowNum))),"Ready to Fix",""))</f>
        <v/>
      </c>
    </row>
    <row r="1339" spans="6:6">
      <c r="F1339" s="1" t="str" cm="1">
        <f t="array" ref="F1339">_xlfn.LET(_xlpm.rowNum,MATCH(E1339,'glossaryterms-export'!C:C,0),
IF(AND(NOT(ISBLANK(INDEX('glossaryterms-export'!H:H,_xlpm.rowNum))),ISBLANK(INDEX('glossaryterms-export'!I:I,_xlpm.rowNum))),"Ready to Fix",""))</f>
        <v/>
      </c>
    </row>
    <row r="1340" spans="6:6">
      <c r="F1340" s="1" t="str" cm="1">
        <f t="array" ref="F1340">_xlfn.LET(_xlpm.rowNum,MATCH(E1340,'glossaryterms-export'!C:C,0),
IF(AND(NOT(ISBLANK(INDEX('glossaryterms-export'!H:H,_xlpm.rowNum))),ISBLANK(INDEX('glossaryterms-export'!I:I,_xlpm.rowNum))),"Ready to Fix",""))</f>
        <v/>
      </c>
    </row>
    <row r="1341" spans="6:6">
      <c r="F1341" s="1" t="str" cm="1">
        <f t="array" ref="F1341">_xlfn.LET(_xlpm.rowNum,MATCH(E1341,'glossaryterms-export'!C:C,0),
IF(AND(NOT(ISBLANK(INDEX('glossaryterms-export'!H:H,_xlpm.rowNum))),ISBLANK(INDEX('glossaryterms-export'!I:I,_xlpm.rowNum))),"Ready to Fix",""))</f>
        <v/>
      </c>
    </row>
    <row r="1342" spans="6:6">
      <c r="F1342" s="1" t="str" cm="1">
        <f t="array" ref="F1342">_xlfn.LET(_xlpm.rowNum,MATCH(E1342,'glossaryterms-export'!C:C,0),
IF(AND(NOT(ISBLANK(INDEX('glossaryterms-export'!H:H,_xlpm.rowNum))),ISBLANK(INDEX('glossaryterms-export'!I:I,_xlpm.rowNum))),"Ready to Fix",""))</f>
        <v/>
      </c>
    </row>
    <row r="1343" spans="6:6">
      <c r="F1343" s="1" t="str" cm="1">
        <f t="array" ref="F1343">_xlfn.LET(_xlpm.rowNum,MATCH(E1343,'glossaryterms-export'!C:C,0),
IF(AND(NOT(ISBLANK(INDEX('glossaryterms-export'!H:H,_xlpm.rowNum))),ISBLANK(INDEX('glossaryterms-export'!I:I,_xlpm.rowNum))),"Ready to Fix",""))</f>
        <v/>
      </c>
    </row>
    <row r="1344" spans="6:6">
      <c r="F1344" s="1" t="str" cm="1">
        <f t="array" ref="F1344">_xlfn.LET(_xlpm.rowNum,MATCH(E1344,'glossaryterms-export'!C:C,0),
IF(AND(NOT(ISBLANK(INDEX('glossaryterms-export'!H:H,_xlpm.rowNum))),ISBLANK(INDEX('glossaryterms-export'!I:I,_xlpm.rowNum))),"Ready to Fix",""))</f>
        <v/>
      </c>
    </row>
    <row r="1345" spans="6:6">
      <c r="F1345" s="1" t="str" cm="1">
        <f t="array" ref="F1345">_xlfn.LET(_xlpm.rowNum,MATCH(E1345,'glossaryterms-export'!C:C,0),
IF(AND(NOT(ISBLANK(INDEX('glossaryterms-export'!H:H,_xlpm.rowNum))),ISBLANK(INDEX('glossaryterms-export'!I:I,_xlpm.rowNum))),"Ready to Fix",""))</f>
        <v/>
      </c>
    </row>
    <row r="1346" spans="6:6">
      <c r="F1346" s="1" t="str" cm="1">
        <f t="array" ref="F1346">_xlfn.LET(_xlpm.rowNum,MATCH(E1346,'glossaryterms-export'!C:C,0),
IF(AND(NOT(ISBLANK(INDEX('glossaryterms-export'!H:H,_xlpm.rowNum))),ISBLANK(INDEX('glossaryterms-export'!I:I,_xlpm.rowNum))),"Ready to Fix",""))</f>
        <v/>
      </c>
    </row>
    <row r="1347" spans="6:6">
      <c r="F1347" s="1" t="str" cm="1">
        <f t="array" ref="F1347">_xlfn.LET(_xlpm.rowNum,MATCH(E1347,'glossaryterms-export'!C:C,0),
IF(AND(NOT(ISBLANK(INDEX('glossaryterms-export'!H:H,_xlpm.rowNum))),ISBLANK(INDEX('glossaryterms-export'!I:I,_xlpm.rowNum))),"Ready to Fix",""))</f>
        <v/>
      </c>
    </row>
    <row r="1348" spans="6:6">
      <c r="F1348" s="1" t="str" cm="1">
        <f t="array" ref="F1348">_xlfn.LET(_xlpm.rowNum,MATCH(E1348,'glossaryterms-export'!C:C,0),
IF(AND(NOT(ISBLANK(INDEX('glossaryterms-export'!H:H,_xlpm.rowNum))),ISBLANK(INDEX('glossaryterms-export'!I:I,_xlpm.rowNum))),"Ready to Fix",""))</f>
        <v/>
      </c>
    </row>
    <row r="1349" spans="6:6">
      <c r="F1349" s="1" t="str" cm="1">
        <f t="array" ref="F1349">_xlfn.LET(_xlpm.rowNum,MATCH(E1349,'glossaryterms-export'!C:C,0),
IF(AND(NOT(ISBLANK(INDEX('glossaryterms-export'!H:H,_xlpm.rowNum))),ISBLANK(INDEX('glossaryterms-export'!I:I,_xlpm.rowNum))),"Ready to Fix",""))</f>
        <v/>
      </c>
    </row>
    <row r="1350" spans="6:6">
      <c r="F1350" s="1" t="str" cm="1">
        <f t="array" ref="F1350">_xlfn.LET(_xlpm.rowNum,MATCH(E1350,'glossaryterms-export'!C:C,0),
IF(AND(NOT(ISBLANK(INDEX('glossaryterms-export'!H:H,_xlpm.rowNum))),ISBLANK(INDEX('glossaryterms-export'!I:I,_xlpm.rowNum))),"Ready to Fix",""))</f>
        <v/>
      </c>
    </row>
    <row r="1351" spans="6:6">
      <c r="F1351" s="1" t="str" cm="1">
        <f t="array" ref="F1351">_xlfn.LET(_xlpm.rowNum,MATCH(E1351,'glossaryterms-export'!C:C,0),
IF(AND(NOT(ISBLANK(INDEX('glossaryterms-export'!H:H,_xlpm.rowNum))),ISBLANK(INDEX('glossaryterms-export'!I:I,_xlpm.rowNum))),"Ready to Fix",""))</f>
        <v/>
      </c>
    </row>
    <row r="1352" spans="6:6">
      <c r="F1352" s="1" t="str" cm="1">
        <f t="array" ref="F1352">_xlfn.LET(_xlpm.rowNum,MATCH(E1352,'glossaryterms-export'!C:C,0),
IF(AND(NOT(ISBLANK(INDEX('glossaryterms-export'!H:H,_xlpm.rowNum))),ISBLANK(INDEX('glossaryterms-export'!I:I,_xlpm.rowNum))),"Ready to Fix",""))</f>
        <v/>
      </c>
    </row>
    <row r="1353" spans="6:6">
      <c r="F1353" s="1" t="str" cm="1">
        <f t="array" ref="F1353">_xlfn.LET(_xlpm.rowNum,MATCH(E1353,'glossaryterms-export'!C:C,0),
IF(AND(NOT(ISBLANK(INDEX('glossaryterms-export'!H:H,_xlpm.rowNum))),ISBLANK(INDEX('glossaryterms-export'!I:I,_xlpm.rowNum))),"Ready to Fix",""))</f>
        <v/>
      </c>
    </row>
    <row r="1354" spans="6:6">
      <c r="F1354" s="1" t="str" cm="1">
        <f t="array" ref="F1354">_xlfn.LET(_xlpm.rowNum,MATCH(E1354,'glossaryterms-export'!C:C,0),
IF(AND(NOT(ISBLANK(INDEX('glossaryterms-export'!H:H,_xlpm.rowNum))),ISBLANK(INDEX('glossaryterms-export'!I:I,_xlpm.rowNum))),"Ready to Fix",""))</f>
        <v/>
      </c>
    </row>
    <row r="1355" spans="6:6">
      <c r="F1355" s="1" t="str" cm="1">
        <f t="array" ref="F1355">_xlfn.LET(_xlpm.rowNum,MATCH(E1355,'glossaryterms-export'!C:C,0),
IF(AND(NOT(ISBLANK(INDEX('glossaryterms-export'!H:H,_xlpm.rowNum))),ISBLANK(INDEX('glossaryterms-export'!I:I,_xlpm.rowNum))),"Ready to Fix",""))</f>
        <v/>
      </c>
    </row>
    <row r="1356" spans="6:6">
      <c r="F1356" s="1" t="str" cm="1">
        <f t="array" ref="F1356">_xlfn.LET(_xlpm.rowNum,MATCH(E1356,'glossaryterms-export'!C:C,0),
IF(AND(NOT(ISBLANK(INDEX('glossaryterms-export'!H:H,_xlpm.rowNum))),ISBLANK(INDEX('glossaryterms-export'!I:I,_xlpm.rowNum))),"Ready to Fix",""))</f>
        <v/>
      </c>
    </row>
    <row r="1357" spans="6:6">
      <c r="F1357" s="1" t="str" cm="1">
        <f t="array" ref="F1357">_xlfn.LET(_xlpm.rowNum,MATCH(E1357,'glossaryterms-export'!C:C,0),
IF(AND(NOT(ISBLANK(INDEX('glossaryterms-export'!H:H,_xlpm.rowNum))),ISBLANK(INDEX('glossaryterms-export'!I:I,_xlpm.rowNum))),"Ready to Fix",""))</f>
        <v/>
      </c>
    </row>
    <row r="1358" spans="6:6">
      <c r="F1358" s="1" t="str" cm="1">
        <f t="array" ref="F1358">_xlfn.LET(_xlpm.rowNum,MATCH(E1358,'glossaryterms-export'!C:C,0),
IF(AND(NOT(ISBLANK(INDEX('glossaryterms-export'!H:H,_xlpm.rowNum))),ISBLANK(INDEX('glossaryterms-export'!I:I,_xlpm.rowNum))),"Ready to Fix",""))</f>
        <v/>
      </c>
    </row>
    <row r="1359" spans="6:6">
      <c r="F1359" s="1" t="str" cm="1">
        <f t="array" ref="F1359">_xlfn.LET(_xlpm.rowNum,MATCH(E1359,'glossaryterms-export'!C:C,0),
IF(AND(NOT(ISBLANK(INDEX('glossaryterms-export'!H:H,_xlpm.rowNum))),ISBLANK(INDEX('glossaryterms-export'!I:I,_xlpm.rowNum))),"Ready to Fix",""))</f>
        <v/>
      </c>
    </row>
    <row r="1360" spans="6:6">
      <c r="F1360" s="1" t="str" cm="1">
        <f t="array" ref="F1360">_xlfn.LET(_xlpm.rowNum,MATCH(E1360,'glossaryterms-export'!C:C,0),
IF(AND(NOT(ISBLANK(INDEX('glossaryterms-export'!H:H,_xlpm.rowNum))),ISBLANK(INDEX('glossaryterms-export'!I:I,_xlpm.rowNum))),"Ready to Fix",""))</f>
        <v/>
      </c>
    </row>
    <row r="1361" spans="6:6">
      <c r="F1361" s="1" t="str" cm="1">
        <f t="array" ref="F1361">_xlfn.LET(_xlpm.rowNum,MATCH(E1361,'glossaryterms-export'!C:C,0),
IF(AND(NOT(ISBLANK(INDEX('glossaryterms-export'!H:H,_xlpm.rowNum))),ISBLANK(INDEX('glossaryterms-export'!I:I,_xlpm.rowNum))),"Ready to Fix",""))</f>
        <v/>
      </c>
    </row>
    <row r="1362" spans="6:6">
      <c r="F1362" s="1" t="str" cm="1">
        <f t="array" ref="F1362">_xlfn.LET(_xlpm.rowNum,MATCH(E1362,'glossaryterms-export'!C:C,0),
IF(AND(NOT(ISBLANK(INDEX('glossaryterms-export'!H:H,_xlpm.rowNum))),ISBLANK(INDEX('glossaryterms-export'!I:I,_xlpm.rowNum))),"Ready to Fix",""))</f>
        <v/>
      </c>
    </row>
    <row r="1363" spans="6:6">
      <c r="F1363" s="1" t="str" cm="1">
        <f t="array" ref="F1363">_xlfn.LET(_xlpm.rowNum,MATCH(E1363,'glossaryterms-export'!C:C,0),
IF(AND(NOT(ISBLANK(INDEX('glossaryterms-export'!H:H,_xlpm.rowNum))),ISBLANK(INDEX('glossaryterms-export'!I:I,_xlpm.rowNum))),"Ready to Fix",""))</f>
        <v/>
      </c>
    </row>
    <row r="1364" spans="6:6">
      <c r="F1364" s="1" t="str" cm="1">
        <f t="array" ref="F1364">_xlfn.LET(_xlpm.rowNum,MATCH(E1364,'glossaryterms-export'!C:C,0),
IF(AND(NOT(ISBLANK(INDEX('glossaryterms-export'!H:H,_xlpm.rowNum))),ISBLANK(INDEX('glossaryterms-export'!I:I,_xlpm.rowNum))),"Ready to Fix",""))</f>
        <v/>
      </c>
    </row>
    <row r="1365" spans="6:6">
      <c r="F1365" s="1" t="str" cm="1">
        <f t="array" ref="F1365">_xlfn.LET(_xlpm.rowNum,MATCH(E1365,'glossaryterms-export'!C:C,0),
IF(AND(NOT(ISBLANK(INDEX('glossaryterms-export'!H:H,_xlpm.rowNum))),ISBLANK(INDEX('glossaryterms-export'!I:I,_xlpm.rowNum))),"Ready to Fix",""))</f>
        <v/>
      </c>
    </row>
    <row r="1366" spans="6:6">
      <c r="F1366" s="1" t="str" cm="1">
        <f t="array" ref="F1366">_xlfn.LET(_xlpm.rowNum,MATCH(E1366,'glossaryterms-export'!C:C,0),
IF(AND(NOT(ISBLANK(INDEX('glossaryterms-export'!H:H,_xlpm.rowNum))),ISBLANK(INDEX('glossaryterms-export'!I:I,_xlpm.rowNum))),"Ready to Fix",""))</f>
        <v/>
      </c>
    </row>
    <row r="1367" spans="6:6">
      <c r="F1367" s="1" t="str" cm="1">
        <f t="array" ref="F1367">_xlfn.LET(_xlpm.rowNum,MATCH(E1367,'glossaryterms-export'!C:C,0),
IF(AND(NOT(ISBLANK(INDEX('glossaryterms-export'!H:H,_xlpm.rowNum))),ISBLANK(INDEX('glossaryterms-export'!I:I,_xlpm.rowNum))),"Ready to Fix",""))</f>
        <v/>
      </c>
    </row>
    <row r="1368" spans="6:6">
      <c r="F1368" s="1" t="str" cm="1">
        <f t="array" ref="F1368">_xlfn.LET(_xlpm.rowNum,MATCH(E1368,'glossaryterms-export'!C:C,0),
IF(AND(NOT(ISBLANK(INDEX('glossaryterms-export'!H:H,_xlpm.rowNum))),ISBLANK(INDEX('glossaryterms-export'!I:I,_xlpm.rowNum))),"Ready to Fix",""))</f>
        <v/>
      </c>
    </row>
    <row r="1369" spans="6:6">
      <c r="F1369" s="1" t="str" cm="1">
        <f t="array" ref="F1369">_xlfn.LET(_xlpm.rowNum,MATCH(E1369,'glossaryterms-export'!C:C,0),
IF(AND(NOT(ISBLANK(INDEX('glossaryterms-export'!H:H,_xlpm.rowNum))),ISBLANK(INDEX('glossaryterms-export'!I:I,_xlpm.rowNum))),"Ready to Fix",""))</f>
        <v/>
      </c>
    </row>
    <row r="1370" spans="6:6">
      <c r="F1370" s="1" t="str" cm="1">
        <f t="array" ref="F1370">_xlfn.LET(_xlpm.rowNum,MATCH(E1370,'glossaryterms-export'!C:C,0),
IF(AND(NOT(ISBLANK(INDEX('glossaryterms-export'!H:H,_xlpm.rowNum))),ISBLANK(INDEX('glossaryterms-export'!I:I,_xlpm.rowNum))),"Ready to Fix",""))</f>
        <v/>
      </c>
    </row>
    <row r="1371" spans="6:6">
      <c r="F1371" s="1" t="str" cm="1">
        <f t="array" ref="F1371">_xlfn.LET(_xlpm.rowNum,MATCH(E1371,'glossaryterms-export'!C:C,0),
IF(AND(NOT(ISBLANK(INDEX('glossaryterms-export'!H:H,_xlpm.rowNum))),ISBLANK(INDEX('glossaryterms-export'!I:I,_xlpm.rowNum))),"Ready to Fix",""))</f>
        <v/>
      </c>
    </row>
    <row r="1372" spans="6:6">
      <c r="F1372" s="1" t="str" cm="1">
        <f t="array" ref="F1372">_xlfn.LET(_xlpm.rowNum,MATCH(E1372,'glossaryterms-export'!C:C,0),
IF(AND(NOT(ISBLANK(INDEX('glossaryterms-export'!H:H,_xlpm.rowNum))),ISBLANK(INDEX('glossaryterms-export'!I:I,_xlpm.rowNum))),"Ready to Fix",""))</f>
        <v/>
      </c>
    </row>
    <row r="1373" spans="6:6">
      <c r="F1373" s="1" t="str" cm="1">
        <f t="array" ref="F1373">_xlfn.LET(_xlpm.rowNum,MATCH(E1373,'glossaryterms-export'!C:C,0),
IF(AND(NOT(ISBLANK(INDEX('glossaryterms-export'!H:H,_xlpm.rowNum))),ISBLANK(INDEX('glossaryterms-export'!I:I,_xlpm.rowNum))),"Ready to Fix",""))</f>
        <v/>
      </c>
    </row>
    <row r="1374" spans="6:6">
      <c r="F1374" s="1" t="str" cm="1">
        <f t="array" ref="F1374">_xlfn.LET(_xlpm.rowNum,MATCH(E1374,'glossaryterms-export'!C:C,0),
IF(AND(NOT(ISBLANK(INDEX('glossaryterms-export'!H:H,_xlpm.rowNum))),ISBLANK(INDEX('glossaryterms-export'!I:I,_xlpm.rowNum))),"Ready to Fix",""))</f>
        <v/>
      </c>
    </row>
    <row r="1375" spans="6:6">
      <c r="F1375" s="1" t="str" cm="1">
        <f t="array" ref="F1375">_xlfn.LET(_xlpm.rowNum,MATCH(E1375,'glossaryterms-export'!C:C,0),
IF(AND(NOT(ISBLANK(INDEX('glossaryterms-export'!H:H,_xlpm.rowNum))),ISBLANK(INDEX('glossaryterms-export'!I:I,_xlpm.rowNum))),"Ready to Fix",""))</f>
        <v/>
      </c>
    </row>
    <row r="1376" spans="6:6">
      <c r="F1376" s="1" t="str" cm="1">
        <f t="array" ref="F1376">_xlfn.LET(_xlpm.rowNum,MATCH(E1376,'glossaryterms-export'!C:C,0),
IF(AND(NOT(ISBLANK(INDEX('glossaryterms-export'!H:H,_xlpm.rowNum))),ISBLANK(INDEX('glossaryterms-export'!I:I,_xlpm.rowNum))),"Ready to Fix",""))</f>
        <v/>
      </c>
    </row>
    <row r="1377" spans="6:6">
      <c r="F1377" s="1" t="str" cm="1">
        <f t="array" ref="F1377">_xlfn.LET(_xlpm.rowNum,MATCH(E1377,'glossaryterms-export'!C:C,0),
IF(AND(NOT(ISBLANK(INDEX('glossaryterms-export'!H:H,_xlpm.rowNum))),ISBLANK(INDEX('glossaryterms-export'!I:I,_xlpm.rowNum))),"Ready to Fix",""))</f>
        <v/>
      </c>
    </row>
    <row r="1378" spans="6:6">
      <c r="F1378" s="1" t="str" cm="1">
        <f t="array" ref="F1378">_xlfn.LET(_xlpm.rowNum,MATCH(E1378,'glossaryterms-export'!C:C,0),
IF(AND(NOT(ISBLANK(INDEX('glossaryterms-export'!H:H,_xlpm.rowNum))),ISBLANK(INDEX('glossaryterms-export'!I:I,_xlpm.rowNum))),"Ready to Fix",""))</f>
        <v/>
      </c>
    </row>
    <row r="1379" spans="6:6">
      <c r="F1379" s="1" t="str" cm="1">
        <f t="array" ref="F1379">_xlfn.LET(_xlpm.rowNum,MATCH(E1379,'glossaryterms-export'!C:C,0),
IF(AND(NOT(ISBLANK(INDEX('glossaryterms-export'!H:H,_xlpm.rowNum))),ISBLANK(INDEX('glossaryterms-export'!I:I,_xlpm.rowNum))),"Ready to Fix",""))</f>
        <v/>
      </c>
    </row>
    <row r="1380" spans="6:6">
      <c r="F1380" s="1" t="str" cm="1">
        <f t="array" ref="F1380">_xlfn.LET(_xlpm.rowNum,MATCH(E1380,'glossaryterms-export'!C:C,0),
IF(AND(NOT(ISBLANK(INDEX('glossaryterms-export'!H:H,_xlpm.rowNum))),ISBLANK(INDEX('glossaryterms-export'!I:I,_xlpm.rowNum))),"Ready to Fix",""))</f>
        <v/>
      </c>
    </row>
    <row r="1381" spans="6:6">
      <c r="F1381" s="1" t="str" cm="1">
        <f t="array" ref="F1381">_xlfn.LET(_xlpm.rowNum,MATCH(E1381,'glossaryterms-export'!C:C,0),
IF(AND(NOT(ISBLANK(INDEX('glossaryterms-export'!H:H,_xlpm.rowNum))),ISBLANK(INDEX('glossaryterms-export'!I:I,_xlpm.rowNum))),"Ready to Fix",""))</f>
        <v/>
      </c>
    </row>
    <row r="1382" spans="6:6">
      <c r="F1382" s="1" t="str" cm="1">
        <f t="array" ref="F1382">_xlfn.LET(_xlpm.rowNum,MATCH(E1382,'glossaryterms-export'!C:C,0),
IF(AND(NOT(ISBLANK(INDEX('glossaryterms-export'!H:H,_xlpm.rowNum))),ISBLANK(INDEX('glossaryterms-export'!I:I,_xlpm.rowNum))),"Ready to Fix",""))</f>
        <v/>
      </c>
    </row>
    <row r="1383" spans="6:6">
      <c r="F1383" s="1" t="str" cm="1">
        <f t="array" ref="F1383">_xlfn.LET(_xlpm.rowNum,MATCH(E1383,'glossaryterms-export'!C:C,0),
IF(AND(NOT(ISBLANK(INDEX('glossaryterms-export'!H:H,_xlpm.rowNum))),ISBLANK(INDEX('glossaryterms-export'!I:I,_xlpm.rowNum))),"Ready to Fix",""))</f>
        <v/>
      </c>
    </row>
    <row r="1384" spans="6:6">
      <c r="F1384" s="1" t="str" cm="1">
        <f t="array" ref="F1384">_xlfn.LET(_xlpm.rowNum,MATCH(E1384,'glossaryterms-export'!C:C,0),
IF(AND(NOT(ISBLANK(INDEX('glossaryterms-export'!H:H,_xlpm.rowNum))),ISBLANK(INDEX('glossaryterms-export'!I:I,_xlpm.rowNum))),"Ready to Fix",""))</f>
        <v/>
      </c>
    </row>
    <row r="1385" spans="6:6">
      <c r="F1385" s="1" t="str" cm="1">
        <f t="array" ref="F1385">_xlfn.LET(_xlpm.rowNum,MATCH(E1385,'glossaryterms-export'!C:C,0),
IF(AND(NOT(ISBLANK(INDEX('glossaryterms-export'!H:H,_xlpm.rowNum))),ISBLANK(INDEX('glossaryterms-export'!I:I,_xlpm.rowNum))),"Ready to Fix",""))</f>
        <v/>
      </c>
    </row>
    <row r="1386" spans="6:6">
      <c r="F1386" s="1" t="str" cm="1">
        <f t="array" ref="F1386">_xlfn.LET(_xlpm.rowNum,MATCH(E1386,'glossaryterms-export'!C:C,0),
IF(AND(NOT(ISBLANK(INDEX('glossaryterms-export'!H:H,_xlpm.rowNum))),ISBLANK(INDEX('glossaryterms-export'!I:I,_xlpm.rowNum))),"Ready to Fix",""))</f>
        <v/>
      </c>
    </row>
    <row r="1387" spans="6:6">
      <c r="F1387" s="1" t="str" cm="1">
        <f t="array" ref="F1387">_xlfn.LET(_xlpm.rowNum,MATCH(E1387,'glossaryterms-export'!C:C,0),
IF(AND(NOT(ISBLANK(INDEX('glossaryterms-export'!H:H,_xlpm.rowNum))),ISBLANK(INDEX('glossaryterms-export'!I:I,_xlpm.rowNum))),"Ready to Fix",""))</f>
        <v/>
      </c>
    </row>
    <row r="1388" spans="6:6">
      <c r="F1388" s="1" t="str" cm="1">
        <f t="array" ref="F1388">_xlfn.LET(_xlpm.rowNum,MATCH(E1388,'glossaryterms-export'!C:C,0),
IF(AND(NOT(ISBLANK(INDEX('glossaryterms-export'!H:H,_xlpm.rowNum))),ISBLANK(INDEX('glossaryterms-export'!I:I,_xlpm.rowNum))),"Ready to Fix",""))</f>
        <v/>
      </c>
    </row>
    <row r="1389" spans="6:6">
      <c r="F1389" s="1" t="str" cm="1">
        <f t="array" ref="F1389">_xlfn.LET(_xlpm.rowNum,MATCH(E1389,'glossaryterms-export'!C:C,0),
IF(AND(NOT(ISBLANK(INDEX('glossaryterms-export'!H:H,_xlpm.rowNum))),ISBLANK(INDEX('glossaryterms-export'!I:I,_xlpm.rowNum))),"Ready to Fix",""))</f>
        <v/>
      </c>
    </row>
    <row r="1390" spans="6:6">
      <c r="F1390" s="1" t="str" cm="1">
        <f t="array" ref="F1390">_xlfn.LET(_xlpm.rowNum,MATCH(E1390,'glossaryterms-export'!C:C,0),
IF(AND(NOT(ISBLANK(INDEX('glossaryterms-export'!H:H,_xlpm.rowNum))),ISBLANK(INDEX('glossaryterms-export'!I:I,_xlpm.rowNum))),"Ready to Fix",""))</f>
        <v/>
      </c>
    </row>
    <row r="1391" spans="6:6">
      <c r="F1391" s="1" t="str" cm="1">
        <f t="array" ref="F1391">_xlfn.LET(_xlpm.rowNum,MATCH(E1391,'glossaryterms-export'!C:C,0),
IF(AND(NOT(ISBLANK(INDEX('glossaryterms-export'!H:H,_xlpm.rowNum))),ISBLANK(INDEX('glossaryterms-export'!I:I,_xlpm.rowNum))),"Ready to Fix",""))</f>
        <v/>
      </c>
    </row>
    <row r="1392" spans="6:6">
      <c r="F1392" s="1" t="str" cm="1">
        <f t="array" ref="F1392">_xlfn.LET(_xlpm.rowNum,MATCH(E1392,'glossaryterms-export'!C:C,0),
IF(AND(NOT(ISBLANK(INDEX('glossaryterms-export'!H:H,_xlpm.rowNum))),ISBLANK(INDEX('glossaryterms-export'!I:I,_xlpm.rowNum))),"Ready to Fix",""))</f>
        <v/>
      </c>
    </row>
    <row r="1393" spans="6:6">
      <c r="F1393" s="1" t="str" cm="1">
        <f t="array" ref="F1393">_xlfn.LET(_xlpm.rowNum,MATCH(E1393,'glossaryterms-export'!C:C,0),
IF(AND(NOT(ISBLANK(INDEX('glossaryterms-export'!H:H,_xlpm.rowNum))),ISBLANK(INDEX('glossaryterms-export'!I:I,_xlpm.rowNum))),"Ready to Fix",""))</f>
        <v/>
      </c>
    </row>
    <row r="1394" spans="6:6">
      <c r="F1394" s="1" t="str" cm="1">
        <f t="array" ref="F1394">_xlfn.LET(_xlpm.rowNum,MATCH(E1394,'glossaryterms-export'!C:C,0),
IF(AND(NOT(ISBLANK(INDEX('glossaryterms-export'!H:H,_xlpm.rowNum))),ISBLANK(INDEX('glossaryterms-export'!I:I,_xlpm.rowNum))),"Ready to Fix",""))</f>
        <v/>
      </c>
    </row>
    <row r="1395" spans="6:6">
      <c r="F1395" s="1" t="str" cm="1">
        <f t="array" ref="F1395">_xlfn.LET(_xlpm.rowNum,MATCH(E1395,'glossaryterms-export'!C:C,0),
IF(AND(NOT(ISBLANK(INDEX('glossaryterms-export'!H:H,_xlpm.rowNum))),ISBLANK(INDEX('glossaryterms-export'!I:I,_xlpm.rowNum))),"Ready to Fix",""))</f>
        <v/>
      </c>
    </row>
    <row r="1396" spans="6:6">
      <c r="F1396" s="1" t="str" cm="1">
        <f t="array" ref="F1396">_xlfn.LET(_xlpm.rowNum,MATCH(E1396,'glossaryterms-export'!C:C,0),
IF(AND(NOT(ISBLANK(INDEX('glossaryterms-export'!H:H,_xlpm.rowNum))),ISBLANK(INDEX('glossaryterms-export'!I:I,_xlpm.rowNum))),"Ready to Fix",""))</f>
        <v/>
      </c>
    </row>
    <row r="1397" spans="6:6">
      <c r="F1397" s="1" t="str" cm="1">
        <f t="array" ref="F1397">_xlfn.LET(_xlpm.rowNum,MATCH(E1397,'glossaryterms-export'!C:C,0),
IF(AND(NOT(ISBLANK(INDEX('glossaryterms-export'!H:H,_xlpm.rowNum))),ISBLANK(INDEX('glossaryterms-export'!I:I,_xlpm.rowNum))),"Ready to Fix",""))</f>
        <v/>
      </c>
    </row>
    <row r="1398" spans="6:6">
      <c r="F1398" s="1" t="str" cm="1">
        <f t="array" ref="F1398">_xlfn.LET(_xlpm.rowNum,MATCH(E1398,'glossaryterms-export'!C:C,0),
IF(AND(NOT(ISBLANK(INDEX('glossaryterms-export'!H:H,_xlpm.rowNum))),ISBLANK(INDEX('glossaryterms-export'!I:I,_xlpm.rowNum))),"Ready to Fix",""))</f>
        <v/>
      </c>
    </row>
    <row r="1399" spans="6:6">
      <c r="F1399" s="1" t="str" cm="1">
        <f t="array" ref="F1399">_xlfn.LET(_xlpm.rowNum,MATCH(E1399,'glossaryterms-export'!C:C,0),
IF(AND(NOT(ISBLANK(INDEX('glossaryterms-export'!H:H,_xlpm.rowNum))),ISBLANK(INDEX('glossaryterms-export'!I:I,_xlpm.rowNum))),"Ready to Fix",""))</f>
        <v/>
      </c>
    </row>
    <row r="1400" spans="6:6">
      <c r="F1400" s="1" t="str" cm="1">
        <f t="array" ref="F1400">_xlfn.LET(_xlpm.rowNum,MATCH(E1400,'glossaryterms-export'!C:C,0),
IF(AND(NOT(ISBLANK(INDEX('glossaryterms-export'!H:H,_xlpm.rowNum))),ISBLANK(INDEX('glossaryterms-export'!I:I,_xlpm.rowNum))),"Ready to Fix",""))</f>
        <v/>
      </c>
    </row>
    <row r="1401" spans="6:6">
      <c r="F1401" s="1" t="str" cm="1">
        <f t="array" ref="F1401">_xlfn.LET(_xlpm.rowNum,MATCH(E1401,'glossaryterms-export'!C:C,0),
IF(AND(NOT(ISBLANK(INDEX('glossaryterms-export'!H:H,_xlpm.rowNum))),ISBLANK(INDEX('glossaryterms-export'!I:I,_xlpm.rowNum))),"Ready to Fix",""))</f>
        <v/>
      </c>
    </row>
    <row r="1402" spans="6:6">
      <c r="F1402" s="1" t="str" cm="1">
        <f t="array" ref="F1402">_xlfn.LET(_xlpm.rowNum,MATCH(E1402,'glossaryterms-export'!C:C,0),
IF(AND(NOT(ISBLANK(INDEX('glossaryterms-export'!H:H,_xlpm.rowNum))),ISBLANK(INDEX('glossaryterms-export'!I:I,_xlpm.rowNum))),"Ready to Fix",""))</f>
        <v/>
      </c>
    </row>
    <row r="1403" spans="6:6">
      <c r="F1403" s="1" t="str" cm="1">
        <f t="array" ref="F1403">_xlfn.LET(_xlpm.rowNum,MATCH(E1403,'glossaryterms-export'!C:C,0),
IF(AND(NOT(ISBLANK(INDEX('glossaryterms-export'!H:H,_xlpm.rowNum))),ISBLANK(INDEX('glossaryterms-export'!I:I,_xlpm.rowNum))),"Ready to Fix",""))</f>
        <v/>
      </c>
    </row>
    <row r="1404" spans="6:6">
      <c r="F1404" s="1" t="str" cm="1">
        <f t="array" ref="F1404">_xlfn.LET(_xlpm.rowNum,MATCH(E1404,'glossaryterms-export'!C:C,0),
IF(AND(NOT(ISBLANK(INDEX('glossaryterms-export'!H:H,_xlpm.rowNum))),ISBLANK(INDEX('glossaryterms-export'!I:I,_xlpm.rowNum))),"Ready to Fix",""))</f>
        <v/>
      </c>
    </row>
    <row r="1405" spans="6:6">
      <c r="F1405" s="1" t="str" cm="1">
        <f t="array" ref="F1405">_xlfn.LET(_xlpm.rowNum,MATCH(E1405,'glossaryterms-export'!C:C,0),
IF(AND(NOT(ISBLANK(INDEX('glossaryterms-export'!H:H,_xlpm.rowNum))),ISBLANK(INDEX('glossaryterms-export'!I:I,_xlpm.rowNum))),"Ready to Fix",""))</f>
        <v/>
      </c>
    </row>
    <row r="1406" spans="6:6">
      <c r="F1406" s="1" t="str" cm="1">
        <f t="array" ref="F1406">_xlfn.LET(_xlpm.rowNum,MATCH(E1406,'glossaryterms-export'!C:C,0),
IF(AND(NOT(ISBLANK(INDEX('glossaryterms-export'!H:H,_xlpm.rowNum))),ISBLANK(INDEX('glossaryterms-export'!I:I,_xlpm.rowNum))),"Ready to Fix",""))</f>
        <v/>
      </c>
    </row>
    <row r="1407" spans="6:6">
      <c r="F1407" s="1" t="str" cm="1">
        <f t="array" ref="F1407">_xlfn.LET(_xlpm.rowNum,MATCH(E1407,'glossaryterms-export'!C:C,0),
IF(AND(NOT(ISBLANK(INDEX('glossaryterms-export'!H:H,_xlpm.rowNum))),ISBLANK(INDEX('glossaryterms-export'!I:I,_xlpm.rowNum))),"Ready to Fix",""))</f>
        <v/>
      </c>
    </row>
    <row r="1408" spans="6:6">
      <c r="F1408" s="1" t="str" cm="1">
        <f t="array" ref="F1408">_xlfn.LET(_xlpm.rowNum,MATCH(E1408,'glossaryterms-export'!C:C,0),
IF(AND(NOT(ISBLANK(INDEX('glossaryterms-export'!H:H,_xlpm.rowNum))),ISBLANK(INDEX('glossaryterms-export'!I:I,_xlpm.rowNum))),"Ready to Fix",""))</f>
        <v/>
      </c>
    </row>
    <row r="1409" spans="6:6">
      <c r="F1409" s="1" t="str" cm="1">
        <f t="array" ref="F1409">_xlfn.LET(_xlpm.rowNum,MATCH(E1409,'glossaryterms-export'!C:C,0),
IF(AND(NOT(ISBLANK(INDEX('glossaryterms-export'!H:H,_xlpm.rowNum))),ISBLANK(INDEX('glossaryterms-export'!I:I,_xlpm.rowNum))),"Ready to Fix",""))</f>
        <v/>
      </c>
    </row>
    <row r="1410" spans="6:6">
      <c r="F1410" s="1" t="str" cm="1">
        <f t="array" ref="F1410">_xlfn.LET(_xlpm.rowNum,MATCH(E1410,'glossaryterms-export'!C:C,0),
IF(AND(NOT(ISBLANK(INDEX('glossaryterms-export'!H:H,_xlpm.rowNum))),ISBLANK(INDEX('glossaryterms-export'!I:I,_xlpm.rowNum))),"Ready to Fix",""))</f>
        <v/>
      </c>
    </row>
    <row r="1411" spans="6:6">
      <c r="F1411" s="1" t="str" cm="1">
        <f t="array" ref="F1411">_xlfn.LET(_xlpm.rowNum,MATCH(E1411,'glossaryterms-export'!C:C,0),
IF(AND(NOT(ISBLANK(INDEX('glossaryterms-export'!H:H,_xlpm.rowNum))),ISBLANK(INDEX('glossaryterms-export'!I:I,_xlpm.rowNum))),"Ready to Fix",""))</f>
        <v/>
      </c>
    </row>
    <row r="1412" spans="6:6">
      <c r="F1412" s="1" t="str" cm="1">
        <f t="array" ref="F1412">_xlfn.LET(_xlpm.rowNum,MATCH(E1412,'glossaryterms-export'!C:C,0),
IF(AND(NOT(ISBLANK(INDEX('glossaryterms-export'!H:H,_xlpm.rowNum))),ISBLANK(INDEX('glossaryterms-export'!I:I,_xlpm.rowNum))),"Ready to Fix",""))</f>
        <v/>
      </c>
    </row>
    <row r="1413" spans="6:6">
      <c r="F1413" s="1" t="str" cm="1">
        <f t="array" ref="F1413">_xlfn.LET(_xlpm.rowNum,MATCH(E1413,'glossaryterms-export'!C:C,0),
IF(AND(NOT(ISBLANK(INDEX('glossaryterms-export'!H:H,_xlpm.rowNum))),ISBLANK(INDEX('glossaryterms-export'!I:I,_xlpm.rowNum))),"Ready to Fix",""))</f>
        <v/>
      </c>
    </row>
    <row r="1414" spans="6:6">
      <c r="F1414" s="1" t="str" cm="1">
        <f t="array" ref="F1414">_xlfn.LET(_xlpm.rowNum,MATCH(E1414,'glossaryterms-export'!C:C,0),
IF(AND(NOT(ISBLANK(INDEX('glossaryterms-export'!H:H,_xlpm.rowNum))),ISBLANK(INDEX('glossaryterms-export'!I:I,_xlpm.rowNum))),"Ready to Fix",""))</f>
        <v/>
      </c>
    </row>
    <row r="1415" spans="6:6">
      <c r="F1415" s="1" t="str" cm="1">
        <f t="array" ref="F1415">_xlfn.LET(_xlpm.rowNum,MATCH(E1415,'glossaryterms-export'!C:C,0),
IF(AND(NOT(ISBLANK(INDEX('glossaryterms-export'!H:H,_xlpm.rowNum))),ISBLANK(INDEX('glossaryterms-export'!I:I,_xlpm.rowNum))),"Ready to Fix",""))</f>
        <v/>
      </c>
    </row>
    <row r="1416" spans="6:6">
      <c r="F1416" s="1" t="str" cm="1">
        <f t="array" ref="F1416">_xlfn.LET(_xlpm.rowNum,MATCH(E1416,'glossaryterms-export'!C:C,0),
IF(AND(NOT(ISBLANK(INDEX('glossaryterms-export'!H:H,_xlpm.rowNum))),ISBLANK(INDEX('glossaryterms-export'!I:I,_xlpm.rowNum))),"Ready to Fix",""))</f>
        <v/>
      </c>
    </row>
    <row r="1417" spans="6:6">
      <c r="F1417" s="1" t="str" cm="1">
        <f t="array" ref="F1417">_xlfn.LET(_xlpm.rowNum,MATCH(E1417,'glossaryterms-export'!C:C,0),
IF(AND(NOT(ISBLANK(INDEX('glossaryterms-export'!H:H,_xlpm.rowNum))),ISBLANK(INDEX('glossaryterms-export'!I:I,_xlpm.rowNum))),"Ready to Fix",""))</f>
        <v/>
      </c>
    </row>
    <row r="1418" spans="6:6">
      <c r="F1418" s="1" t="str" cm="1">
        <f t="array" ref="F1418">_xlfn.LET(_xlpm.rowNum,MATCH(E1418,'glossaryterms-export'!C:C,0),
IF(AND(NOT(ISBLANK(INDEX('glossaryterms-export'!H:H,_xlpm.rowNum))),ISBLANK(INDEX('glossaryterms-export'!I:I,_xlpm.rowNum))),"Ready to Fix",""))</f>
        <v/>
      </c>
    </row>
    <row r="1419" spans="6:6">
      <c r="F1419" s="1" t="str" cm="1">
        <f t="array" ref="F1419">_xlfn.LET(_xlpm.rowNum,MATCH(E1419,'glossaryterms-export'!C:C,0),
IF(AND(NOT(ISBLANK(INDEX('glossaryterms-export'!H:H,_xlpm.rowNum))),ISBLANK(INDEX('glossaryterms-export'!I:I,_xlpm.rowNum))),"Ready to Fix",""))</f>
        <v/>
      </c>
    </row>
    <row r="1420" spans="6:6">
      <c r="F1420" s="1" t="str" cm="1">
        <f t="array" ref="F1420">_xlfn.LET(_xlpm.rowNum,MATCH(E1420,'glossaryterms-export'!C:C,0),
IF(AND(NOT(ISBLANK(INDEX('glossaryterms-export'!H:H,_xlpm.rowNum))),ISBLANK(INDEX('glossaryterms-export'!I:I,_xlpm.rowNum))),"Ready to Fix",""))</f>
        <v/>
      </c>
    </row>
    <row r="1421" spans="6:6">
      <c r="F1421" s="1" t="str" cm="1">
        <f t="array" ref="F1421">_xlfn.LET(_xlpm.rowNum,MATCH(E1421,'glossaryterms-export'!C:C,0),
IF(AND(NOT(ISBLANK(INDEX('glossaryterms-export'!H:H,_xlpm.rowNum))),ISBLANK(INDEX('glossaryterms-export'!I:I,_xlpm.rowNum))),"Ready to Fix",""))</f>
        <v/>
      </c>
    </row>
    <row r="1422" spans="6:6">
      <c r="F1422" s="1" t="str" cm="1">
        <f t="array" ref="F1422">_xlfn.LET(_xlpm.rowNum,MATCH(E1422,'glossaryterms-export'!C:C,0),
IF(AND(NOT(ISBLANK(INDEX('glossaryterms-export'!H:H,_xlpm.rowNum))),ISBLANK(INDEX('glossaryterms-export'!I:I,_xlpm.rowNum))),"Ready to Fix",""))</f>
        <v/>
      </c>
    </row>
    <row r="1423" spans="6:6">
      <c r="F1423" s="1" t="str" cm="1">
        <f t="array" ref="F1423">_xlfn.LET(_xlpm.rowNum,MATCH(E1423,'glossaryterms-export'!C:C,0),
IF(AND(NOT(ISBLANK(INDEX('glossaryterms-export'!H:H,_xlpm.rowNum))),ISBLANK(INDEX('glossaryterms-export'!I:I,_xlpm.rowNum))),"Ready to Fix",""))</f>
        <v/>
      </c>
    </row>
    <row r="1424" spans="6:6">
      <c r="F1424" s="1" t="str" cm="1">
        <f t="array" ref="F1424">_xlfn.LET(_xlpm.rowNum,MATCH(E1424,'glossaryterms-export'!C:C,0),
IF(AND(NOT(ISBLANK(INDEX('glossaryterms-export'!H:H,_xlpm.rowNum))),ISBLANK(INDEX('glossaryterms-export'!I:I,_xlpm.rowNum))),"Ready to Fix",""))</f>
        <v/>
      </c>
    </row>
    <row r="1425" spans="6:6">
      <c r="F1425" s="1" t="str" cm="1">
        <f t="array" ref="F1425">_xlfn.LET(_xlpm.rowNum,MATCH(E1425,'glossaryterms-export'!C:C,0),
IF(AND(NOT(ISBLANK(INDEX('glossaryterms-export'!H:H,_xlpm.rowNum))),ISBLANK(INDEX('glossaryterms-export'!I:I,_xlpm.rowNum))),"Ready to Fix",""))</f>
        <v/>
      </c>
    </row>
    <row r="1426" spans="6:6">
      <c r="F1426" s="1" t="str" cm="1">
        <f t="array" ref="F1426">_xlfn.LET(_xlpm.rowNum,MATCH(E1426,'glossaryterms-export'!C:C,0),
IF(AND(NOT(ISBLANK(INDEX('glossaryterms-export'!H:H,_xlpm.rowNum))),ISBLANK(INDEX('glossaryterms-export'!I:I,_xlpm.rowNum))),"Ready to Fix",""))</f>
        <v/>
      </c>
    </row>
    <row r="1427" spans="6:6">
      <c r="F1427" s="1" t="str" cm="1">
        <f t="array" ref="F1427">_xlfn.LET(_xlpm.rowNum,MATCH(E1427,'glossaryterms-export'!C:C,0),
IF(AND(NOT(ISBLANK(INDEX('glossaryterms-export'!H:H,_xlpm.rowNum))),ISBLANK(INDEX('glossaryterms-export'!I:I,_xlpm.rowNum))),"Ready to Fix",""))</f>
        <v/>
      </c>
    </row>
    <row r="1428" spans="6:6">
      <c r="F1428" s="1" t="str" cm="1">
        <f t="array" ref="F1428">_xlfn.LET(_xlpm.rowNum,MATCH(E1428,'glossaryterms-export'!C:C,0),
IF(AND(NOT(ISBLANK(INDEX('glossaryterms-export'!H:H,_xlpm.rowNum))),ISBLANK(INDEX('glossaryterms-export'!I:I,_xlpm.rowNum))),"Ready to Fix",""))</f>
        <v/>
      </c>
    </row>
    <row r="1429" spans="6:6">
      <c r="F1429" s="1" t="str" cm="1">
        <f t="array" ref="F1429">_xlfn.LET(_xlpm.rowNum,MATCH(E1429,'glossaryterms-export'!C:C,0),
IF(AND(NOT(ISBLANK(INDEX('glossaryterms-export'!H:H,_xlpm.rowNum))),ISBLANK(INDEX('glossaryterms-export'!I:I,_xlpm.rowNum))),"Ready to Fix",""))</f>
        <v/>
      </c>
    </row>
    <row r="1430" spans="6:6">
      <c r="F1430" s="1" t="str" cm="1">
        <f t="array" ref="F1430">_xlfn.LET(_xlpm.rowNum,MATCH(E1430,'glossaryterms-export'!C:C,0),
IF(AND(NOT(ISBLANK(INDEX('glossaryterms-export'!H:H,_xlpm.rowNum))),ISBLANK(INDEX('glossaryterms-export'!I:I,_xlpm.rowNum))),"Ready to Fix",""))</f>
        <v/>
      </c>
    </row>
    <row r="1431" spans="6:6">
      <c r="F1431" s="1" t="str" cm="1">
        <f t="array" ref="F1431">_xlfn.LET(_xlpm.rowNum,MATCH(E1431,'glossaryterms-export'!C:C,0),
IF(AND(NOT(ISBLANK(INDEX('glossaryterms-export'!H:H,_xlpm.rowNum))),ISBLANK(INDEX('glossaryterms-export'!I:I,_xlpm.rowNum))),"Ready to Fix",""))</f>
        <v/>
      </c>
    </row>
    <row r="1432" spans="6:6">
      <c r="F1432" s="1" t="str" cm="1">
        <f t="array" ref="F1432">_xlfn.LET(_xlpm.rowNum,MATCH(E1432,'glossaryterms-export'!C:C,0),
IF(AND(NOT(ISBLANK(INDEX('glossaryterms-export'!H:H,_xlpm.rowNum))),ISBLANK(INDEX('glossaryterms-export'!I:I,_xlpm.rowNum))),"Ready to Fix",""))</f>
        <v/>
      </c>
    </row>
    <row r="1433" spans="6:6">
      <c r="F1433" s="1" t="str" cm="1">
        <f t="array" ref="F1433">_xlfn.LET(_xlpm.rowNum,MATCH(E1433,'glossaryterms-export'!C:C,0),
IF(AND(NOT(ISBLANK(INDEX('glossaryterms-export'!H:H,_xlpm.rowNum))),ISBLANK(INDEX('glossaryterms-export'!I:I,_xlpm.rowNum))),"Ready to Fix",""))</f>
        <v/>
      </c>
    </row>
    <row r="1434" spans="6:6">
      <c r="F1434" s="1" t="str" cm="1">
        <f t="array" ref="F1434">_xlfn.LET(_xlpm.rowNum,MATCH(E1434,'glossaryterms-export'!C:C,0),
IF(AND(NOT(ISBLANK(INDEX('glossaryterms-export'!H:H,_xlpm.rowNum))),ISBLANK(INDEX('glossaryterms-export'!I:I,_xlpm.rowNum))),"Ready to Fix",""))</f>
        <v/>
      </c>
    </row>
    <row r="1435" spans="6:6">
      <c r="F1435" s="1" t="str" cm="1">
        <f t="array" ref="F1435">_xlfn.LET(_xlpm.rowNum,MATCH(E1435,'glossaryterms-export'!C:C,0),
IF(AND(NOT(ISBLANK(INDEX('glossaryterms-export'!H:H,_xlpm.rowNum))),ISBLANK(INDEX('glossaryterms-export'!I:I,_xlpm.rowNum))),"Ready to Fix",""))</f>
        <v/>
      </c>
    </row>
    <row r="1436" spans="6:6">
      <c r="F1436" s="1" t="str" cm="1">
        <f t="array" ref="F1436">_xlfn.LET(_xlpm.rowNum,MATCH(E1436,'glossaryterms-export'!C:C,0),
IF(AND(NOT(ISBLANK(INDEX('glossaryterms-export'!H:H,_xlpm.rowNum))),ISBLANK(INDEX('glossaryterms-export'!I:I,_xlpm.rowNum))),"Ready to Fix",""))</f>
        <v/>
      </c>
    </row>
    <row r="1437" spans="6:6">
      <c r="F1437" s="1" t="str" cm="1">
        <f t="array" ref="F1437">_xlfn.LET(_xlpm.rowNum,MATCH(E1437,'glossaryterms-export'!C:C,0),
IF(AND(NOT(ISBLANK(INDEX('glossaryterms-export'!H:H,_xlpm.rowNum))),ISBLANK(INDEX('glossaryterms-export'!I:I,_xlpm.rowNum))),"Ready to Fix",""))</f>
        <v/>
      </c>
    </row>
    <row r="1438" spans="6:6">
      <c r="F1438" s="1" t="str" cm="1">
        <f t="array" ref="F1438">_xlfn.LET(_xlpm.rowNum,MATCH(E1438,'glossaryterms-export'!C:C,0),
IF(AND(NOT(ISBLANK(INDEX('glossaryterms-export'!H:H,_xlpm.rowNum))),ISBLANK(INDEX('glossaryterms-export'!I:I,_xlpm.rowNum))),"Ready to Fix",""))</f>
        <v/>
      </c>
    </row>
    <row r="1439" spans="6:6">
      <c r="F1439" s="1" t="str" cm="1">
        <f t="array" ref="F1439">_xlfn.LET(_xlpm.rowNum,MATCH(E1439,'glossaryterms-export'!C:C,0),
IF(AND(NOT(ISBLANK(INDEX('glossaryterms-export'!H:H,_xlpm.rowNum))),ISBLANK(INDEX('glossaryterms-export'!I:I,_xlpm.rowNum))),"Ready to Fix",""))</f>
        <v/>
      </c>
    </row>
    <row r="1440" spans="6:6">
      <c r="F1440" s="1" t="str" cm="1">
        <f t="array" ref="F1440">_xlfn.LET(_xlpm.rowNum,MATCH(E1440,'glossaryterms-export'!C:C,0),
IF(AND(NOT(ISBLANK(INDEX('glossaryterms-export'!H:H,_xlpm.rowNum))),ISBLANK(INDEX('glossaryterms-export'!I:I,_xlpm.rowNum))),"Ready to Fix",""))</f>
        <v/>
      </c>
    </row>
    <row r="1441" spans="6:6">
      <c r="F1441" s="1" t="str" cm="1">
        <f t="array" ref="F1441">_xlfn.LET(_xlpm.rowNum,MATCH(E1441,'glossaryterms-export'!C:C,0),
IF(AND(NOT(ISBLANK(INDEX('glossaryterms-export'!H:H,_xlpm.rowNum))),ISBLANK(INDEX('glossaryterms-export'!I:I,_xlpm.rowNum))),"Ready to Fix",""))</f>
        <v/>
      </c>
    </row>
    <row r="1442" spans="6:6">
      <c r="F1442" s="1" t="str" cm="1">
        <f t="array" ref="F1442">_xlfn.LET(_xlpm.rowNum,MATCH(E1442,'glossaryterms-export'!C:C,0),
IF(AND(NOT(ISBLANK(INDEX('glossaryterms-export'!H:H,_xlpm.rowNum))),ISBLANK(INDEX('glossaryterms-export'!I:I,_xlpm.rowNum))),"Ready to Fix",""))</f>
        <v/>
      </c>
    </row>
    <row r="1443" spans="6:6">
      <c r="F1443" s="1" t="str" cm="1">
        <f t="array" ref="F1443">_xlfn.LET(_xlpm.rowNum,MATCH(E1443,'glossaryterms-export'!C:C,0),
IF(AND(NOT(ISBLANK(INDEX('glossaryterms-export'!H:H,_xlpm.rowNum))),ISBLANK(INDEX('glossaryterms-export'!I:I,_xlpm.rowNum))),"Ready to Fix",""))</f>
        <v/>
      </c>
    </row>
    <row r="1444" spans="6:6">
      <c r="F1444" s="1" t="str" cm="1">
        <f t="array" ref="F1444">_xlfn.LET(_xlpm.rowNum,MATCH(E1444,'glossaryterms-export'!C:C,0),
IF(AND(NOT(ISBLANK(INDEX('glossaryterms-export'!H:H,_xlpm.rowNum))),ISBLANK(INDEX('glossaryterms-export'!I:I,_xlpm.rowNum))),"Ready to Fix",""))</f>
        <v/>
      </c>
    </row>
    <row r="1445" spans="6:6">
      <c r="F1445" s="1" t="str" cm="1">
        <f t="array" ref="F1445">_xlfn.LET(_xlpm.rowNum,MATCH(E1445,'glossaryterms-export'!C:C,0),
IF(AND(NOT(ISBLANK(INDEX('glossaryterms-export'!H:H,_xlpm.rowNum))),ISBLANK(INDEX('glossaryterms-export'!I:I,_xlpm.rowNum))),"Ready to Fix",""))</f>
        <v/>
      </c>
    </row>
    <row r="1446" spans="6:6">
      <c r="F1446" s="1" t="str" cm="1">
        <f t="array" ref="F1446">_xlfn.LET(_xlpm.rowNum,MATCH(E1446,'glossaryterms-export'!C:C,0),
IF(AND(NOT(ISBLANK(INDEX('glossaryterms-export'!H:H,_xlpm.rowNum))),ISBLANK(INDEX('glossaryterms-export'!I:I,_xlpm.rowNum))),"Ready to Fix",""))</f>
        <v/>
      </c>
    </row>
    <row r="1447" spans="6:6">
      <c r="F1447" s="1" t="str" cm="1">
        <f t="array" ref="F1447">_xlfn.LET(_xlpm.rowNum,MATCH(E1447,'glossaryterms-export'!C:C,0),
IF(AND(NOT(ISBLANK(INDEX('glossaryterms-export'!H:H,_xlpm.rowNum))),ISBLANK(INDEX('glossaryterms-export'!I:I,_xlpm.rowNum))),"Ready to Fix",""))</f>
        <v/>
      </c>
    </row>
    <row r="1448" spans="6:6">
      <c r="F1448" s="1" t="str" cm="1">
        <f t="array" ref="F1448">_xlfn.LET(_xlpm.rowNum,MATCH(E1448,'glossaryterms-export'!C:C,0),
IF(AND(NOT(ISBLANK(INDEX('glossaryterms-export'!H:H,_xlpm.rowNum))),ISBLANK(INDEX('glossaryterms-export'!I:I,_xlpm.rowNum))),"Ready to Fix",""))</f>
        <v/>
      </c>
    </row>
    <row r="1449" spans="6:6">
      <c r="F1449" s="1" t="str" cm="1">
        <f t="array" ref="F1449">_xlfn.LET(_xlpm.rowNum,MATCH(E1449,'glossaryterms-export'!C:C,0),
IF(AND(NOT(ISBLANK(INDEX('glossaryterms-export'!H:H,_xlpm.rowNum))),ISBLANK(INDEX('glossaryterms-export'!I:I,_xlpm.rowNum))),"Ready to Fix",""))</f>
        <v/>
      </c>
    </row>
    <row r="1450" spans="6:6">
      <c r="F1450" s="1" t="str" cm="1">
        <f t="array" ref="F1450">_xlfn.LET(_xlpm.rowNum,MATCH(E1450,'glossaryterms-export'!C:C,0),
IF(AND(NOT(ISBLANK(INDEX('glossaryterms-export'!H:H,_xlpm.rowNum))),ISBLANK(INDEX('glossaryterms-export'!I:I,_xlpm.rowNum))),"Ready to Fix",""))</f>
        <v/>
      </c>
    </row>
    <row r="1451" spans="6:6">
      <c r="F1451" s="1" t="str" cm="1">
        <f t="array" ref="F1451">_xlfn.LET(_xlpm.rowNum,MATCH(E1451,'glossaryterms-export'!C:C,0),
IF(AND(NOT(ISBLANK(INDEX('glossaryterms-export'!H:H,_xlpm.rowNum))),ISBLANK(INDEX('glossaryterms-export'!I:I,_xlpm.rowNum))),"Ready to Fix",""))</f>
        <v/>
      </c>
    </row>
    <row r="1452" spans="6:6">
      <c r="F1452" s="1" t="str" cm="1">
        <f t="array" ref="F1452">_xlfn.LET(_xlpm.rowNum,MATCH(E1452,'glossaryterms-export'!C:C,0),
IF(AND(NOT(ISBLANK(INDEX('glossaryterms-export'!H:H,_xlpm.rowNum))),ISBLANK(INDEX('glossaryterms-export'!I:I,_xlpm.rowNum))),"Ready to Fix",""))</f>
        <v/>
      </c>
    </row>
    <row r="1453" spans="6:6">
      <c r="F1453" s="1" t="str" cm="1">
        <f t="array" ref="F1453">_xlfn.LET(_xlpm.rowNum,MATCH(E1453,'glossaryterms-export'!C:C,0),
IF(AND(NOT(ISBLANK(INDEX('glossaryterms-export'!H:H,_xlpm.rowNum))),ISBLANK(INDEX('glossaryterms-export'!I:I,_xlpm.rowNum))),"Ready to Fix",""))</f>
        <v/>
      </c>
    </row>
    <row r="1454" spans="6:6">
      <c r="F1454" s="1" t="str" cm="1">
        <f t="array" ref="F1454">_xlfn.LET(_xlpm.rowNum,MATCH(E1454,'glossaryterms-export'!C:C,0),
IF(AND(NOT(ISBLANK(INDEX('glossaryterms-export'!H:H,_xlpm.rowNum))),ISBLANK(INDEX('glossaryterms-export'!I:I,_xlpm.rowNum))),"Ready to Fix",""))</f>
        <v/>
      </c>
    </row>
    <row r="1455" spans="6:6">
      <c r="F1455" s="1" t="str" cm="1">
        <f t="array" ref="F1455">_xlfn.LET(_xlpm.rowNum,MATCH(E1455,'glossaryterms-export'!C:C,0),
IF(AND(NOT(ISBLANK(INDEX('glossaryterms-export'!H:H,_xlpm.rowNum))),ISBLANK(INDEX('glossaryterms-export'!I:I,_xlpm.rowNum))),"Ready to Fix",""))</f>
        <v/>
      </c>
    </row>
    <row r="1456" spans="6:6">
      <c r="F1456" s="1" t="str" cm="1">
        <f t="array" ref="F1456">_xlfn.LET(_xlpm.rowNum,MATCH(E1456,'glossaryterms-export'!C:C,0),
IF(AND(NOT(ISBLANK(INDEX('glossaryterms-export'!H:H,_xlpm.rowNum))),ISBLANK(INDEX('glossaryterms-export'!I:I,_xlpm.rowNum))),"Ready to Fix",""))</f>
        <v/>
      </c>
    </row>
    <row r="1457" spans="6:6">
      <c r="F1457" s="1" t="str" cm="1">
        <f t="array" ref="F1457">_xlfn.LET(_xlpm.rowNum,MATCH(E1457,'glossaryterms-export'!C:C,0),
IF(AND(NOT(ISBLANK(INDEX('glossaryterms-export'!H:H,_xlpm.rowNum))),ISBLANK(INDEX('glossaryterms-export'!I:I,_xlpm.rowNum))),"Ready to Fix",""))</f>
        <v/>
      </c>
    </row>
    <row r="1458" spans="6:6">
      <c r="F1458" s="1" t="str" cm="1">
        <f t="array" ref="F1458">_xlfn.LET(_xlpm.rowNum,MATCH(E1458,'glossaryterms-export'!C:C,0),
IF(AND(NOT(ISBLANK(INDEX('glossaryterms-export'!H:H,_xlpm.rowNum))),ISBLANK(INDEX('glossaryterms-export'!I:I,_xlpm.rowNum))),"Ready to Fix",""))</f>
        <v/>
      </c>
    </row>
    <row r="1459" spans="6:6">
      <c r="F1459" s="1" t="str" cm="1">
        <f t="array" ref="F1459">_xlfn.LET(_xlpm.rowNum,MATCH(E1459,'glossaryterms-export'!C:C,0),
IF(AND(NOT(ISBLANK(INDEX('glossaryterms-export'!H:H,_xlpm.rowNum))),ISBLANK(INDEX('glossaryterms-export'!I:I,_xlpm.rowNum))),"Ready to Fix",""))</f>
        <v/>
      </c>
    </row>
    <row r="1460" spans="6:6">
      <c r="F1460" s="1" t="str" cm="1">
        <f t="array" ref="F1460">_xlfn.LET(_xlpm.rowNum,MATCH(E1460,'glossaryterms-export'!C:C,0),
IF(AND(NOT(ISBLANK(INDEX('glossaryterms-export'!H:H,_xlpm.rowNum))),ISBLANK(INDEX('glossaryterms-export'!I:I,_xlpm.rowNum))),"Ready to Fix",""))</f>
        <v/>
      </c>
    </row>
    <row r="1461" spans="6:6">
      <c r="F1461" s="1" t="str" cm="1">
        <f t="array" ref="F1461">_xlfn.LET(_xlpm.rowNum,MATCH(E1461,'glossaryterms-export'!C:C,0),
IF(AND(NOT(ISBLANK(INDEX('glossaryterms-export'!H:H,_xlpm.rowNum))),ISBLANK(INDEX('glossaryterms-export'!I:I,_xlpm.rowNum))),"Ready to Fix",""))</f>
        <v/>
      </c>
    </row>
    <row r="1462" spans="6:6">
      <c r="F1462" s="1" t="str" cm="1">
        <f t="array" ref="F1462">_xlfn.LET(_xlpm.rowNum,MATCH(E1462,'glossaryterms-export'!C:C,0),
IF(AND(NOT(ISBLANK(INDEX('glossaryterms-export'!H:H,_xlpm.rowNum))),ISBLANK(INDEX('glossaryterms-export'!I:I,_xlpm.rowNum))),"Ready to Fix",""))</f>
        <v/>
      </c>
    </row>
    <row r="1463" spans="6:6">
      <c r="F1463" s="1" t="str" cm="1">
        <f t="array" ref="F1463">_xlfn.LET(_xlpm.rowNum,MATCH(E1463,'glossaryterms-export'!C:C,0),
IF(AND(NOT(ISBLANK(INDEX('glossaryterms-export'!H:H,_xlpm.rowNum))),ISBLANK(INDEX('glossaryterms-export'!I:I,_xlpm.rowNum))),"Ready to Fix",""))</f>
        <v/>
      </c>
    </row>
    <row r="1464" spans="6:6">
      <c r="F1464" s="1" t="str" cm="1">
        <f t="array" ref="F1464">_xlfn.LET(_xlpm.rowNum,MATCH(E1464,'glossaryterms-export'!C:C,0),
IF(AND(NOT(ISBLANK(INDEX('glossaryterms-export'!H:H,_xlpm.rowNum))),ISBLANK(INDEX('glossaryterms-export'!I:I,_xlpm.rowNum))),"Ready to Fix",""))</f>
        <v/>
      </c>
    </row>
    <row r="1465" spans="6:6">
      <c r="F1465" s="1" t="str" cm="1">
        <f t="array" ref="F1465">_xlfn.LET(_xlpm.rowNum,MATCH(E1465,'glossaryterms-export'!C:C,0),
IF(AND(NOT(ISBLANK(INDEX('glossaryterms-export'!H:H,_xlpm.rowNum))),ISBLANK(INDEX('glossaryterms-export'!I:I,_xlpm.rowNum))),"Ready to Fix",""))</f>
        <v/>
      </c>
    </row>
    <row r="1466" spans="6:6">
      <c r="F1466" s="1" t="str" cm="1">
        <f t="array" ref="F1466">_xlfn.LET(_xlpm.rowNum,MATCH(E1466,'glossaryterms-export'!C:C,0),
IF(AND(NOT(ISBLANK(INDEX('glossaryterms-export'!H:H,_xlpm.rowNum))),ISBLANK(INDEX('glossaryterms-export'!I:I,_xlpm.rowNum))),"Ready to Fix",""))</f>
        <v/>
      </c>
    </row>
    <row r="1467" spans="6:6">
      <c r="F1467" s="1" t="str" cm="1">
        <f t="array" ref="F1467">_xlfn.LET(_xlpm.rowNum,MATCH(E1467,'glossaryterms-export'!C:C,0),
IF(AND(NOT(ISBLANK(INDEX('glossaryterms-export'!H:H,_xlpm.rowNum))),ISBLANK(INDEX('glossaryterms-export'!I:I,_xlpm.rowNum))),"Ready to Fix",""))</f>
        <v/>
      </c>
    </row>
    <row r="1468" spans="6:6">
      <c r="F1468" s="1" t="str" cm="1">
        <f t="array" ref="F1468">_xlfn.LET(_xlpm.rowNum,MATCH(E1468,'glossaryterms-export'!C:C,0),
IF(AND(NOT(ISBLANK(INDEX('glossaryterms-export'!H:H,_xlpm.rowNum))),ISBLANK(INDEX('glossaryterms-export'!I:I,_xlpm.rowNum))),"Ready to Fix",""))</f>
        <v/>
      </c>
    </row>
    <row r="1469" spans="6:6">
      <c r="F1469" s="1" t="str" cm="1">
        <f t="array" ref="F1469">_xlfn.LET(_xlpm.rowNum,MATCH(E1469,'glossaryterms-export'!C:C,0),
IF(AND(NOT(ISBLANK(INDEX('glossaryterms-export'!H:H,_xlpm.rowNum))),ISBLANK(INDEX('glossaryterms-export'!I:I,_xlpm.rowNum))),"Ready to Fix",""))</f>
        <v/>
      </c>
    </row>
    <row r="1470" spans="6:6">
      <c r="F1470" s="1" t="str" cm="1">
        <f t="array" ref="F1470">_xlfn.LET(_xlpm.rowNum,MATCH(E1470,'glossaryterms-export'!C:C,0),
IF(AND(NOT(ISBLANK(INDEX('glossaryterms-export'!H:H,_xlpm.rowNum))),ISBLANK(INDEX('glossaryterms-export'!I:I,_xlpm.rowNum))),"Ready to Fix",""))</f>
        <v/>
      </c>
    </row>
    <row r="1471" spans="6:6">
      <c r="F1471" s="1" t="str" cm="1">
        <f t="array" ref="F1471">_xlfn.LET(_xlpm.rowNum,MATCH(E1471,'glossaryterms-export'!C:C,0),
IF(AND(NOT(ISBLANK(INDEX('glossaryterms-export'!H:H,_xlpm.rowNum))),ISBLANK(INDEX('glossaryterms-export'!I:I,_xlpm.rowNum))),"Ready to Fix",""))</f>
        <v/>
      </c>
    </row>
    <row r="1472" spans="6:6">
      <c r="F1472" s="1" t="str" cm="1">
        <f t="array" ref="F1472">_xlfn.LET(_xlpm.rowNum,MATCH(E1472,'glossaryterms-export'!C:C,0),
IF(AND(NOT(ISBLANK(INDEX('glossaryterms-export'!H:H,_xlpm.rowNum))),ISBLANK(INDEX('glossaryterms-export'!I:I,_xlpm.rowNum))),"Ready to Fix",""))</f>
        <v/>
      </c>
    </row>
    <row r="1473" spans="6:6">
      <c r="F1473" s="1" t="str" cm="1">
        <f t="array" ref="F1473">_xlfn.LET(_xlpm.rowNum,MATCH(E1473,'glossaryterms-export'!C:C,0),
IF(AND(NOT(ISBLANK(INDEX('glossaryterms-export'!H:H,_xlpm.rowNum))),ISBLANK(INDEX('glossaryterms-export'!I:I,_xlpm.rowNum))),"Ready to Fix",""))</f>
        <v/>
      </c>
    </row>
    <row r="1474" spans="6:6">
      <c r="F1474" s="1" t="str" cm="1">
        <f t="array" ref="F1474">_xlfn.LET(_xlpm.rowNum,MATCH(E1474,'glossaryterms-export'!C:C,0),
IF(AND(NOT(ISBLANK(INDEX('glossaryterms-export'!H:H,_xlpm.rowNum))),ISBLANK(INDEX('glossaryterms-export'!I:I,_xlpm.rowNum))),"Ready to Fix",""))</f>
        <v/>
      </c>
    </row>
    <row r="1475" spans="6:6">
      <c r="F1475" s="1" t="str" cm="1">
        <f t="array" ref="F1475">_xlfn.LET(_xlpm.rowNum,MATCH(E1475,'glossaryterms-export'!C:C,0),
IF(AND(NOT(ISBLANK(INDEX('glossaryterms-export'!H:H,_xlpm.rowNum))),ISBLANK(INDEX('glossaryterms-export'!I:I,_xlpm.rowNum))),"Ready to Fix",""))</f>
        <v/>
      </c>
    </row>
    <row r="1476" spans="6:6">
      <c r="F1476" s="1" t="str" cm="1">
        <f t="array" ref="F1476">_xlfn.LET(_xlpm.rowNum,MATCH(E1476,'glossaryterms-export'!C:C,0),
IF(AND(NOT(ISBLANK(INDEX('glossaryterms-export'!H:H,_xlpm.rowNum))),ISBLANK(INDEX('glossaryterms-export'!I:I,_xlpm.rowNum))),"Ready to Fix",""))</f>
        <v/>
      </c>
    </row>
    <row r="1477" spans="6:6">
      <c r="F1477" s="1" t="str" cm="1">
        <f t="array" ref="F1477">_xlfn.LET(_xlpm.rowNum,MATCH(E1477,'glossaryterms-export'!C:C,0),
IF(AND(NOT(ISBLANK(INDEX('glossaryterms-export'!H:H,_xlpm.rowNum))),ISBLANK(INDEX('glossaryterms-export'!I:I,_xlpm.rowNum))),"Ready to Fix",""))</f>
        <v/>
      </c>
    </row>
    <row r="1478" spans="6:6">
      <c r="F1478" s="1" t="str" cm="1">
        <f t="array" ref="F1478">_xlfn.LET(_xlpm.rowNum,MATCH(E1478,'glossaryterms-export'!C:C,0),
IF(AND(NOT(ISBLANK(INDEX('glossaryterms-export'!H:H,_xlpm.rowNum))),ISBLANK(INDEX('glossaryterms-export'!I:I,_xlpm.rowNum))),"Ready to Fix",""))</f>
        <v/>
      </c>
    </row>
    <row r="1479" spans="6:6">
      <c r="F1479" s="1" t="str" cm="1">
        <f t="array" ref="F1479">_xlfn.LET(_xlpm.rowNum,MATCH(E1479,'glossaryterms-export'!C:C,0),
IF(AND(NOT(ISBLANK(INDEX('glossaryterms-export'!H:H,_xlpm.rowNum))),ISBLANK(INDEX('glossaryterms-export'!I:I,_xlpm.rowNum))),"Ready to Fix",""))</f>
        <v/>
      </c>
    </row>
    <row r="1480" spans="6:6">
      <c r="F1480" s="1" t="str" cm="1">
        <f t="array" ref="F1480">_xlfn.LET(_xlpm.rowNum,MATCH(E1480,'glossaryterms-export'!C:C,0),
IF(AND(NOT(ISBLANK(INDEX('glossaryterms-export'!H:H,_xlpm.rowNum))),ISBLANK(INDEX('glossaryterms-export'!I:I,_xlpm.rowNum))),"Ready to Fix",""))</f>
        <v/>
      </c>
    </row>
    <row r="1481" spans="6:6">
      <c r="F1481" s="1" t="str" cm="1">
        <f t="array" ref="F1481">_xlfn.LET(_xlpm.rowNum,MATCH(E1481,'glossaryterms-export'!C:C,0),
IF(AND(NOT(ISBLANK(INDEX('glossaryterms-export'!H:H,_xlpm.rowNum))),ISBLANK(INDEX('glossaryterms-export'!I:I,_xlpm.rowNum))),"Ready to Fix",""))</f>
        <v/>
      </c>
    </row>
    <row r="1482" spans="6:6">
      <c r="F1482" s="1" t="str" cm="1">
        <f t="array" ref="F1482">_xlfn.LET(_xlpm.rowNum,MATCH(E1482,'glossaryterms-export'!C:C,0),
IF(AND(NOT(ISBLANK(INDEX('glossaryterms-export'!H:H,_xlpm.rowNum))),ISBLANK(INDEX('glossaryterms-export'!I:I,_xlpm.rowNum))),"Ready to Fix",""))</f>
        <v/>
      </c>
    </row>
    <row r="1483" spans="6:6">
      <c r="F1483" s="1" t="str" cm="1">
        <f t="array" ref="F1483">_xlfn.LET(_xlpm.rowNum,MATCH(E1483,'glossaryterms-export'!C:C,0),
IF(AND(NOT(ISBLANK(INDEX('glossaryterms-export'!H:H,_xlpm.rowNum))),ISBLANK(INDEX('glossaryterms-export'!I:I,_xlpm.rowNum))),"Ready to Fix",""))</f>
        <v/>
      </c>
    </row>
    <row r="1484" spans="6:6">
      <c r="F1484" s="1" t="str" cm="1">
        <f t="array" ref="F1484">_xlfn.LET(_xlpm.rowNum,MATCH(E1484,'glossaryterms-export'!C:C,0),
IF(AND(NOT(ISBLANK(INDEX('glossaryterms-export'!H:H,_xlpm.rowNum))),ISBLANK(INDEX('glossaryterms-export'!I:I,_xlpm.rowNum))),"Ready to Fix",""))</f>
        <v/>
      </c>
    </row>
    <row r="1485" spans="6:6">
      <c r="F1485" s="1" t="str" cm="1">
        <f t="array" ref="F1485">_xlfn.LET(_xlpm.rowNum,MATCH(E1485,'glossaryterms-export'!C:C,0),
IF(AND(NOT(ISBLANK(INDEX('glossaryterms-export'!H:H,_xlpm.rowNum))),ISBLANK(INDEX('glossaryterms-export'!I:I,_xlpm.rowNum))),"Ready to Fix",""))</f>
        <v/>
      </c>
    </row>
    <row r="1486" spans="6:6">
      <c r="F1486" s="1" t="str" cm="1">
        <f t="array" ref="F1486">_xlfn.LET(_xlpm.rowNum,MATCH(E1486,'glossaryterms-export'!C:C,0),
IF(AND(NOT(ISBLANK(INDEX('glossaryterms-export'!H:H,_xlpm.rowNum))),ISBLANK(INDEX('glossaryterms-export'!I:I,_xlpm.rowNum))),"Ready to Fix",""))</f>
        <v/>
      </c>
    </row>
    <row r="1487" spans="6:6">
      <c r="F1487" s="1" t="str" cm="1">
        <f t="array" ref="F1487">_xlfn.LET(_xlpm.rowNum,MATCH(E1487,'glossaryterms-export'!C:C,0),
IF(AND(NOT(ISBLANK(INDEX('glossaryterms-export'!H:H,_xlpm.rowNum))),ISBLANK(INDEX('glossaryterms-export'!I:I,_xlpm.rowNum))),"Ready to Fix",""))</f>
        <v/>
      </c>
    </row>
    <row r="1488" spans="6:6">
      <c r="F1488" s="1" t="str" cm="1">
        <f t="array" ref="F1488">_xlfn.LET(_xlpm.rowNum,MATCH(E1488,'glossaryterms-export'!C:C,0),
IF(AND(NOT(ISBLANK(INDEX('glossaryterms-export'!H:H,_xlpm.rowNum))),ISBLANK(INDEX('glossaryterms-export'!I:I,_xlpm.rowNum))),"Ready to Fix",""))</f>
        <v/>
      </c>
    </row>
    <row r="1489" spans="6:6">
      <c r="F1489" s="1" t="str" cm="1">
        <f t="array" ref="F1489">_xlfn.LET(_xlpm.rowNum,MATCH(E1489,'glossaryterms-export'!C:C,0),
IF(AND(NOT(ISBLANK(INDEX('glossaryterms-export'!H:H,_xlpm.rowNum))),ISBLANK(INDEX('glossaryterms-export'!I:I,_xlpm.rowNum))),"Ready to Fix",""))</f>
        <v/>
      </c>
    </row>
    <row r="1490" spans="6:6">
      <c r="F1490" s="1" t="str" cm="1">
        <f t="array" ref="F1490">_xlfn.LET(_xlpm.rowNum,MATCH(E1490,'glossaryterms-export'!C:C,0),
IF(AND(NOT(ISBLANK(INDEX('glossaryterms-export'!H:H,_xlpm.rowNum))),ISBLANK(INDEX('glossaryterms-export'!I:I,_xlpm.rowNum))),"Ready to Fix",""))</f>
        <v/>
      </c>
    </row>
    <row r="1491" spans="6:6">
      <c r="F1491" s="1" t="str" cm="1">
        <f t="array" ref="F1491">_xlfn.LET(_xlpm.rowNum,MATCH(E1491,'glossaryterms-export'!C:C,0),
IF(AND(NOT(ISBLANK(INDEX('glossaryterms-export'!H:H,_xlpm.rowNum))),ISBLANK(INDEX('glossaryterms-export'!I:I,_xlpm.rowNum))),"Ready to Fix",""))</f>
        <v/>
      </c>
    </row>
    <row r="1492" spans="6:6">
      <c r="F1492" s="1" t="str" cm="1">
        <f t="array" ref="F1492">_xlfn.LET(_xlpm.rowNum,MATCH(E1492,'glossaryterms-export'!C:C,0),
IF(AND(NOT(ISBLANK(INDEX('glossaryterms-export'!H:H,_xlpm.rowNum))),ISBLANK(INDEX('glossaryterms-export'!I:I,_xlpm.rowNum))),"Ready to Fix",""))</f>
        <v/>
      </c>
    </row>
    <row r="1493" spans="6:6">
      <c r="F1493" s="1" t="str" cm="1">
        <f t="array" ref="F1493">_xlfn.LET(_xlpm.rowNum,MATCH(E1493,'glossaryterms-export'!C:C,0),
IF(AND(NOT(ISBLANK(INDEX('glossaryterms-export'!H:H,_xlpm.rowNum))),ISBLANK(INDEX('glossaryterms-export'!I:I,_xlpm.rowNum))),"Ready to Fix",""))</f>
        <v/>
      </c>
    </row>
    <row r="1494" spans="6:6">
      <c r="F1494" s="1" t="str" cm="1">
        <f t="array" ref="F1494">_xlfn.LET(_xlpm.rowNum,MATCH(E1494,'glossaryterms-export'!C:C,0),
IF(AND(NOT(ISBLANK(INDEX('glossaryterms-export'!H:H,_xlpm.rowNum))),ISBLANK(INDEX('glossaryterms-export'!I:I,_xlpm.rowNum))),"Ready to Fix",""))</f>
        <v/>
      </c>
    </row>
    <row r="1495" spans="6:6">
      <c r="F1495" s="1" t="str" cm="1">
        <f t="array" ref="F1495">_xlfn.LET(_xlpm.rowNum,MATCH(E1495,'glossaryterms-export'!C:C,0),
IF(AND(NOT(ISBLANK(INDEX('glossaryterms-export'!H:H,_xlpm.rowNum))),ISBLANK(INDEX('glossaryterms-export'!I:I,_xlpm.rowNum))),"Ready to Fix",""))</f>
        <v/>
      </c>
    </row>
    <row r="1496" spans="6:6">
      <c r="F1496" s="1" t="str" cm="1">
        <f t="array" ref="F1496">_xlfn.LET(_xlpm.rowNum,MATCH(E1496,'glossaryterms-export'!C:C,0),
IF(AND(NOT(ISBLANK(INDEX('glossaryterms-export'!H:H,_xlpm.rowNum))),ISBLANK(INDEX('glossaryterms-export'!I:I,_xlpm.rowNum))),"Ready to Fix",""))</f>
        <v/>
      </c>
    </row>
    <row r="1497" spans="6:6">
      <c r="F1497" s="1" t="str" cm="1">
        <f t="array" ref="F1497">_xlfn.LET(_xlpm.rowNum,MATCH(E1497,'glossaryterms-export'!C:C,0),
IF(AND(NOT(ISBLANK(INDEX('glossaryterms-export'!H:H,_xlpm.rowNum))),ISBLANK(INDEX('glossaryterms-export'!I:I,_xlpm.rowNum))),"Ready to Fix",""))</f>
        <v/>
      </c>
    </row>
    <row r="1498" spans="6:6">
      <c r="F1498" s="1" t="str" cm="1">
        <f t="array" ref="F1498">_xlfn.LET(_xlpm.rowNum,MATCH(E1498,'glossaryterms-export'!C:C,0),
IF(AND(NOT(ISBLANK(INDEX('glossaryterms-export'!H:H,_xlpm.rowNum))),ISBLANK(INDEX('glossaryterms-export'!I:I,_xlpm.rowNum))),"Ready to Fix",""))</f>
        <v/>
      </c>
    </row>
    <row r="1499" spans="6:6">
      <c r="F1499" s="1" t="str" cm="1">
        <f t="array" ref="F1499">_xlfn.LET(_xlpm.rowNum,MATCH(E1499,'glossaryterms-export'!C:C,0),
IF(AND(NOT(ISBLANK(INDEX('glossaryterms-export'!H:H,_xlpm.rowNum))),ISBLANK(INDEX('glossaryterms-export'!I:I,_xlpm.rowNum))),"Ready to Fix",""))</f>
        <v/>
      </c>
    </row>
    <row r="1500" spans="6:6">
      <c r="F1500" s="1" t="str" cm="1">
        <f t="array" ref="F1500">_xlfn.LET(_xlpm.rowNum,MATCH(E1500,'glossaryterms-export'!C:C,0),
IF(AND(NOT(ISBLANK(INDEX('glossaryterms-export'!H:H,_xlpm.rowNum))),ISBLANK(INDEX('glossaryterms-export'!I:I,_xlpm.rowNum))),"Ready to Fix",""))</f>
        <v/>
      </c>
    </row>
    <row r="1501" spans="6:6">
      <c r="F1501" s="1" t="str" cm="1">
        <f t="array" ref="F1501">_xlfn.LET(_xlpm.rowNum,MATCH(E1501,'glossaryterms-export'!C:C,0),
IF(AND(NOT(ISBLANK(INDEX('glossaryterms-export'!H:H,_xlpm.rowNum))),ISBLANK(INDEX('glossaryterms-export'!I:I,_xlpm.rowNum))),"Ready to Fix",""))</f>
        <v/>
      </c>
    </row>
    <row r="1502" spans="6:6">
      <c r="F1502" s="1" t="str" cm="1">
        <f t="array" ref="F1502">_xlfn.LET(_xlpm.rowNum,MATCH(E1502,'glossaryterms-export'!C:C,0),
IF(AND(NOT(ISBLANK(INDEX('glossaryterms-export'!H:H,_xlpm.rowNum))),ISBLANK(INDEX('glossaryterms-export'!I:I,_xlpm.rowNum))),"Ready to Fix",""))</f>
        <v/>
      </c>
    </row>
    <row r="1503" spans="6:6">
      <c r="F1503" s="1" t="str" cm="1">
        <f t="array" ref="F1503">_xlfn.LET(_xlpm.rowNum,MATCH(E1503,'glossaryterms-export'!C:C,0),
IF(AND(NOT(ISBLANK(INDEX('glossaryterms-export'!H:H,_xlpm.rowNum))),ISBLANK(INDEX('glossaryterms-export'!I:I,_xlpm.rowNum))),"Ready to Fix",""))</f>
        <v/>
      </c>
    </row>
    <row r="1504" spans="6:6">
      <c r="F1504" s="1" t="str" cm="1">
        <f t="array" ref="F1504">_xlfn.LET(_xlpm.rowNum,MATCH(E1504,'glossaryterms-export'!C:C,0),
IF(AND(NOT(ISBLANK(INDEX('glossaryterms-export'!H:H,_xlpm.rowNum))),ISBLANK(INDEX('glossaryterms-export'!I:I,_xlpm.rowNum))),"Ready to Fix",""))</f>
        <v/>
      </c>
    </row>
    <row r="1505" spans="6:6">
      <c r="F1505" s="1" t="str" cm="1">
        <f t="array" ref="F1505">_xlfn.LET(_xlpm.rowNum,MATCH(E1505,'glossaryterms-export'!C:C,0),
IF(AND(NOT(ISBLANK(INDEX('glossaryterms-export'!H:H,_xlpm.rowNum))),ISBLANK(INDEX('glossaryterms-export'!I:I,_xlpm.rowNum))),"Ready to Fix",""))</f>
        <v/>
      </c>
    </row>
    <row r="1506" spans="6:6">
      <c r="F1506" s="1" t="str" cm="1">
        <f t="array" ref="F1506">_xlfn.LET(_xlpm.rowNum,MATCH(E1506,'glossaryterms-export'!C:C,0),
IF(AND(NOT(ISBLANK(INDEX('glossaryterms-export'!H:H,_xlpm.rowNum))),ISBLANK(INDEX('glossaryterms-export'!I:I,_xlpm.rowNum))),"Ready to Fix",""))</f>
        <v/>
      </c>
    </row>
    <row r="1507" spans="6:6">
      <c r="F1507" s="1" t="str" cm="1">
        <f t="array" ref="F1507">_xlfn.LET(_xlpm.rowNum,MATCH(E1507,'glossaryterms-export'!C:C,0),
IF(AND(NOT(ISBLANK(INDEX('glossaryterms-export'!H:H,_xlpm.rowNum))),ISBLANK(INDEX('glossaryterms-export'!I:I,_xlpm.rowNum))),"Ready to Fix",""))</f>
        <v/>
      </c>
    </row>
    <row r="1508" spans="6:6">
      <c r="F1508" s="1" t="str" cm="1">
        <f t="array" ref="F1508">_xlfn.LET(_xlpm.rowNum,MATCH(E1508,'glossaryterms-export'!C:C,0),
IF(AND(NOT(ISBLANK(INDEX('glossaryterms-export'!H:H,_xlpm.rowNum))),ISBLANK(INDEX('glossaryterms-export'!I:I,_xlpm.rowNum))),"Ready to Fix",""))</f>
        <v/>
      </c>
    </row>
    <row r="1509" spans="6:6">
      <c r="F1509" s="1" t="str" cm="1">
        <f t="array" ref="F1509">_xlfn.LET(_xlpm.rowNum,MATCH(E1509,'glossaryterms-export'!C:C,0),
IF(AND(NOT(ISBLANK(INDEX('glossaryterms-export'!H:H,_xlpm.rowNum))),ISBLANK(INDEX('glossaryterms-export'!I:I,_xlpm.rowNum))),"Ready to Fix",""))</f>
        <v/>
      </c>
    </row>
    <row r="1510" spans="6:6">
      <c r="F1510" s="1" t="str" cm="1">
        <f t="array" ref="F1510">_xlfn.LET(_xlpm.rowNum,MATCH(E1510,'glossaryterms-export'!C:C,0),
IF(AND(NOT(ISBLANK(INDEX('glossaryterms-export'!H:H,_xlpm.rowNum))),ISBLANK(INDEX('glossaryterms-export'!I:I,_xlpm.rowNum))),"Ready to Fix",""))</f>
        <v/>
      </c>
    </row>
    <row r="1511" spans="6:6">
      <c r="F1511" s="1" t="str" cm="1">
        <f t="array" ref="F1511">_xlfn.LET(_xlpm.rowNum,MATCH(E1511,'glossaryterms-export'!C:C,0),
IF(AND(NOT(ISBLANK(INDEX('glossaryterms-export'!H:H,_xlpm.rowNum))),ISBLANK(INDEX('glossaryterms-export'!I:I,_xlpm.rowNum))),"Ready to Fix",""))</f>
        <v/>
      </c>
    </row>
    <row r="1512" spans="6:6">
      <c r="F1512" s="1" t="str" cm="1">
        <f t="array" ref="F1512">_xlfn.LET(_xlpm.rowNum,MATCH(E1512,'glossaryterms-export'!C:C,0),
IF(AND(NOT(ISBLANK(INDEX('glossaryterms-export'!H:H,_xlpm.rowNum))),ISBLANK(INDEX('glossaryterms-export'!I:I,_xlpm.rowNum))),"Ready to Fix",""))</f>
        <v/>
      </c>
    </row>
    <row r="1513" spans="6:6">
      <c r="F1513" s="1" t="str" cm="1">
        <f t="array" ref="F1513">_xlfn.LET(_xlpm.rowNum,MATCH(E1513,'glossaryterms-export'!C:C,0),
IF(AND(NOT(ISBLANK(INDEX('glossaryterms-export'!H:H,_xlpm.rowNum))),ISBLANK(INDEX('glossaryterms-export'!I:I,_xlpm.rowNum))),"Ready to Fix",""))</f>
        <v/>
      </c>
    </row>
    <row r="1514" spans="6:6">
      <c r="F1514" s="1" t="str" cm="1">
        <f t="array" ref="F1514">_xlfn.LET(_xlpm.rowNum,MATCH(E1514,'glossaryterms-export'!C:C,0),
IF(AND(NOT(ISBLANK(INDEX('glossaryterms-export'!H:H,_xlpm.rowNum))),ISBLANK(INDEX('glossaryterms-export'!I:I,_xlpm.rowNum))),"Ready to Fix",""))</f>
        <v/>
      </c>
    </row>
    <row r="1515" spans="6:6">
      <c r="F1515" s="1" t="str" cm="1">
        <f t="array" ref="F1515">_xlfn.LET(_xlpm.rowNum,MATCH(E1515,'glossaryterms-export'!C:C,0),
IF(AND(NOT(ISBLANK(INDEX('glossaryterms-export'!H:H,_xlpm.rowNum))),ISBLANK(INDEX('glossaryterms-export'!I:I,_xlpm.rowNum))),"Ready to Fix",""))</f>
        <v/>
      </c>
    </row>
    <row r="1516" spans="6:6">
      <c r="F1516" s="1" t="str" cm="1">
        <f t="array" ref="F1516">_xlfn.LET(_xlpm.rowNum,MATCH(E1516,'glossaryterms-export'!C:C,0),
IF(AND(NOT(ISBLANK(INDEX('glossaryterms-export'!H:H,_xlpm.rowNum))),ISBLANK(INDEX('glossaryterms-export'!I:I,_xlpm.rowNum))),"Ready to Fix",""))</f>
        <v/>
      </c>
    </row>
    <row r="1517" spans="6:6">
      <c r="F1517" s="1" t="str" cm="1">
        <f t="array" ref="F1517">_xlfn.LET(_xlpm.rowNum,MATCH(E1517,'glossaryterms-export'!C:C,0),
IF(AND(NOT(ISBLANK(INDEX('glossaryterms-export'!H:H,_xlpm.rowNum))),ISBLANK(INDEX('glossaryterms-export'!I:I,_xlpm.rowNum))),"Ready to Fix",""))</f>
        <v/>
      </c>
    </row>
    <row r="1518" spans="6:6">
      <c r="F1518" s="1" t="str" cm="1">
        <f t="array" ref="F1518">_xlfn.LET(_xlpm.rowNum,MATCH(E1518,'glossaryterms-export'!C:C,0),
IF(AND(NOT(ISBLANK(INDEX('glossaryterms-export'!H:H,_xlpm.rowNum))),ISBLANK(INDEX('glossaryterms-export'!I:I,_xlpm.rowNum))),"Ready to Fix",""))</f>
        <v/>
      </c>
    </row>
    <row r="1519" spans="6:6">
      <c r="F1519" s="1" t="str" cm="1">
        <f t="array" ref="F1519">_xlfn.LET(_xlpm.rowNum,MATCH(E1519,'glossaryterms-export'!C:C,0),
IF(AND(NOT(ISBLANK(INDEX('glossaryterms-export'!H:H,_xlpm.rowNum))),ISBLANK(INDEX('glossaryterms-export'!I:I,_xlpm.rowNum))),"Ready to Fix",""))</f>
        <v/>
      </c>
    </row>
    <row r="1520" spans="6:6">
      <c r="F1520" s="1" t="str" cm="1">
        <f t="array" ref="F1520">_xlfn.LET(_xlpm.rowNum,MATCH(E1520,'glossaryterms-export'!C:C,0),
IF(AND(NOT(ISBLANK(INDEX('glossaryterms-export'!H:H,_xlpm.rowNum))),ISBLANK(INDEX('glossaryterms-export'!I:I,_xlpm.rowNum))),"Ready to Fix",""))</f>
        <v/>
      </c>
    </row>
    <row r="1521" spans="6:6">
      <c r="F1521" s="1" t="str" cm="1">
        <f t="array" ref="F1521">_xlfn.LET(_xlpm.rowNum,MATCH(E1521,'glossaryterms-export'!C:C,0),
IF(AND(NOT(ISBLANK(INDEX('glossaryterms-export'!H:H,_xlpm.rowNum))),ISBLANK(INDEX('glossaryterms-export'!I:I,_xlpm.rowNum))),"Ready to Fix",""))</f>
        <v/>
      </c>
    </row>
    <row r="1522" spans="6:6">
      <c r="F1522" s="1" t="str" cm="1">
        <f t="array" ref="F1522">_xlfn.LET(_xlpm.rowNum,MATCH(E1522,'glossaryterms-export'!C:C,0),
IF(AND(NOT(ISBLANK(INDEX('glossaryterms-export'!H:H,_xlpm.rowNum))),ISBLANK(INDEX('glossaryterms-export'!I:I,_xlpm.rowNum))),"Ready to Fix",""))</f>
        <v/>
      </c>
    </row>
    <row r="1523" spans="6:6">
      <c r="F1523" s="1" t="str" cm="1">
        <f t="array" ref="F1523">_xlfn.LET(_xlpm.rowNum,MATCH(E1523,'glossaryterms-export'!C:C,0),
IF(AND(NOT(ISBLANK(INDEX('glossaryterms-export'!H:H,_xlpm.rowNum))),ISBLANK(INDEX('glossaryterms-export'!I:I,_xlpm.rowNum))),"Ready to Fix",""))</f>
        <v/>
      </c>
    </row>
    <row r="1524" spans="6:6">
      <c r="F1524" s="1" t="str" cm="1">
        <f t="array" ref="F1524">_xlfn.LET(_xlpm.rowNum,MATCH(E1524,'glossaryterms-export'!C:C,0),
IF(AND(NOT(ISBLANK(INDEX('glossaryterms-export'!H:H,_xlpm.rowNum))),ISBLANK(INDEX('glossaryterms-export'!I:I,_xlpm.rowNum))),"Ready to Fix",""))</f>
        <v/>
      </c>
    </row>
    <row r="1525" spans="6:6">
      <c r="F1525" s="1" t="str" cm="1">
        <f t="array" ref="F1525">_xlfn.LET(_xlpm.rowNum,MATCH(E1525,'glossaryterms-export'!C:C,0),
IF(AND(NOT(ISBLANK(INDEX('glossaryterms-export'!H:H,_xlpm.rowNum))),ISBLANK(INDEX('glossaryterms-export'!I:I,_xlpm.rowNum))),"Ready to Fix",""))</f>
        <v/>
      </c>
    </row>
    <row r="1526" spans="6:6">
      <c r="F1526" s="1" t="str" cm="1">
        <f t="array" ref="F1526">_xlfn.LET(_xlpm.rowNum,MATCH(E1526,'glossaryterms-export'!C:C,0),
IF(AND(NOT(ISBLANK(INDEX('glossaryterms-export'!H:H,_xlpm.rowNum))),ISBLANK(INDEX('glossaryterms-export'!I:I,_xlpm.rowNum))),"Ready to Fix",""))</f>
        <v/>
      </c>
    </row>
    <row r="1527" spans="6:6">
      <c r="F1527" s="1" t="str" cm="1">
        <f t="array" ref="F1527">_xlfn.LET(_xlpm.rowNum,MATCH(E1527,'glossaryterms-export'!C:C,0),
IF(AND(NOT(ISBLANK(INDEX('glossaryterms-export'!H:H,_xlpm.rowNum))),ISBLANK(INDEX('glossaryterms-export'!I:I,_xlpm.rowNum))),"Ready to Fix",""))</f>
        <v/>
      </c>
    </row>
    <row r="1528" spans="6:6">
      <c r="F1528" s="1" t="str" cm="1">
        <f t="array" ref="F1528">_xlfn.LET(_xlpm.rowNum,MATCH(E1528,'glossaryterms-export'!C:C,0),
IF(AND(NOT(ISBLANK(INDEX('glossaryterms-export'!H:H,_xlpm.rowNum))),ISBLANK(INDEX('glossaryterms-export'!I:I,_xlpm.rowNum))),"Ready to Fix",""))</f>
        <v/>
      </c>
    </row>
    <row r="1529" spans="6:6">
      <c r="F1529" s="1" t="str" cm="1">
        <f t="array" ref="F1529">_xlfn.LET(_xlpm.rowNum,MATCH(E1529,'glossaryterms-export'!C:C,0),
IF(AND(NOT(ISBLANK(INDEX('glossaryterms-export'!H:H,_xlpm.rowNum))),ISBLANK(INDEX('glossaryterms-export'!I:I,_xlpm.rowNum))),"Ready to Fix",""))</f>
        <v/>
      </c>
    </row>
    <row r="1530" spans="6:6">
      <c r="F1530" s="1" t="str" cm="1">
        <f t="array" ref="F1530">_xlfn.LET(_xlpm.rowNum,MATCH(E1530,'glossaryterms-export'!C:C,0),
IF(AND(NOT(ISBLANK(INDEX('glossaryterms-export'!H:H,_xlpm.rowNum))),ISBLANK(INDEX('glossaryterms-export'!I:I,_xlpm.rowNum))),"Ready to Fix",""))</f>
        <v/>
      </c>
    </row>
    <row r="1531" spans="6:6">
      <c r="F1531" s="1" t="str" cm="1">
        <f t="array" ref="F1531">_xlfn.LET(_xlpm.rowNum,MATCH(E1531,'glossaryterms-export'!C:C,0),
IF(AND(NOT(ISBLANK(INDEX('glossaryterms-export'!H:H,_xlpm.rowNum))),ISBLANK(INDEX('glossaryterms-export'!I:I,_xlpm.rowNum))),"Ready to Fix",""))</f>
        <v/>
      </c>
    </row>
    <row r="1532" spans="6:6">
      <c r="F1532" s="1" t="str" cm="1">
        <f t="array" ref="F1532">_xlfn.LET(_xlpm.rowNum,MATCH(E1532,'glossaryterms-export'!C:C,0),
IF(AND(NOT(ISBLANK(INDEX('glossaryterms-export'!H:H,_xlpm.rowNum))),ISBLANK(INDEX('glossaryterms-export'!I:I,_xlpm.rowNum))),"Ready to Fix",""))</f>
        <v/>
      </c>
    </row>
    <row r="1533" spans="6:6">
      <c r="F1533" s="1" t="str" cm="1">
        <f t="array" ref="F1533">_xlfn.LET(_xlpm.rowNum,MATCH(E1533,'glossaryterms-export'!C:C,0),
IF(AND(NOT(ISBLANK(INDEX('glossaryterms-export'!H:H,_xlpm.rowNum))),ISBLANK(INDEX('glossaryterms-export'!I:I,_xlpm.rowNum))),"Ready to Fix",""))</f>
        <v/>
      </c>
    </row>
    <row r="1534" spans="6:6">
      <c r="F1534" s="1" t="str" cm="1">
        <f t="array" ref="F1534">_xlfn.LET(_xlpm.rowNum,MATCH(E1534,'glossaryterms-export'!C:C,0),
IF(AND(NOT(ISBLANK(INDEX('glossaryterms-export'!H:H,_xlpm.rowNum))),ISBLANK(INDEX('glossaryterms-export'!I:I,_xlpm.rowNum))),"Ready to Fix",""))</f>
        <v/>
      </c>
    </row>
    <row r="1535" spans="6:6">
      <c r="F1535" s="1" t="str" cm="1">
        <f t="array" ref="F1535">_xlfn.LET(_xlpm.rowNum,MATCH(E1535,'glossaryterms-export'!C:C,0),
IF(AND(NOT(ISBLANK(INDEX('glossaryterms-export'!H:H,_xlpm.rowNum))),ISBLANK(INDEX('glossaryterms-export'!I:I,_xlpm.rowNum))),"Ready to Fix",""))</f>
        <v/>
      </c>
    </row>
    <row r="1536" spans="6:6">
      <c r="F1536" s="1" t="str" cm="1">
        <f t="array" ref="F1536">_xlfn.LET(_xlpm.rowNum,MATCH(E1536,'glossaryterms-export'!C:C,0),
IF(AND(NOT(ISBLANK(INDEX('glossaryterms-export'!H:H,_xlpm.rowNum))),ISBLANK(INDEX('glossaryterms-export'!I:I,_xlpm.rowNum))),"Ready to Fix",""))</f>
        <v/>
      </c>
    </row>
    <row r="1537" spans="6:6">
      <c r="F1537" s="1" t="str" cm="1">
        <f t="array" ref="F1537">_xlfn.LET(_xlpm.rowNum,MATCH(E1537,'glossaryterms-export'!C:C,0),
IF(AND(NOT(ISBLANK(INDEX('glossaryterms-export'!H:H,_xlpm.rowNum))),ISBLANK(INDEX('glossaryterms-export'!I:I,_xlpm.rowNum))),"Ready to Fix",""))</f>
        <v/>
      </c>
    </row>
    <row r="1538" spans="6:6">
      <c r="F1538" s="1" t="str" cm="1">
        <f t="array" ref="F1538">_xlfn.LET(_xlpm.rowNum,MATCH(E1538,'glossaryterms-export'!C:C,0),
IF(AND(NOT(ISBLANK(INDEX('glossaryterms-export'!H:H,_xlpm.rowNum))),ISBLANK(INDEX('glossaryterms-export'!I:I,_xlpm.rowNum))),"Ready to Fix",""))</f>
        <v/>
      </c>
    </row>
    <row r="1539" spans="6:6">
      <c r="F1539" s="1" t="str" cm="1">
        <f t="array" ref="F1539">_xlfn.LET(_xlpm.rowNum,MATCH(E1539,'glossaryterms-export'!C:C,0),
IF(AND(NOT(ISBLANK(INDEX('glossaryterms-export'!H:H,_xlpm.rowNum))),ISBLANK(INDEX('glossaryterms-export'!I:I,_xlpm.rowNum))),"Ready to Fix",""))</f>
        <v/>
      </c>
    </row>
    <row r="1540" spans="6:6">
      <c r="F1540" s="1" t="str" cm="1">
        <f t="array" ref="F1540">_xlfn.LET(_xlpm.rowNum,MATCH(E1540,'glossaryterms-export'!C:C,0),
IF(AND(NOT(ISBLANK(INDEX('glossaryterms-export'!H:H,_xlpm.rowNum))),ISBLANK(INDEX('glossaryterms-export'!I:I,_xlpm.rowNum))),"Ready to Fix",""))</f>
        <v/>
      </c>
    </row>
    <row r="1541" spans="6:6">
      <c r="F1541" s="1" t="str" cm="1">
        <f t="array" ref="F1541">_xlfn.LET(_xlpm.rowNum,MATCH(E1541,'glossaryterms-export'!C:C,0),
IF(AND(NOT(ISBLANK(INDEX('glossaryterms-export'!H:H,_xlpm.rowNum))),ISBLANK(INDEX('glossaryterms-export'!I:I,_xlpm.rowNum))),"Ready to Fix",""))</f>
        <v/>
      </c>
    </row>
    <row r="1542" spans="6:6">
      <c r="F1542" s="1" t="str" cm="1">
        <f t="array" ref="F1542">_xlfn.LET(_xlpm.rowNum,MATCH(E1542,'glossaryterms-export'!C:C,0),
IF(AND(NOT(ISBLANK(INDEX('glossaryterms-export'!H:H,_xlpm.rowNum))),ISBLANK(INDEX('glossaryterms-export'!I:I,_xlpm.rowNum))),"Ready to Fix",""))</f>
        <v/>
      </c>
    </row>
    <row r="1543" spans="6:6">
      <c r="F1543" s="1" t="str" cm="1">
        <f t="array" ref="F1543">_xlfn.LET(_xlpm.rowNum,MATCH(E1543,'glossaryterms-export'!C:C,0),
IF(AND(NOT(ISBLANK(INDEX('glossaryterms-export'!H:H,_xlpm.rowNum))),ISBLANK(INDEX('glossaryterms-export'!I:I,_xlpm.rowNum))),"Ready to Fix",""))</f>
        <v/>
      </c>
    </row>
    <row r="1544" spans="6:6">
      <c r="F1544" s="1" t="str" cm="1">
        <f t="array" ref="F1544">_xlfn.LET(_xlpm.rowNum,MATCH(E1544,'glossaryterms-export'!C:C,0),
IF(AND(NOT(ISBLANK(INDEX('glossaryterms-export'!H:H,_xlpm.rowNum))),ISBLANK(INDEX('glossaryterms-export'!I:I,_xlpm.rowNum))),"Ready to Fix",""))</f>
        <v/>
      </c>
    </row>
    <row r="1545" spans="6:6">
      <c r="F1545" s="1" t="str" cm="1">
        <f t="array" ref="F1545">_xlfn.LET(_xlpm.rowNum,MATCH(E1545,'glossaryterms-export'!C:C,0),
IF(AND(NOT(ISBLANK(INDEX('glossaryterms-export'!H:H,_xlpm.rowNum))),ISBLANK(INDEX('glossaryterms-export'!I:I,_xlpm.rowNum))),"Ready to Fix",""))</f>
        <v/>
      </c>
    </row>
    <row r="1546" spans="6:6">
      <c r="F1546" s="1" t="str" cm="1">
        <f t="array" ref="F1546">_xlfn.LET(_xlpm.rowNum,MATCH(E1546,'glossaryterms-export'!C:C,0),
IF(AND(NOT(ISBLANK(INDEX('glossaryterms-export'!H:H,_xlpm.rowNum))),ISBLANK(INDEX('glossaryterms-export'!I:I,_xlpm.rowNum))),"Ready to Fix",""))</f>
        <v/>
      </c>
    </row>
    <row r="1547" spans="6:6">
      <c r="F1547" s="1" t="str" cm="1">
        <f t="array" ref="F1547">_xlfn.LET(_xlpm.rowNum,MATCH(E1547,'glossaryterms-export'!C:C,0),
IF(AND(NOT(ISBLANK(INDEX('glossaryterms-export'!H:H,_xlpm.rowNum))),ISBLANK(INDEX('glossaryterms-export'!I:I,_xlpm.rowNum))),"Ready to Fix",""))</f>
        <v/>
      </c>
    </row>
    <row r="1548" spans="6:6">
      <c r="F1548" s="1" t="str" cm="1">
        <f t="array" ref="F1548">_xlfn.LET(_xlpm.rowNum,MATCH(E1548,'glossaryterms-export'!C:C,0),
IF(AND(NOT(ISBLANK(INDEX('glossaryterms-export'!H:H,_xlpm.rowNum))),ISBLANK(INDEX('glossaryterms-export'!I:I,_xlpm.rowNum))),"Ready to Fix",""))</f>
        <v/>
      </c>
    </row>
    <row r="1549" spans="6:6">
      <c r="F1549" s="1" t="str" cm="1">
        <f t="array" ref="F1549">_xlfn.LET(_xlpm.rowNum,MATCH(E1549,'glossaryterms-export'!C:C,0),
IF(AND(NOT(ISBLANK(INDEX('glossaryterms-export'!H:H,_xlpm.rowNum))),ISBLANK(INDEX('glossaryterms-export'!I:I,_xlpm.rowNum))),"Ready to Fix",""))</f>
        <v/>
      </c>
    </row>
    <row r="1550" spans="6:6">
      <c r="F1550" s="1" t="str" cm="1">
        <f t="array" ref="F1550">_xlfn.LET(_xlpm.rowNum,MATCH(E1550,'glossaryterms-export'!C:C,0),
IF(AND(NOT(ISBLANK(INDEX('glossaryterms-export'!H:H,_xlpm.rowNum))),ISBLANK(INDEX('glossaryterms-export'!I:I,_xlpm.rowNum))),"Ready to Fix",""))</f>
        <v/>
      </c>
    </row>
    <row r="1551" spans="6:6">
      <c r="F1551" s="1" t="str" cm="1">
        <f t="array" ref="F1551">_xlfn.LET(_xlpm.rowNum,MATCH(E1551,'glossaryterms-export'!C:C,0),
IF(AND(NOT(ISBLANK(INDEX('glossaryterms-export'!H:H,_xlpm.rowNum))),ISBLANK(INDEX('glossaryterms-export'!I:I,_xlpm.rowNum))),"Ready to Fix",""))</f>
        <v/>
      </c>
    </row>
    <row r="1552" spans="6:6">
      <c r="F1552" s="1" t="str" cm="1">
        <f t="array" ref="F1552">_xlfn.LET(_xlpm.rowNum,MATCH(E1552,'glossaryterms-export'!C:C,0),
IF(AND(NOT(ISBLANK(INDEX('glossaryterms-export'!H:H,_xlpm.rowNum))),ISBLANK(INDEX('glossaryterms-export'!I:I,_xlpm.rowNum))),"Ready to Fix",""))</f>
        <v/>
      </c>
    </row>
    <row r="1553" spans="6:6">
      <c r="F1553" s="1" t="str" cm="1">
        <f t="array" ref="F1553">_xlfn.LET(_xlpm.rowNum,MATCH(E1553,'glossaryterms-export'!C:C,0),
IF(AND(NOT(ISBLANK(INDEX('glossaryterms-export'!H:H,_xlpm.rowNum))),ISBLANK(INDEX('glossaryterms-export'!I:I,_xlpm.rowNum))),"Ready to Fix",""))</f>
        <v/>
      </c>
    </row>
    <row r="1554" spans="6:6">
      <c r="F1554" s="1" t="str" cm="1">
        <f t="array" ref="F1554">_xlfn.LET(_xlpm.rowNum,MATCH(E1554,'glossaryterms-export'!C:C,0),
IF(AND(NOT(ISBLANK(INDEX('glossaryterms-export'!H:H,_xlpm.rowNum))),ISBLANK(INDEX('glossaryterms-export'!I:I,_xlpm.rowNum))),"Ready to Fix",""))</f>
        <v/>
      </c>
    </row>
    <row r="1555" spans="6:6">
      <c r="F1555" s="1" t="str" cm="1">
        <f t="array" ref="F1555">_xlfn.LET(_xlpm.rowNum,MATCH(E1555,'glossaryterms-export'!C:C,0),
IF(AND(NOT(ISBLANK(INDEX('glossaryterms-export'!H:H,_xlpm.rowNum))),ISBLANK(INDEX('glossaryterms-export'!I:I,_xlpm.rowNum))),"Ready to Fix",""))</f>
        <v/>
      </c>
    </row>
    <row r="1556" spans="6:6">
      <c r="F1556" s="1" t="str" cm="1">
        <f t="array" ref="F1556">_xlfn.LET(_xlpm.rowNum,MATCH(E1556,'glossaryterms-export'!C:C,0),
IF(AND(NOT(ISBLANK(INDEX('glossaryterms-export'!H:H,_xlpm.rowNum))),ISBLANK(INDEX('glossaryterms-export'!I:I,_xlpm.rowNum))),"Ready to Fix",""))</f>
        <v/>
      </c>
    </row>
    <row r="1557" spans="6:6">
      <c r="F1557" s="1" t="str" cm="1">
        <f t="array" ref="F1557">_xlfn.LET(_xlpm.rowNum,MATCH(E1557,'glossaryterms-export'!C:C,0),
IF(AND(NOT(ISBLANK(INDEX('glossaryterms-export'!H:H,_xlpm.rowNum))),ISBLANK(INDEX('glossaryterms-export'!I:I,_xlpm.rowNum))),"Ready to Fix",""))</f>
        <v/>
      </c>
    </row>
    <row r="1558" spans="6:6">
      <c r="F1558" s="1" t="str" cm="1">
        <f t="array" ref="F1558">_xlfn.LET(_xlpm.rowNum,MATCH(E1558,'glossaryterms-export'!C:C,0),
IF(AND(NOT(ISBLANK(INDEX('glossaryterms-export'!H:H,_xlpm.rowNum))),ISBLANK(INDEX('glossaryterms-export'!I:I,_xlpm.rowNum))),"Ready to Fix",""))</f>
        <v/>
      </c>
    </row>
    <row r="1559" spans="6:6">
      <c r="F1559" s="1" t="str" cm="1">
        <f t="array" ref="F1559">_xlfn.LET(_xlpm.rowNum,MATCH(E1559,'glossaryterms-export'!C:C,0),
IF(AND(NOT(ISBLANK(INDEX('glossaryterms-export'!H:H,_xlpm.rowNum))),ISBLANK(INDEX('glossaryterms-export'!I:I,_xlpm.rowNum))),"Ready to Fix",""))</f>
        <v/>
      </c>
    </row>
    <row r="1560" spans="6:6">
      <c r="F1560" s="1" t="str" cm="1">
        <f t="array" ref="F1560">_xlfn.LET(_xlpm.rowNum,MATCH(E1560,'glossaryterms-export'!C:C,0),
IF(AND(NOT(ISBLANK(INDEX('glossaryterms-export'!H:H,_xlpm.rowNum))),ISBLANK(INDEX('glossaryterms-export'!I:I,_xlpm.rowNum))),"Ready to Fix",""))</f>
        <v/>
      </c>
    </row>
    <row r="1561" spans="6:6">
      <c r="F1561" s="1" t="str" cm="1">
        <f t="array" ref="F1561">_xlfn.LET(_xlpm.rowNum,MATCH(E1561,'glossaryterms-export'!C:C,0),
IF(AND(NOT(ISBLANK(INDEX('glossaryterms-export'!H:H,_xlpm.rowNum))),ISBLANK(INDEX('glossaryterms-export'!I:I,_xlpm.rowNum))),"Ready to Fix",""))</f>
        <v/>
      </c>
    </row>
    <row r="1562" spans="6:6">
      <c r="F1562" s="1" t="str" cm="1">
        <f t="array" ref="F1562">_xlfn.LET(_xlpm.rowNum,MATCH(E1562,'glossaryterms-export'!C:C,0),
IF(AND(NOT(ISBLANK(INDEX('glossaryterms-export'!H:H,_xlpm.rowNum))),ISBLANK(INDEX('glossaryterms-export'!I:I,_xlpm.rowNum))),"Ready to Fix",""))</f>
        <v/>
      </c>
    </row>
    <row r="1563" spans="6:6">
      <c r="F1563" s="1" t="str" cm="1">
        <f t="array" ref="F1563">_xlfn.LET(_xlpm.rowNum,MATCH(E1563,'glossaryterms-export'!C:C,0),
IF(AND(NOT(ISBLANK(INDEX('glossaryterms-export'!H:H,_xlpm.rowNum))),ISBLANK(INDEX('glossaryterms-export'!I:I,_xlpm.rowNum))),"Ready to Fix",""))</f>
        <v/>
      </c>
    </row>
    <row r="1564" spans="6:6">
      <c r="F1564" s="1" t="str" cm="1">
        <f t="array" ref="F1564">_xlfn.LET(_xlpm.rowNum,MATCH(E1564,'glossaryterms-export'!C:C,0),
IF(AND(NOT(ISBLANK(INDEX('glossaryterms-export'!H:H,_xlpm.rowNum))),ISBLANK(INDEX('glossaryterms-export'!I:I,_xlpm.rowNum))),"Ready to Fix",""))</f>
        <v/>
      </c>
    </row>
    <row r="1565" spans="6:6">
      <c r="F1565" s="1" t="str" cm="1">
        <f t="array" ref="F1565">_xlfn.LET(_xlpm.rowNum,MATCH(E1565,'glossaryterms-export'!C:C,0),
IF(AND(NOT(ISBLANK(INDEX('glossaryterms-export'!H:H,_xlpm.rowNum))),ISBLANK(INDEX('glossaryterms-export'!I:I,_xlpm.rowNum))),"Ready to Fix",""))</f>
        <v/>
      </c>
    </row>
    <row r="1566" spans="6:6">
      <c r="F1566" s="1" t="str" cm="1">
        <f t="array" ref="F1566">_xlfn.LET(_xlpm.rowNum,MATCH(E1566,'glossaryterms-export'!C:C,0),
IF(AND(NOT(ISBLANK(INDEX('glossaryterms-export'!H:H,_xlpm.rowNum))),ISBLANK(INDEX('glossaryterms-export'!I:I,_xlpm.rowNum))),"Ready to Fix",""))</f>
        <v/>
      </c>
    </row>
    <row r="1567" spans="6:6">
      <c r="F1567" s="1" t="str" cm="1">
        <f t="array" ref="F1567">_xlfn.LET(_xlpm.rowNum,MATCH(E1567,'glossaryterms-export'!C:C,0),
IF(AND(NOT(ISBLANK(INDEX('glossaryterms-export'!H:H,_xlpm.rowNum))),ISBLANK(INDEX('glossaryterms-export'!I:I,_xlpm.rowNum))),"Ready to Fix",""))</f>
        <v/>
      </c>
    </row>
    <row r="1568" spans="6:6">
      <c r="F1568" s="1" t="str" cm="1">
        <f t="array" ref="F1568">_xlfn.LET(_xlpm.rowNum,MATCH(E1568,'glossaryterms-export'!C:C,0),
IF(AND(NOT(ISBLANK(INDEX('glossaryterms-export'!H:H,_xlpm.rowNum))),ISBLANK(INDEX('glossaryterms-export'!I:I,_xlpm.rowNum))),"Ready to Fix",""))</f>
        <v/>
      </c>
    </row>
    <row r="1569" spans="6:6">
      <c r="F1569" s="1" t="str" cm="1">
        <f t="array" ref="F1569">_xlfn.LET(_xlpm.rowNum,MATCH(E1569,'glossaryterms-export'!C:C,0),
IF(AND(NOT(ISBLANK(INDEX('glossaryterms-export'!H:H,_xlpm.rowNum))),ISBLANK(INDEX('glossaryterms-export'!I:I,_xlpm.rowNum))),"Ready to Fix",""))</f>
        <v/>
      </c>
    </row>
    <row r="1570" spans="6:6">
      <c r="F1570" s="1" t="str" cm="1">
        <f t="array" ref="F1570">_xlfn.LET(_xlpm.rowNum,MATCH(E1570,'glossaryterms-export'!C:C,0),
IF(AND(NOT(ISBLANK(INDEX('glossaryterms-export'!H:H,_xlpm.rowNum))),ISBLANK(INDEX('glossaryterms-export'!I:I,_xlpm.rowNum))),"Ready to Fix",""))</f>
        <v/>
      </c>
    </row>
    <row r="1571" spans="6:6">
      <c r="F1571" s="1" t="str" cm="1">
        <f t="array" ref="F1571">_xlfn.LET(_xlpm.rowNum,MATCH(E1571,'glossaryterms-export'!C:C,0),
IF(AND(NOT(ISBLANK(INDEX('glossaryterms-export'!H:H,_xlpm.rowNum))),ISBLANK(INDEX('glossaryterms-export'!I:I,_xlpm.rowNum))),"Ready to Fix",""))</f>
        <v/>
      </c>
    </row>
    <row r="1572" spans="6:6">
      <c r="F1572" s="1" t="str" cm="1">
        <f t="array" ref="F1572">_xlfn.LET(_xlpm.rowNum,MATCH(E1572,'glossaryterms-export'!C:C,0),
IF(AND(NOT(ISBLANK(INDEX('glossaryterms-export'!H:H,_xlpm.rowNum))),ISBLANK(INDEX('glossaryterms-export'!I:I,_xlpm.rowNum))),"Ready to Fix",""))</f>
        <v/>
      </c>
    </row>
    <row r="1573" spans="6:6">
      <c r="F1573" s="1" t="str" cm="1">
        <f t="array" ref="F1573">_xlfn.LET(_xlpm.rowNum,MATCH(E1573,'glossaryterms-export'!C:C,0),
IF(AND(NOT(ISBLANK(INDEX('glossaryterms-export'!H:H,_xlpm.rowNum))),ISBLANK(INDEX('glossaryterms-export'!I:I,_xlpm.rowNum))),"Ready to Fix",""))</f>
        <v/>
      </c>
    </row>
    <row r="1574" spans="6:6">
      <c r="F1574" s="1" t="str" cm="1">
        <f t="array" ref="F1574">_xlfn.LET(_xlpm.rowNum,MATCH(E1574,'glossaryterms-export'!C:C,0),
IF(AND(NOT(ISBLANK(INDEX('glossaryterms-export'!H:H,_xlpm.rowNum))),ISBLANK(INDEX('glossaryterms-export'!I:I,_xlpm.rowNum))),"Ready to Fix",""))</f>
        <v/>
      </c>
    </row>
    <row r="1575" spans="6:6">
      <c r="F1575" s="1" t="str" cm="1">
        <f t="array" ref="F1575">_xlfn.LET(_xlpm.rowNum,MATCH(E1575,'glossaryterms-export'!C:C,0),
IF(AND(NOT(ISBLANK(INDEX('glossaryterms-export'!H:H,_xlpm.rowNum))),ISBLANK(INDEX('glossaryterms-export'!I:I,_xlpm.rowNum))),"Ready to Fix",""))</f>
        <v/>
      </c>
    </row>
    <row r="1576" spans="6:6">
      <c r="F1576" s="1" t="str" cm="1">
        <f t="array" ref="F1576">_xlfn.LET(_xlpm.rowNum,MATCH(E1576,'glossaryterms-export'!C:C,0),
IF(AND(NOT(ISBLANK(INDEX('glossaryterms-export'!H:H,_xlpm.rowNum))),ISBLANK(INDEX('glossaryterms-export'!I:I,_xlpm.rowNum))),"Ready to Fix",""))</f>
        <v/>
      </c>
    </row>
    <row r="1577" spans="6:6">
      <c r="F1577" s="1" t="str" cm="1">
        <f t="array" ref="F1577">_xlfn.LET(_xlpm.rowNum,MATCH(E1577,'glossaryterms-export'!C:C,0),
IF(AND(NOT(ISBLANK(INDEX('glossaryterms-export'!H:H,_xlpm.rowNum))),ISBLANK(INDEX('glossaryterms-export'!I:I,_xlpm.rowNum))),"Ready to Fix",""))</f>
        <v/>
      </c>
    </row>
    <row r="1578" spans="6:6">
      <c r="F1578" s="1" t="str" cm="1">
        <f t="array" ref="F1578">_xlfn.LET(_xlpm.rowNum,MATCH(E1578,'glossaryterms-export'!C:C,0),
IF(AND(NOT(ISBLANK(INDEX('glossaryterms-export'!H:H,_xlpm.rowNum))),ISBLANK(INDEX('glossaryterms-export'!I:I,_xlpm.rowNum))),"Ready to Fix",""))</f>
        <v/>
      </c>
    </row>
    <row r="1579" spans="6:6">
      <c r="F1579" s="1" t="str" cm="1">
        <f t="array" ref="F1579">_xlfn.LET(_xlpm.rowNum,MATCH(E1579,'glossaryterms-export'!C:C,0),
IF(AND(NOT(ISBLANK(INDEX('glossaryterms-export'!H:H,_xlpm.rowNum))),ISBLANK(INDEX('glossaryterms-export'!I:I,_xlpm.rowNum))),"Ready to Fix",""))</f>
        <v/>
      </c>
    </row>
    <row r="1580" spans="6:6">
      <c r="F1580" s="1" t="str" cm="1">
        <f t="array" ref="F1580">_xlfn.LET(_xlpm.rowNum,MATCH(E1580,'glossaryterms-export'!C:C,0),
IF(AND(NOT(ISBLANK(INDEX('glossaryterms-export'!H:H,_xlpm.rowNum))),ISBLANK(INDEX('glossaryterms-export'!I:I,_xlpm.rowNum))),"Ready to Fix",""))</f>
        <v/>
      </c>
    </row>
    <row r="1581" spans="6:6">
      <c r="F1581" s="1" t="str" cm="1">
        <f t="array" ref="F1581">_xlfn.LET(_xlpm.rowNum,MATCH(E1581,'glossaryterms-export'!C:C,0),
IF(AND(NOT(ISBLANK(INDEX('glossaryterms-export'!H:H,_xlpm.rowNum))),ISBLANK(INDEX('glossaryterms-export'!I:I,_xlpm.rowNum))),"Ready to Fix",""))</f>
        <v/>
      </c>
    </row>
    <row r="1582" spans="6:6">
      <c r="F1582" s="1" t="str" cm="1">
        <f t="array" ref="F1582">_xlfn.LET(_xlpm.rowNum,MATCH(E1582,'glossaryterms-export'!C:C,0),
IF(AND(NOT(ISBLANK(INDEX('glossaryterms-export'!H:H,_xlpm.rowNum))),ISBLANK(INDEX('glossaryterms-export'!I:I,_xlpm.rowNum))),"Ready to Fix",""))</f>
        <v/>
      </c>
    </row>
    <row r="1583" spans="6:6">
      <c r="F1583" s="1" t="str" cm="1">
        <f t="array" ref="F1583">_xlfn.LET(_xlpm.rowNum,MATCH(E1583,'glossaryterms-export'!C:C,0),
IF(AND(NOT(ISBLANK(INDEX('glossaryterms-export'!H:H,_xlpm.rowNum))),ISBLANK(INDEX('glossaryterms-export'!I:I,_xlpm.rowNum))),"Ready to Fix",""))</f>
        <v/>
      </c>
    </row>
    <row r="1584" spans="6:6">
      <c r="F1584" s="1" t="str" cm="1">
        <f t="array" ref="F1584">_xlfn.LET(_xlpm.rowNum,MATCH(E1584,'glossaryterms-export'!C:C,0),
IF(AND(NOT(ISBLANK(INDEX('glossaryterms-export'!H:H,_xlpm.rowNum))),ISBLANK(INDEX('glossaryterms-export'!I:I,_xlpm.rowNum))),"Ready to Fix",""))</f>
        <v/>
      </c>
    </row>
    <row r="1585" spans="6:6">
      <c r="F1585" s="1" t="str" cm="1">
        <f t="array" ref="F1585">_xlfn.LET(_xlpm.rowNum,MATCH(E1585,'glossaryterms-export'!C:C,0),
IF(AND(NOT(ISBLANK(INDEX('glossaryterms-export'!H:H,_xlpm.rowNum))),ISBLANK(INDEX('glossaryterms-export'!I:I,_xlpm.rowNum))),"Ready to Fix",""))</f>
        <v/>
      </c>
    </row>
    <row r="1586" spans="6:6">
      <c r="F1586" s="1" t="str" cm="1">
        <f t="array" ref="F1586">_xlfn.LET(_xlpm.rowNum,MATCH(E1586,'glossaryterms-export'!C:C,0),
IF(AND(NOT(ISBLANK(INDEX('glossaryterms-export'!H:H,_xlpm.rowNum))),ISBLANK(INDEX('glossaryterms-export'!I:I,_xlpm.rowNum))),"Ready to Fix",""))</f>
        <v/>
      </c>
    </row>
    <row r="1587" spans="6:6">
      <c r="F1587" s="1" t="str" cm="1">
        <f t="array" ref="F1587">_xlfn.LET(_xlpm.rowNum,MATCH(E1587,'glossaryterms-export'!C:C,0),
IF(AND(NOT(ISBLANK(INDEX('glossaryterms-export'!H:H,_xlpm.rowNum))),ISBLANK(INDEX('glossaryterms-export'!I:I,_xlpm.rowNum))),"Ready to Fix",""))</f>
        <v/>
      </c>
    </row>
    <row r="1588" spans="6:6">
      <c r="F1588" s="1" t="str" cm="1">
        <f t="array" ref="F1588">_xlfn.LET(_xlpm.rowNum,MATCH(E1588,'glossaryterms-export'!C:C,0),
IF(AND(NOT(ISBLANK(INDEX('glossaryterms-export'!H:H,_xlpm.rowNum))),ISBLANK(INDEX('glossaryterms-export'!I:I,_xlpm.rowNum))),"Ready to Fix",""))</f>
        <v/>
      </c>
    </row>
    <row r="1589" spans="6:6">
      <c r="F1589" s="1" t="str" cm="1">
        <f t="array" ref="F1589">_xlfn.LET(_xlpm.rowNum,MATCH(E1589,'glossaryterms-export'!C:C,0),
IF(AND(NOT(ISBLANK(INDEX('glossaryterms-export'!H:H,_xlpm.rowNum))),ISBLANK(INDEX('glossaryterms-export'!I:I,_xlpm.rowNum))),"Ready to Fix",""))</f>
        <v/>
      </c>
    </row>
    <row r="1590" spans="6:6">
      <c r="F1590" s="1" t="str" cm="1">
        <f t="array" ref="F1590">_xlfn.LET(_xlpm.rowNum,MATCH(E1590,'glossaryterms-export'!C:C,0),
IF(AND(NOT(ISBLANK(INDEX('glossaryterms-export'!H:H,_xlpm.rowNum))),ISBLANK(INDEX('glossaryterms-export'!I:I,_xlpm.rowNum))),"Ready to Fix",""))</f>
        <v/>
      </c>
    </row>
    <row r="1591" spans="6:6">
      <c r="F1591" s="1" t="str" cm="1">
        <f t="array" ref="F1591">_xlfn.LET(_xlpm.rowNum,MATCH(E1591,'glossaryterms-export'!C:C,0),
IF(AND(NOT(ISBLANK(INDEX('glossaryterms-export'!H:H,_xlpm.rowNum))),ISBLANK(INDEX('glossaryterms-export'!I:I,_xlpm.rowNum))),"Ready to Fix",""))</f>
        <v/>
      </c>
    </row>
    <row r="1592" spans="6:6">
      <c r="F1592" s="1" t="str" cm="1">
        <f t="array" ref="F1592">_xlfn.LET(_xlpm.rowNum,MATCH(E1592,'glossaryterms-export'!C:C,0),
IF(AND(NOT(ISBLANK(INDEX('glossaryterms-export'!H:H,_xlpm.rowNum))),ISBLANK(INDEX('glossaryterms-export'!I:I,_xlpm.rowNum))),"Ready to Fix",""))</f>
        <v/>
      </c>
    </row>
    <row r="1593" spans="6:6">
      <c r="F1593" s="1" t="str" cm="1">
        <f t="array" ref="F1593">_xlfn.LET(_xlpm.rowNum,MATCH(E1593,'glossaryterms-export'!C:C,0),
IF(AND(NOT(ISBLANK(INDEX('glossaryterms-export'!H:H,_xlpm.rowNum))),ISBLANK(INDEX('glossaryterms-export'!I:I,_xlpm.rowNum))),"Ready to Fix",""))</f>
        <v/>
      </c>
    </row>
    <row r="1594" spans="6:6">
      <c r="F1594" s="1" t="str" cm="1">
        <f t="array" ref="F1594">_xlfn.LET(_xlpm.rowNum,MATCH(E1594,'glossaryterms-export'!C:C,0),
IF(AND(NOT(ISBLANK(INDEX('glossaryterms-export'!H:H,_xlpm.rowNum))),ISBLANK(INDEX('glossaryterms-export'!I:I,_xlpm.rowNum))),"Ready to Fix",""))</f>
        <v/>
      </c>
    </row>
    <row r="1595" spans="6:6">
      <c r="F1595" s="1" t="str" cm="1">
        <f t="array" ref="F1595">_xlfn.LET(_xlpm.rowNum,MATCH(E1595,'glossaryterms-export'!C:C,0),
IF(AND(NOT(ISBLANK(INDEX('glossaryterms-export'!H:H,_xlpm.rowNum))),ISBLANK(INDEX('glossaryterms-export'!I:I,_xlpm.rowNum))),"Ready to Fix",""))</f>
        <v/>
      </c>
    </row>
    <row r="1596" spans="6:6">
      <c r="F1596" s="1" t="str" cm="1">
        <f t="array" ref="F1596">_xlfn.LET(_xlpm.rowNum,MATCH(E1596,'glossaryterms-export'!C:C,0),
IF(AND(NOT(ISBLANK(INDEX('glossaryterms-export'!H:H,_xlpm.rowNum))),ISBLANK(INDEX('glossaryterms-export'!I:I,_xlpm.rowNum))),"Ready to Fix",""))</f>
        <v/>
      </c>
    </row>
    <row r="1597" spans="6:6">
      <c r="F1597" s="1" t="str" cm="1">
        <f t="array" ref="F1597">_xlfn.LET(_xlpm.rowNum,MATCH(E1597,'glossaryterms-export'!C:C,0),
IF(AND(NOT(ISBLANK(INDEX('glossaryterms-export'!H:H,_xlpm.rowNum))),ISBLANK(INDEX('glossaryterms-export'!I:I,_xlpm.rowNum))),"Ready to Fix",""))</f>
        <v/>
      </c>
    </row>
    <row r="1598" spans="6:6">
      <c r="F1598" s="1" t="str" cm="1">
        <f t="array" ref="F1598">_xlfn.LET(_xlpm.rowNum,MATCH(E1598,'glossaryterms-export'!C:C,0),
IF(AND(NOT(ISBLANK(INDEX('glossaryterms-export'!H:H,_xlpm.rowNum))),ISBLANK(INDEX('glossaryterms-export'!I:I,_xlpm.rowNum))),"Ready to Fix",""))</f>
        <v/>
      </c>
    </row>
    <row r="1599" spans="6:6">
      <c r="F1599" s="1" t="str" cm="1">
        <f t="array" ref="F1599">_xlfn.LET(_xlpm.rowNum,MATCH(E1599,'glossaryterms-export'!C:C,0),
IF(AND(NOT(ISBLANK(INDEX('glossaryterms-export'!H:H,_xlpm.rowNum))),ISBLANK(INDEX('glossaryterms-export'!I:I,_xlpm.rowNum))),"Ready to Fix",""))</f>
        <v/>
      </c>
    </row>
    <row r="1600" spans="6:6">
      <c r="F1600" s="1" t="str" cm="1">
        <f t="array" ref="F1600">_xlfn.LET(_xlpm.rowNum,MATCH(E1600,'glossaryterms-export'!C:C,0),
IF(AND(NOT(ISBLANK(INDEX('glossaryterms-export'!H:H,_xlpm.rowNum))),ISBLANK(INDEX('glossaryterms-export'!I:I,_xlpm.rowNum))),"Ready to Fix",""))</f>
        <v/>
      </c>
    </row>
    <row r="1601" spans="6:6">
      <c r="F1601" s="1" t="str" cm="1">
        <f t="array" ref="F1601">_xlfn.LET(_xlpm.rowNum,MATCH(E1601,'glossaryterms-export'!C:C,0),
IF(AND(NOT(ISBLANK(INDEX('glossaryterms-export'!H:H,_xlpm.rowNum))),ISBLANK(INDEX('glossaryterms-export'!I:I,_xlpm.rowNum))),"Ready to Fix",""))</f>
        <v/>
      </c>
    </row>
    <row r="1602" spans="6:6">
      <c r="F1602" s="1" t="str" cm="1">
        <f t="array" ref="F1602">_xlfn.LET(_xlpm.rowNum,MATCH(E1602,'glossaryterms-export'!C:C,0),
IF(AND(NOT(ISBLANK(INDEX('glossaryterms-export'!H:H,_xlpm.rowNum))),ISBLANK(INDEX('glossaryterms-export'!I:I,_xlpm.rowNum))),"Ready to Fix",""))</f>
        <v/>
      </c>
    </row>
    <row r="1603" spans="6:6">
      <c r="F1603" s="1" t="str" cm="1">
        <f t="array" ref="F1603">_xlfn.LET(_xlpm.rowNum,MATCH(E1603,'glossaryterms-export'!C:C,0),
IF(AND(NOT(ISBLANK(INDEX('glossaryterms-export'!H:H,_xlpm.rowNum))),ISBLANK(INDEX('glossaryterms-export'!I:I,_xlpm.rowNum))),"Ready to Fix",""))</f>
        <v/>
      </c>
    </row>
    <row r="1604" spans="6:6">
      <c r="F1604" s="1" t="str" cm="1">
        <f t="array" ref="F1604">_xlfn.LET(_xlpm.rowNum,MATCH(E1604,'glossaryterms-export'!C:C,0),
IF(AND(NOT(ISBLANK(INDEX('glossaryterms-export'!H:H,_xlpm.rowNum))),ISBLANK(INDEX('glossaryterms-export'!I:I,_xlpm.rowNum))),"Ready to Fix",""))</f>
        <v/>
      </c>
    </row>
    <row r="1605" spans="6:6">
      <c r="F1605" s="1" t="str" cm="1">
        <f t="array" ref="F1605">_xlfn.LET(_xlpm.rowNum,MATCH(E1605,'glossaryterms-export'!C:C,0),
IF(AND(NOT(ISBLANK(INDEX('glossaryterms-export'!H:H,_xlpm.rowNum))),ISBLANK(INDEX('glossaryterms-export'!I:I,_xlpm.rowNum))),"Ready to Fix",""))</f>
        <v/>
      </c>
    </row>
    <row r="1606" spans="6:6">
      <c r="F1606" s="1" t="str" cm="1">
        <f t="array" ref="F1606">_xlfn.LET(_xlpm.rowNum,MATCH(E1606,'glossaryterms-export'!C:C,0),
IF(AND(NOT(ISBLANK(INDEX('glossaryterms-export'!H:H,_xlpm.rowNum))),ISBLANK(INDEX('glossaryterms-export'!I:I,_xlpm.rowNum))),"Ready to Fix",""))</f>
        <v/>
      </c>
    </row>
    <row r="1607" spans="6:6">
      <c r="F1607" s="1" t="str" cm="1">
        <f t="array" ref="F1607">_xlfn.LET(_xlpm.rowNum,MATCH(E1607,'glossaryterms-export'!C:C,0),
IF(AND(NOT(ISBLANK(INDEX('glossaryterms-export'!H:H,_xlpm.rowNum))),ISBLANK(INDEX('glossaryterms-export'!I:I,_xlpm.rowNum))),"Ready to Fix",""))</f>
        <v/>
      </c>
    </row>
    <row r="1608" spans="6:6">
      <c r="F1608" s="1" t="str" cm="1">
        <f t="array" ref="F1608">_xlfn.LET(_xlpm.rowNum,MATCH(E1608,'glossaryterms-export'!C:C,0),
IF(AND(NOT(ISBLANK(INDEX('glossaryterms-export'!H:H,_xlpm.rowNum))),ISBLANK(INDEX('glossaryterms-export'!I:I,_xlpm.rowNum))),"Ready to Fix",""))</f>
        <v/>
      </c>
    </row>
    <row r="1609" spans="6:6">
      <c r="F1609" s="1" t="str" cm="1">
        <f t="array" ref="F1609">_xlfn.LET(_xlpm.rowNum,MATCH(E1609,'glossaryterms-export'!C:C,0),
IF(AND(NOT(ISBLANK(INDEX('glossaryterms-export'!H:H,_xlpm.rowNum))),ISBLANK(INDEX('glossaryterms-export'!I:I,_xlpm.rowNum))),"Ready to Fix",""))</f>
        <v/>
      </c>
    </row>
    <row r="1610" spans="6:6">
      <c r="F1610" s="1" t="str" cm="1">
        <f t="array" ref="F1610">_xlfn.LET(_xlpm.rowNum,MATCH(E1610,'glossaryterms-export'!C:C,0),
IF(AND(NOT(ISBLANK(INDEX('glossaryterms-export'!H:H,_xlpm.rowNum))),ISBLANK(INDEX('glossaryterms-export'!I:I,_xlpm.rowNum))),"Ready to Fix",""))</f>
        <v/>
      </c>
    </row>
    <row r="1611" spans="6:6">
      <c r="F1611" s="1" t="str" cm="1">
        <f t="array" ref="F1611">_xlfn.LET(_xlpm.rowNum,MATCH(E1611,'glossaryterms-export'!C:C,0),
IF(AND(NOT(ISBLANK(INDEX('glossaryterms-export'!H:H,_xlpm.rowNum))),ISBLANK(INDEX('glossaryterms-export'!I:I,_xlpm.rowNum))),"Ready to Fix",""))</f>
        <v/>
      </c>
    </row>
    <row r="1612" spans="6:6">
      <c r="F1612" s="1" t="str" cm="1">
        <f t="array" ref="F1612">_xlfn.LET(_xlpm.rowNum,MATCH(E1612,'glossaryterms-export'!C:C,0),
IF(AND(NOT(ISBLANK(INDEX('glossaryterms-export'!H:H,_xlpm.rowNum))),ISBLANK(INDEX('glossaryterms-export'!I:I,_xlpm.rowNum))),"Ready to Fix",""))</f>
        <v/>
      </c>
    </row>
    <row r="1613" spans="6:6">
      <c r="F1613" s="1" t="str" cm="1">
        <f t="array" ref="F1613">_xlfn.LET(_xlpm.rowNum,MATCH(E1613,'glossaryterms-export'!C:C,0),
IF(AND(NOT(ISBLANK(INDEX('glossaryterms-export'!H:H,_xlpm.rowNum))),ISBLANK(INDEX('glossaryterms-export'!I:I,_xlpm.rowNum))),"Ready to Fix",""))</f>
        <v/>
      </c>
    </row>
    <row r="1614" spans="6:6">
      <c r="F1614" s="1" t="str" cm="1">
        <f t="array" ref="F1614">_xlfn.LET(_xlpm.rowNum,MATCH(E1614,'glossaryterms-export'!C:C,0),
IF(AND(NOT(ISBLANK(INDEX('glossaryterms-export'!H:H,_xlpm.rowNum))),ISBLANK(INDEX('glossaryterms-export'!I:I,_xlpm.rowNum))),"Ready to Fix",""))</f>
        <v/>
      </c>
    </row>
    <row r="1615" spans="6:6">
      <c r="F1615" s="1" t="str" cm="1">
        <f t="array" ref="F1615">_xlfn.LET(_xlpm.rowNum,MATCH(E1615,'glossaryterms-export'!C:C,0),
IF(AND(NOT(ISBLANK(INDEX('glossaryterms-export'!H:H,_xlpm.rowNum))),ISBLANK(INDEX('glossaryterms-export'!I:I,_xlpm.rowNum))),"Ready to Fix",""))</f>
        <v/>
      </c>
    </row>
    <row r="1616" spans="6:6">
      <c r="F1616" s="1" t="str" cm="1">
        <f t="array" ref="F1616">_xlfn.LET(_xlpm.rowNum,MATCH(E1616,'glossaryterms-export'!C:C,0),
IF(AND(NOT(ISBLANK(INDEX('glossaryterms-export'!H:H,_xlpm.rowNum))),ISBLANK(INDEX('glossaryterms-export'!I:I,_xlpm.rowNum))),"Ready to Fix",""))</f>
        <v/>
      </c>
    </row>
    <row r="1617" spans="6:6">
      <c r="F1617" s="1" t="str" cm="1">
        <f t="array" ref="F1617">_xlfn.LET(_xlpm.rowNum,MATCH(E1617,'glossaryterms-export'!C:C,0),
IF(AND(NOT(ISBLANK(INDEX('glossaryterms-export'!H:H,_xlpm.rowNum))),ISBLANK(INDEX('glossaryterms-export'!I:I,_xlpm.rowNum))),"Ready to Fix",""))</f>
        <v/>
      </c>
    </row>
    <row r="1618" spans="6:6">
      <c r="F1618" s="1" t="str" cm="1">
        <f t="array" ref="F1618">_xlfn.LET(_xlpm.rowNum,MATCH(E1618,'glossaryterms-export'!C:C,0),
IF(AND(NOT(ISBLANK(INDEX('glossaryterms-export'!H:H,_xlpm.rowNum))),ISBLANK(INDEX('glossaryterms-export'!I:I,_xlpm.rowNum))),"Ready to Fix",""))</f>
        <v/>
      </c>
    </row>
    <row r="1619" spans="6:6">
      <c r="F1619" s="1" t="str" cm="1">
        <f t="array" ref="F1619">_xlfn.LET(_xlpm.rowNum,MATCH(E1619,'glossaryterms-export'!C:C,0),
IF(AND(NOT(ISBLANK(INDEX('glossaryterms-export'!H:H,_xlpm.rowNum))),ISBLANK(INDEX('glossaryterms-export'!I:I,_xlpm.rowNum))),"Ready to Fix",""))</f>
        <v/>
      </c>
    </row>
    <row r="1620" spans="6:6">
      <c r="F1620" s="1" t="str" cm="1">
        <f t="array" ref="F1620">_xlfn.LET(_xlpm.rowNum,MATCH(E1620,'glossaryterms-export'!C:C,0),
IF(AND(NOT(ISBLANK(INDEX('glossaryterms-export'!H:H,_xlpm.rowNum))),ISBLANK(INDEX('glossaryterms-export'!I:I,_xlpm.rowNum))),"Ready to Fix",""))</f>
        <v/>
      </c>
    </row>
    <row r="1621" spans="6:6">
      <c r="F1621" s="1" t="str" cm="1">
        <f t="array" ref="F1621">_xlfn.LET(_xlpm.rowNum,MATCH(E1621,'glossaryterms-export'!C:C,0),
IF(AND(NOT(ISBLANK(INDEX('glossaryterms-export'!H:H,_xlpm.rowNum))),ISBLANK(INDEX('glossaryterms-export'!I:I,_xlpm.rowNum))),"Ready to Fix",""))</f>
        <v/>
      </c>
    </row>
    <row r="1622" spans="6:6">
      <c r="F1622" s="1" t="str" cm="1">
        <f t="array" ref="F1622">_xlfn.LET(_xlpm.rowNum,MATCH(E1622,'glossaryterms-export'!C:C,0),
IF(AND(NOT(ISBLANK(INDEX('glossaryterms-export'!H:H,_xlpm.rowNum))),ISBLANK(INDEX('glossaryterms-export'!I:I,_xlpm.rowNum))),"Ready to Fix",""))</f>
        <v/>
      </c>
    </row>
    <row r="1623" spans="6:6">
      <c r="F1623" s="1" t="str" cm="1">
        <f t="array" ref="F1623">_xlfn.LET(_xlpm.rowNum,MATCH(E1623,'glossaryterms-export'!C:C,0),
IF(AND(NOT(ISBLANK(INDEX('glossaryterms-export'!H:H,_xlpm.rowNum))),ISBLANK(INDEX('glossaryterms-export'!I:I,_xlpm.rowNum))),"Ready to Fix",""))</f>
        <v/>
      </c>
    </row>
    <row r="1624" spans="6:6">
      <c r="F1624" s="1" t="str" cm="1">
        <f t="array" ref="F1624">_xlfn.LET(_xlpm.rowNum,MATCH(E1624,'glossaryterms-export'!C:C,0),
IF(AND(NOT(ISBLANK(INDEX('glossaryterms-export'!H:H,_xlpm.rowNum))),ISBLANK(INDEX('glossaryterms-export'!I:I,_xlpm.rowNum))),"Ready to Fix",""))</f>
        <v/>
      </c>
    </row>
    <row r="1625" spans="6:6">
      <c r="F1625" s="1" t="str" cm="1">
        <f t="array" ref="F1625">_xlfn.LET(_xlpm.rowNum,MATCH(E1625,'glossaryterms-export'!C:C,0),
IF(AND(NOT(ISBLANK(INDEX('glossaryterms-export'!H:H,_xlpm.rowNum))),ISBLANK(INDEX('glossaryterms-export'!I:I,_xlpm.rowNum))),"Ready to Fix",""))</f>
        <v/>
      </c>
    </row>
    <row r="1626" spans="6:6">
      <c r="F1626" s="1" t="str" cm="1">
        <f t="array" ref="F1626">_xlfn.LET(_xlpm.rowNum,MATCH(E1626,'glossaryterms-export'!C:C,0),
IF(AND(NOT(ISBLANK(INDEX('glossaryterms-export'!H:H,_xlpm.rowNum))),ISBLANK(INDEX('glossaryterms-export'!I:I,_xlpm.rowNum))),"Ready to Fix",""))</f>
        <v/>
      </c>
    </row>
    <row r="1627" spans="6:6">
      <c r="F1627" s="1" t="str" cm="1">
        <f t="array" ref="F1627">_xlfn.LET(_xlpm.rowNum,MATCH(E1627,'glossaryterms-export'!C:C,0),
IF(AND(NOT(ISBLANK(INDEX('glossaryterms-export'!H:H,_xlpm.rowNum))),ISBLANK(INDEX('glossaryterms-export'!I:I,_xlpm.rowNum))),"Ready to Fix",""))</f>
        <v/>
      </c>
    </row>
    <row r="1628" spans="6:6">
      <c r="F1628" s="1" t="str" cm="1">
        <f t="array" ref="F1628">_xlfn.LET(_xlpm.rowNum,MATCH(E1628,'glossaryterms-export'!C:C,0),
IF(AND(NOT(ISBLANK(INDEX('glossaryterms-export'!H:H,_xlpm.rowNum))),ISBLANK(INDEX('glossaryterms-export'!I:I,_xlpm.rowNum))),"Ready to Fix",""))</f>
        <v/>
      </c>
    </row>
    <row r="1629" spans="6:6">
      <c r="F1629" s="1" t="str" cm="1">
        <f t="array" ref="F1629">_xlfn.LET(_xlpm.rowNum,MATCH(E1629,'glossaryterms-export'!C:C,0),
IF(AND(NOT(ISBLANK(INDEX('glossaryterms-export'!H:H,_xlpm.rowNum))),ISBLANK(INDEX('glossaryterms-export'!I:I,_xlpm.rowNum))),"Ready to Fix",""))</f>
        <v/>
      </c>
    </row>
    <row r="1630" spans="6:6">
      <c r="F1630" s="1" t="str" cm="1">
        <f t="array" ref="F1630">_xlfn.LET(_xlpm.rowNum,MATCH(E1630,'glossaryterms-export'!C:C,0),
IF(AND(NOT(ISBLANK(INDEX('glossaryterms-export'!H:H,_xlpm.rowNum))),ISBLANK(INDEX('glossaryterms-export'!I:I,_xlpm.rowNum))),"Ready to Fix",""))</f>
        <v/>
      </c>
    </row>
    <row r="1631" spans="6:6">
      <c r="F1631" s="1" t="str" cm="1">
        <f t="array" ref="F1631">_xlfn.LET(_xlpm.rowNum,MATCH(E1631,'glossaryterms-export'!C:C,0),
IF(AND(NOT(ISBLANK(INDEX('glossaryterms-export'!H:H,_xlpm.rowNum))),ISBLANK(INDEX('glossaryterms-export'!I:I,_xlpm.rowNum))),"Ready to Fix",""))</f>
        <v/>
      </c>
    </row>
    <row r="1632" spans="6:6">
      <c r="F1632" s="1" t="str" cm="1">
        <f t="array" ref="F1632">_xlfn.LET(_xlpm.rowNum,MATCH(E1632,'glossaryterms-export'!C:C,0),
IF(AND(NOT(ISBLANK(INDEX('glossaryterms-export'!H:H,_xlpm.rowNum))),ISBLANK(INDEX('glossaryterms-export'!I:I,_xlpm.rowNum))),"Ready to Fix",""))</f>
        <v/>
      </c>
    </row>
    <row r="1633" spans="6:6">
      <c r="F1633" s="1" t="str" cm="1">
        <f t="array" ref="F1633">_xlfn.LET(_xlpm.rowNum,MATCH(E1633,'glossaryterms-export'!C:C,0),
IF(AND(NOT(ISBLANK(INDEX('glossaryterms-export'!H:H,_xlpm.rowNum))),ISBLANK(INDEX('glossaryterms-export'!I:I,_xlpm.rowNum))),"Ready to Fix",""))</f>
        <v/>
      </c>
    </row>
    <row r="1634" spans="6:6">
      <c r="F1634" s="1" t="str" cm="1">
        <f t="array" ref="F1634">_xlfn.LET(_xlpm.rowNum,MATCH(E1634,'glossaryterms-export'!C:C,0),
IF(AND(NOT(ISBLANK(INDEX('glossaryterms-export'!H:H,_xlpm.rowNum))),ISBLANK(INDEX('glossaryterms-export'!I:I,_xlpm.rowNum))),"Ready to Fix",""))</f>
        <v/>
      </c>
    </row>
    <row r="1635" spans="6:6">
      <c r="F1635" s="1" t="str" cm="1">
        <f t="array" ref="F1635">_xlfn.LET(_xlpm.rowNum,MATCH(E1635,'glossaryterms-export'!C:C,0),
IF(AND(NOT(ISBLANK(INDEX('glossaryterms-export'!H:H,_xlpm.rowNum))),ISBLANK(INDEX('glossaryterms-export'!I:I,_xlpm.rowNum))),"Ready to Fix",""))</f>
        <v/>
      </c>
    </row>
    <row r="1636" spans="6:6">
      <c r="F1636" s="1" t="str" cm="1">
        <f t="array" ref="F1636">_xlfn.LET(_xlpm.rowNum,MATCH(E1636,'glossaryterms-export'!C:C,0),
IF(AND(NOT(ISBLANK(INDEX('glossaryterms-export'!H:H,_xlpm.rowNum))),ISBLANK(INDEX('glossaryterms-export'!I:I,_xlpm.rowNum))),"Ready to Fix",""))</f>
        <v/>
      </c>
    </row>
    <row r="1637" spans="6:6">
      <c r="F1637" s="1" t="str" cm="1">
        <f t="array" ref="F1637">_xlfn.LET(_xlpm.rowNum,MATCH(E1637,'glossaryterms-export'!C:C,0),
IF(AND(NOT(ISBLANK(INDEX('glossaryterms-export'!H:H,_xlpm.rowNum))),ISBLANK(INDEX('glossaryterms-export'!I:I,_xlpm.rowNum))),"Ready to Fix",""))</f>
        <v/>
      </c>
    </row>
    <row r="1638" spans="6:6">
      <c r="F1638" s="1" t="str" cm="1">
        <f t="array" ref="F1638">_xlfn.LET(_xlpm.rowNum,MATCH(E1638,'glossaryterms-export'!C:C,0),
IF(AND(NOT(ISBLANK(INDEX('glossaryterms-export'!H:H,_xlpm.rowNum))),ISBLANK(INDEX('glossaryterms-export'!I:I,_xlpm.rowNum))),"Ready to Fix",""))</f>
        <v/>
      </c>
    </row>
    <row r="1639" spans="6:6">
      <c r="F1639" s="1" t="str" cm="1">
        <f t="array" ref="F1639">_xlfn.LET(_xlpm.rowNum,MATCH(E1639,'glossaryterms-export'!C:C,0),
IF(AND(NOT(ISBLANK(INDEX('glossaryterms-export'!H:H,_xlpm.rowNum))),ISBLANK(INDEX('glossaryterms-export'!I:I,_xlpm.rowNum))),"Ready to Fix",""))</f>
        <v/>
      </c>
    </row>
    <row r="1640" spans="6:6">
      <c r="F1640" s="1" t="str" cm="1">
        <f t="array" ref="F1640">_xlfn.LET(_xlpm.rowNum,MATCH(E1640,'glossaryterms-export'!C:C,0),
IF(AND(NOT(ISBLANK(INDEX('glossaryterms-export'!H:H,_xlpm.rowNum))),ISBLANK(INDEX('glossaryterms-export'!I:I,_xlpm.rowNum))),"Ready to Fix",""))</f>
        <v/>
      </c>
    </row>
    <row r="1641" spans="6:6">
      <c r="F1641" s="1" t="str" cm="1">
        <f t="array" ref="F1641">_xlfn.LET(_xlpm.rowNum,MATCH(E1641,'glossaryterms-export'!C:C,0),
IF(AND(NOT(ISBLANK(INDEX('glossaryterms-export'!H:H,_xlpm.rowNum))),ISBLANK(INDEX('glossaryterms-export'!I:I,_xlpm.rowNum))),"Ready to Fix",""))</f>
        <v/>
      </c>
    </row>
    <row r="1642" spans="6:6">
      <c r="F1642" s="1" t="str" cm="1">
        <f t="array" ref="F1642">_xlfn.LET(_xlpm.rowNum,MATCH(E1642,'glossaryterms-export'!C:C,0),
IF(AND(NOT(ISBLANK(INDEX('glossaryterms-export'!H:H,_xlpm.rowNum))),ISBLANK(INDEX('glossaryterms-export'!I:I,_xlpm.rowNum))),"Ready to Fix",""))</f>
        <v/>
      </c>
    </row>
    <row r="1643" spans="6:6">
      <c r="F1643" s="1" t="str" cm="1">
        <f t="array" ref="F1643">_xlfn.LET(_xlpm.rowNum,MATCH(E1643,'glossaryterms-export'!C:C,0),
IF(AND(NOT(ISBLANK(INDEX('glossaryterms-export'!H:H,_xlpm.rowNum))),ISBLANK(INDEX('glossaryterms-export'!I:I,_xlpm.rowNum))),"Ready to Fix",""))</f>
        <v/>
      </c>
    </row>
    <row r="1644" spans="6:6">
      <c r="F1644" s="1" t="str" cm="1">
        <f t="array" ref="F1644">_xlfn.LET(_xlpm.rowNum,MATCH(E1644,'glossaryterms-export'!C:C,0),
IF(AND(NOT(ISBLANK(INDEX('glossaryterms-export'!H:H,_xlpm.rowNum))),ISBLANK(INDEX('glossaryterms-export'!I:I,_xlpm.rowNum))),"Ready to Fix",""))</f>
        <v/>
      </c>
    </row>
    <row r="1645" spans="6:6">
      <c r="F1645" s="1" t="str" cm="1">
        <f t="array" ref="F1645">_xlfn.LET(_xlpm.rowNum,MATCH(E1645,'glossaryterms-export'!C:C,0),
IF(AND(NOT(ISBLANK(INDEX('glossaryterms-export'!H:H,_xlpm.rowNum))),ISBLANK(INDEX('glossaryterms-export'!I:I,_xlpm.rowNum))),"Ready to Fix",""))</f>
        <v/>
      </c>
    </row>
    <row r="1646" spans="6:6">
      <c r="F1646" s="1" t="str" cm="1">
        <f t="array" ref="F1646">_xlfn.LET(_xlpm.rowNum,MATCH(E1646,'glossaryterms-export'!C:C,0),
IF(AND(NOT(ISBLANK(INDEX('glossaryterms-export'!H:H,_xlpm.rowNum))),ISBLANK(INDEX('glossaryterms-export'!I:I,_xlpm.rowNum))),"Ready to Fix",""))</f>
        <v/>
      </c>
    </row>
    <row r="1647" spans="6:6">
      <c r="F1647" s="1" t="str" cm="1">
        <f t="array" ref="F1647">_xlfn.LET(_xlpm.rowNum,MATCH(E1647,'glossaryterms-export'!C:C,0),
IF(AND(NOT(ISBLANK(INDEX('glossaryterms-export'!H:H,_xlpm.rowNum))),ISBLANK(INDEX('glossaryterms-export'!I:I,_xlpm.rowNum))),"Ready to Fix",""))</f>
        <v/>
      </c>
    </row>
    <row r="1648" spans="6:6">
      <c r="F1648" s="1" t="str" cm="1">
        <f t="array" ref="F1648">_xlfn.LET(_xlpm.rowNum,MATCH(E1648,'glossaryterms-export'!C:C,0),
IF(AND(NOT(ISBLANK(INDEX('glossaryterms-export'!H:H,_xlpm.rowNum))),ISBLANK(INDEX('glossaryterms-export'!I:I,_xlpm.rowNum))),"Ready to Fix",""))</f>
        <v/>
      </c>
    </row>
    <row r="1649" spans="6:6">
      <c r="F1649" s="1" t="str" cm="1">
        <f t="array" ref="F1649">_xlfn.LET(_xlpm.rowNum,MATCH(E1649,'glossaryterms-export'!C:C,0),
IF(AND(NOT(ISBLANK(INDEX('glossaryterms-export'!H:H,_xlpm.rowNum))),ISBLANK(INDEX('glossaryterms-export'!I:I,_xlpm.rowNum))),"Ready to Fix",""))</f>
        <v/>
      </c>
    </row>
    <row r="1650" spans="6:6">
      <c r="F1650" s="1" t="str" cm="1">
        <f t="array" ref="F1650">_xlfn.LET(_xlpm.rowNum,MATCH(E1650,'glossaryterms-export'!C:C,0),
IF(AND(NOT(ISBLANK(INDEX('glossaryterms-export'!H:H,_xlpm.rowNum))),ISBLANK(INDEX('glossaryterms-export'!I:I,_xlpm.rowNum))),"Ready to Fix",""))</f>
        <v/>
      </c>
    </row>
    <row r="1651" spans="6:6">
      <c r="F1651" s="1" t="str" cm="1">
        <f t="array" ref="F1651">_xlfn.LET(_xlpm.rowNum,MATCH(E1651,'glossaryterms-export'!C:C,0),
IF(AND(NOT(ISBLANK(INDEX('glossaryterms-export'!H:H,_xlpm.rowNum))),ISBLANK(INDEX('glossaryterms-export'!I:I,_xlpm.rowNum))),"Ready to Fix",""))</f>
        <v/>
      </c>
    </row>
    <row r="1652" spans="6:6">
      <c r="F1652" s="1" t="str" cm="1">
        <f t="array" ref="F1652">_xlfn.LET(_xlpm.rowNum,MATCH(E1652,'glossaryterms-export'!C:C,0),
IF(AND(NOT(ISBLANK(INDEX('glossaryterms-export'!H:H,_xlpm.rowNum))),ISBLANK(INDEX('glossaryterms-export'!I:I,_xlpm.rowNum))),"Ready to Fix",""))</f>
        <v/>
      </c>
    </row>
    <row r="1653" spans="6:6">
      <c r="F1653" s="1" t="str" cm="1">
        <f t="array" ref="F1653">_xlfn.LET(_xlpm.rowNum,MATCH(E1653,'glossaryterms-export'!C:C,0),
IF(AND(NOT(ISBLANK(INDEX('glossaryterms-export'!H:H,_xlpm.rowNum))),ISBLANK(INDEX('glossaryterms-export'!I:I,_xlpm.rowNum))),"Ready to Fix",""))</f>
        <v/>
      </c>
    </row>
    <row r="1654" spans="6:6">
      <c r="F1654" s="1" t="str" cm="1">
        <f t="array" ref="F1654">_xlfn.LET(_xlpm.rowNum,MATCH(E1654,'glossaryterms-export'!C:C,0),
IF(AND(NOT(ISBLANK(INDEX('glossaryterms-export'!H:H,_xlpm.rowNum))),ISBLANK(INDEX('glossaryterms-export'!I:I,_xlpm.rowNum))),"Ready to Fix",""))</f>
        <v/>
      </c>
    </row>
    <row r="1655" spans="6:6">
      <c r="F1655" s="1" t="str" cm="1">
        <f t="array" ref="F1655">_xlfn.LET(_xlpm.rowNum,MATCH(E1655,'glossaryterms-export'!C:C,0),
IF(AND(NOT(ISBLANK(INDEX('glossaryterms-export'!H:H,_xlpm.rowNum))),ISBLANK(INDEX('glossaryterms-export'!I:I,_xlpm.rowNum))),"Ready to Fix",""))</f>
        <v/>
      </c>
    </row>
    <row r="1656" spans="6:6">
      <c r="F1656" s="1" t="str" cm="1">
        <f t="array" ref="F1656">_xlfn.LET(_xlpm.rowNum,MATCH(E1656,'glossaryterms-export'!C:C,0),
IF(AND(NOT(ISBLANK(INDEX('glossaryterms-export'!H:H,_xlpm.rowNum))),ISBLANK(INDEX('glossaryterms-export'!I:I,_xlpm.rowNum))),"Ready to Fix",""))</f>
        <v/>
      </c>
    </row>
    <row r="1657" spans="6:6">
      <c r="F1657" s="1" t="str" cm="1">
        <f t="array" ref="F1657">_xlfn.LET(_xlpm.rowNum,MATCH(E1657,'glossaryterms-export'!C:C,0),
IF(AND(NOT(ISBLANK(INDEX('glossaryterms-export'!H:H,_xlpm.rowNum))),ISBLANK(INDEX('glossaryterms-export'!I:I,_xlpm.rowNum))),"Ready to Fix",""))</f>
        <v/>
      </c>
    </row>
    <row r="1658" spans="6:6">
      <c r="F1658" s="1" t="str" cm="1">
        <f t="array" ref="F1658">_xlfn.LET(_xlpm.rowNum,MATCH(E1658,'glossaryterms-export'!C:C,0),
IF(AND(NOT(ISBLANK(INDEX('glossaryterms-export'!H:H,_xlpm.rowNum))),ISBLANK(INDEX('glossaryterms-export'!I:I,_xlpm.rowNum))),"Ready to Fix",""))</f>
        <v/>
      </c>
    </row>
    <row r="1659" spans="6:6">
      <c r="F1659" s="1" t="str" cm="1">
        <f t="array" ref="F1659">_xlfn.LET(_xlpm.rowNum,MATCH(E1659,'glossaryterms-export'!C:C,0),
IF(AND(NOT(ISBLANK(INDEX('glossaryterms-export'!H:H,_xlpm.rowNum))),ISBLANK(INDEX('glossaryterms-export'!I:I,_xlpm.rowNum))),"Ready to Fix",""))</f>
        <v/>
      </c>
    </row>
    <row r="1660" spans="6:6">
      <c r="F1660" s="1" t="str" cm="1">
        <f t="array" ref="F1660">_xlfn.LET(_xlpm.rowNum,MATCH(E1660,'glossaryterms-export'!C:C,0),
IF(AND(NOT(ISBLANK(INDEX('glossaryterms-export'!H:H,_xlpm.rowNum))),ISBLANK(INDEX('glossaryterms-export'!I:I,_xlpm.rowNum))),"Ready to Fix",""))</f>
        <v/>
      </c>
    </row>
    <row r="1661" spans="6:6">
      <c r="F1661" s="1" t="str" cm="1">
        <f t="array" ref="F1661">_xlfn.LET(_xlpm.rowNum,MATCH(E1661,'glossaryterms-export'!C:C,0),
IF(AND(NOT(ISBLANK(INDEX('glossaryterms-export'!H:H,_xlpm.rowNum))),ISBLANK(INDEX('glossaryterms-export'!I:I,_xlpm.rowNum))),"Ready to Fix",""))</f>
        <v/>
      </c>
    </row>
    <row r="1662" spans="6:6">
      <c r="F1662" s="1" t="str" cm="1">
        <f t="array" ref="F1662">_xlfn.LET(_xlpm.rowNum,MATCH(E1662,'glossaryterms-export'!C:C,0),
IF(AND(NOT(ISBLANK(INDEX('glossaryterms-export'!H:H,_xlpm.rowNum))),ISBLANK(INDEX('glossaryterms-export'!I:I,_xlpm.rowNum))),"Ready to Fix",""))</f>
        <v/>
      </c>
    </row>
    <row r="1663" spans="6:6">
      <c r="F1663" s="1" t="str" cm="1">
        <f t="array" ref="F1663">_xlfn.LET(_xlpm.rowNum,MATCH(E1663,'glossaryterms-export'!C:C,0),
IF(AND(NOT(ISBLANK(INDEX('glossaryterms-export'!H:H,_xlpm.rowNum))),ISBLANK(INDEX('glossaryterms-export'!I:I,_xlpm.rowNum))),"Ready to Fix",""))</f>
        <v/>
      </c>
    </row>
    <row r="1664" spans="6:6">
      <c r="F1664" s="1" t="str" cm="1">
        <f t="array" ref="F1664">_xlfn.LET(_xlpm.rowNum,MATCH(E1664,'glossaryterms-export'!C:C,0),
IF(AND(NOT(ISBLANK(INDEX('glossaryterms-export'!H:H,_xlpm.rowNum))),ISBLANK(INDEX('glossaryterms-export'!I:I,_xlpm.rowNum))),"Ready to Fix",""))</f>
        <v/>
      </c>
    </row>
    <row r="1665" spans="6:6">
      <c r="F1665" s="1" t="str" cm="1">
        <f t="array" ref="F1665">_xlfn.LET(_xlpm.rowNum,MATCH(E1665,'glossaryterms-export'!C:C,0),
IF(AND(NOT(ISBLANK(INDEX('glossaryterms-export'!H:H,_xlpm.rowNum))),ISBLANK(INDEX('glossaryterms-export'!I:I,_xlpm.rowNum))),"Ready to Fix",""))</f>
        <v/>
      </c>
    </row>
    <row r="1666" spans="6:6">
      <c r="F1666" s="1" t="str" cm="1">
        <f t="array" ref="F1666">_xlfn.LET(_xlpm.rowNum,MATCH(E1666,'glossaryterms-export'!C:C,0),
IF(AND(NOT(ISBLANK(INDEX('glossaryterms-export'!H:H,_xlpm.rowNum))),ISBLANK(INDEX('glossaryterms-export'!I:I,_xlpm.rowNum))),"Ready to Fix",""))</f>
        <v/>
      </c>
    </row>
    <row r="1667" spans="6:6">
      <c r="F1667" s="1" t="str" cm="1">
        <f t="array" ref="F1667">_xlfn.LET(_xlpm.rowNum,MATCH(E1667,'glossaryterms-export'!C:C,0),
IF(AND(NOT(ISBLANK(INDEX('glossaryterms-export'!H:H,_xlpm.rowNum))),ISBLANK(INDEX('glossaryterms-export'!I:I,_xlpm.rowNum))),"Ready to Fix",""))</f>
        <v/>
      </c>
    </row>
    <row r="1668" spans="6:6">
      <c r="F1668" s="1" t="str" cm="1">
        <f t="array" ref="F1668">_xlfn.LET(_xlpm.rowNum,MATCH(E1668,'glossaryterms-export'!C:C,0),
IF(AND(NOT(ISBLANK(INDEX('glossaryterms-export'!H:H,_xlpm.rowNum))),ISBLANK(INDEX('glossaryterms-export'!I:I,_xlpm.rowNum))),"Ready to Fix",""))</f>
        <v/>
      </c>
    </row>
    <row r="1669" spans="6:6">
      <c r="F1669" s="1" t="str" cm="1">
        <f t="array" ref="F1669">_xlfn.LET(_xlpm.rowNum,MATCH(E1669,'glossaryterms-export'!C:C,0),
IF(AND(NOT(ISBLANK(INDEX('glossaryterms-export'!H:H,_xlpm.rowNum))),ISBLANK(INDEX('glossaryterms-export'!I:I,_xlpm.rowNum))),"Ready to Fix",""))</f>
        <v/>
      </c>
    </row>
    <row r="1670" spans="6:6">
      <c r="F1670" s="1" t="str" cm="1">
        <f t="array" ref="F1670">_xlfn.LET(_xlpm.rowNum,MATCH(E1670,'glossaryterms-export'!C:C,0),
IF(AND(NOT(ISBLANK(INDEX('glossaryterms-export'!H:H,_xlpm.rowNum))),ISBLANK(INDEX('glossaryterms-export'!I:I,_xlpm.rowNum))),"Ready to Fix",""))</f>
        <v/>
      </c>
    </row>
    <row r="1671" spans="6:6">
      <c r="F1671" s="1" t="str" cm="1">
        <f t="array" ref="F1671">_xlfn.LET(_xlpm.rowNum,MATCH(E1671,'glossaryterms-export'!C:C,0),
IF(AND(NOT(ISBLANK(INDEX('glossaryterms-export'!H:H,_xlpm.rowNum))),ISBLANK(INDEX('glossaryterms-export'!I:I,_xlpm.rowNum))),"Ready to Fix",""))</f>
        <v/>
      </c>
    </row>
    <row r="1672" spans="6:6">
      <c r="F1672" s="1" t="str" cm="1">
        <f t="array" ref="F1672">_xlfn.LET(_xlpm.rowNum,MATCH(E1672,'glossaryterms-export'!C:C,0),
IF(AND(NOT(ISBLANK(INDEX('glossaryterms-export'!H:H,_xlpm.rowNum))),ISBLANK(INDEX('glossaryterms-export'!I:I,_xlpm.rowNum))),"Ready to Fix",""))</f>
        <v/>
      </c>
    </row>
    <row r="1673" spans="6:6">
      <c r="F1673" s="1" t="str" cm="1">
        <f t="array" ref="F1673">_xlfn.LET(_xlpm.rowNum,MATCH(E1673,'glossaryterms-export'!C:C,0),
IF(AND(NOT(ISBLANK(INDEX('glossaryterms-export'!H:H,_xlpm.rowNum))),ISBLANK(INDEX('glossaryterms-export'!I:I,_xlpm.rowNum))),"Ready to Fix",""))</f>
        <v/>
      </c>
    </row>
    <row r="1674" spans="6:6">
      <c r="F1674" s="1" t="str" cm="1">
        <f t="array" ref="F1674">_xlfn.LET(_xlpm.rowNum,MATCH(E1674,'glossaryterms-export'!C:C,0),
IF(AND(NOT(ISBLANK(INDEX('glossaryterms-export'!H:H,_xlpm.rowNum))),ISBLANK(INDEX('glossaryterms-export'!I:I,_xlpm.rowNum))),"Ready to Fix",""))</f>
        <v/>
      </c>
    </row>
    <row r="1675" spans="6:6">
      <c r="F1675" s="1" t="str" cm="1">
        <f t="array" ref="F1675">_xlfn.LET(_xlpm.rowNum,MATCH(E1675,'glossaryterms-export'!C:C,0),
IF(AND(NOT(ISBLANK(INDEX('glossaryterms-export'!H:H,_xlpm.rowNum))),ISBLANK(INDEX('glossaryterms-export'!I:I,_xlpm.rowNum))),"Ready to Fix",""))</f>
        <v/>
      </c>
    </row>
    <row r="1676" spans="6:6">
      <c r="F1676" s="1" t="str" cm="1">
        <f t="array" ref="F1676">_xlfn.LET(_xlpm.rowNum,MATCH(E1676,'glossaryterms-export'!C:C,0),
IF(AND(NOT(ISBLANK(INDEX('glossaryterms-export'!H:H,_xlpm.rowNum))),ISBLANK(INDEX('glossaryterms-export'!I:I,_xlpm.rowNum))),"Ready to Fix",""))</f>
        <v/>
      </c>
    </row>
    <row r="1677" spans="6:6">
      <c r="F1677" s="1" t="str" cm="1">
        <f t="array" ref="F1677">_xlfn.LET(_xlpm.rowNum,MATCH(E1677,'glossaryterms-export'!C:C,0),
IF(AND(NOT(ISBLANK(INDEX('glossaryterms-export'!H:H,_xlpm.rowNum))),ISBLANK(INDEX('glossaryterms-export'!I:I,_xlpm.rowNum))),"Ready to Fix",""))</f>
        <v/>
      </c>
    </row>
    <row r="1678" spans="6:6">
      <c r="F1678" s="1" t="str" cm="1">
        <f t="array" ref="F1678">_xlfn.LET(_xlpm.rowNum,MATCH(E1678,'glossaryterms-export'!C:C,0),
IF(AND(NOT(ISBLANK(INDEX('glossaryterms-export'!H:H,_xlpm.rowNum))),ISBLANK(INDEX('glossaryterms-export'!I:I,_xlpm.rowNum))),"Ready to Fix",""))</f>
        <v/>
      </c>
    </row>
    <row r="1679" spans="6:6">
      <c r="F1679" s="1" t="str" cm="1">
        <f t="array" ref="F1679">_xlfn.LET(_xlpm.rowNum,MATCH(E1679,'glossaryterms-export'!C:C,0),
IF(AND(NOT(ISBLANK(INDEX('glossaryterms-export'!H:H,_xlpm.rowNum))),ISBLANK(INDEX('glossaryterms-export'!I:I,_xlpm.rowNum))),"Ready to Fix",""))</f>
        <v/>
      </c>
    </row>
    <row r="1680" spans="6:6">
      <c r="F1680" s="1" t="str" cm="1">
        <f t="array" ref="F1680">_xlfn.LET(_xlpm.rowNum,MATCH(E1680,'glossaryterms-export'!C:C,0),
IF(AND(NOT(ISBLANK(INDEX('glossaryterms-export'!H:H,_xlpm.rowNum))),ISBLANK(INDEX('glossaryterms-export'!I:I,_xlpm.rowNum))),"Ready to Fix",""))</f>
        <v/>
      </c>
    </row>
    <row r="1681" spans="6:6">
      <c r="F1681" s="1" t="str" cm="1">
        <f t="array" ref="F1681">_xlfn.LET(_xlpm.rowNum,MATCH(E1681,'glossaryterms-export'!C:C,0),
IF(AND(NOT(ISBLANK(INDEX('glossaryterms-export'!H:H,_xlpm.rowNum))),ISBLANK(INDEX('glossaryterms-export'!I:I,_xlpm.rowNum))),"Ready to Fix",""))</f>
        <v/>
      </c>
    </row>
    <row r="1682" spans="6:6">
      <c r="F1682" s="1" t="str" cm="1">
        <f t="array" ref="F1682">_xlfn.LET(_xlpm.rowNum,MATCH(E1682,'glossaryterms-export'!C:C,0),
IF(AND(NOT(ISBLANK(INDEX('glossaryterms-export'!H:H,_xlpm.rowNum))),ISBLANK(INDEX('glossaryterms-export'!I:I,_xlpm.rowNum))),"Ready to Fix",""))</f>
        <v/>
      </c>
    </row>
    <row r="1683" spans="6:6">
      <c r="F1683" s="1" t="str" cm="1">
        <f t="array" ref="F1683">_xlfn.LET(_xlpm.rowNum,MATCH(E1683,'glossaryterms-export'!C:C,0),
IF(AND(NOT(ISBLANK(INDEX('glossaryterms-export'!H:H,_xlpm.rowNum))),ISBLANK(INDEX('glossaryterms-export'!I:I,_xlpm.rowNum))),"Ready to Fix",""))</f>
        <v/>
      </c>
    </row>
    <row r="1684" spans="6:6">
      <c r="F1684" s="1" t="str" cm="1">
        <f t="array" ref="F1684">_xlfn.LET(_xlpm.rowNum,MATCH(E1684,'glossaryterms-export'!C:C,0),
IF(AND(NOT(ISBLANK(INDEX('glossaryterms-export'!H:H,_xlpm.rowNum))),ISBLANK(INDEX('glossaryterms-export'!I:I,_xlpm.rowNum))),"Ready to Fix",""))</f>
        <v/>
      </c>
    </row>
    <row r="1685" spans="6:6">
      <c r="F1685" s="1" t="str" cm="1">
        <f t="array" ref="F1685">_xlfn.LET(_xlpm.rowNum,MATCH(E1685,'glossaryterms-export'!C:C,0),
IF(AND(NOT(ISBLANK(INDEX('glossaryterms-export'!H:H,_xlpm.rowNum))),ISBLANK(INDEX('glossaryterms-export'!I:I,_xlpm.rowNum))),"Ready to Fix",""))</f>
        <v/>
      </c>
    </row>
    <row r="1686" spans="6:6">
      <c r="F1686" s="1" t="str" cm="1">
        <f t="array" ref="F1686">_xlfn.LET(_xlpm.rowNum,MATCH(E1686,'glossaryterms-export'!C:C,0),
IF(AND(NOT(ISBLANK(INDEX('glossaryterms-export'!H:H,_xlpm.rowNum))),ISBLANK(INDEX('glossaryterms-export'!I:I,_xlpm.rowNum))),"Ready to Fix",""))</f>
        <v/>
      </c>
    </row>
    <row r="1687" spans="6:6">
      <c r="F1687" s="1" t="str" cm="1">
        <f t="array" ref="F1687">_xlfn.LET(_xlpm.rowNum,MATCH(E1687,'glossaryterms-export'!C:C,0),
IF(AND(NOT(ISBLANK(INDEX('glossaryterms-export'!H:H,_xlpm.rowNum))),ISBLANK(INDEX('glossaryterms-export'!I:I,_xlpm.rowNum))),"Ready to Fix",""))</f>
        <v/>
      </c>
    </row>
    <row r="1688" spans="6:6">
      <c r="F1688" s="1" t="str" cm="1">
        <f t="array" ref="F1688">_xlfn.LET(_xlpm.rowNum,MATCH(E1688,'glossaryterms-export'!C:C,0),
IF(AND(NOT(ISBLANK(INDEX('glossaryterms-export'!H:H,_xlpm.rowNum))),ISBLANK(INDEX('glossaryterms-export'!I:I,_xlpm.rowNum))),"Ready to Fix",""))</f>
        <v/>
      </c>
    </row>
    <row r="1689" spans="6:6">
      <c r="F1689" s="1" t="str" cm="1">
        <f t="array" ref="F1689">_xlfn.LET(_xlpm.rowNum,MATCH(E1689,'glossaryterms-export'!C:C,0),
IF(AND(NOT(ISBLANK(INDEX('glossaryterms-export'!H:H,_xlpm.rowNum))),ISBLANK(INDEX('glossaryterms-export'!I:I,_xlpm.rowNum))),"Ready to Fix",""))</f>
        <v/>
      </c>
    </row>
    <row r="1690" spans="6:6">
      <c r="F1690" s="1" t="str" cm="1">
        <f t="array" ref="F1690">_xlfn.LET(_xlpm.rowNum,MATCH(E1690,'glossaryterms-export'!C:C,0),
IF(AND(NOT(ISBLANK(INDEX('glossaryterms-export'!H:H,_xlpm.rowNum))),ISBLANK(INDEX('glossaryterms-export'!I:I,_xlpm.rowNum))),"Ready to Fix",""))</f>
        <v/>
      </c>
    </row>
    <row r="1691" spans="6:6">
      <c r="F1691" s="1" t="str" cm="1">
        <f t="array" ref="F1691">_xlfn.LET(_xlpm.rowNum,MATCH(E1691,'glossaryterms-export'!C:C,0),
IF(AND(NOT(ISBLANK(INDEX('glossaryterms-export'!H:H,_xlpm.rowNum))),ISBLANK(INDEX('glossaryterms-export'!I:I,_xlpm.rowNum))),"Ready to Fix",""))</f>
        <v/>
      </c>
    </row>
    <row r="1692" spans="6:6">
      <c r="F1692" s="1" t="str" cm="1">
        <f t="array" ref="F1692">_xlfn.LET(_xlpm.rowNum,MATCH(E1692,'glossaryterms-export'!C:C,0),
IF(AND(NOT(ISBLANK(INDEX('glossaryterms-export'!H:H,_xlpm.rowNum))),ISBLANK(INDEX('glossaryterms-export'!I:I,_xlpm.rowNum))),"Ready to Fix",""))</f>
        <v/>
      </c>
    </row>
    <row r="1693" spans="6:6">
      <c r="F1693" s="1" t="str" cm="1">
        <f t="array" ref="F1693">_xlfn.LET(_xlpm.rowNum,MATCH(E1693,'glossaryterms-export'!C:C,0),
IF(AND(NOT(ISBLANK(INDEX('glossaryterms-export'!H:H,_xlpm.rowNum))),ISBLANK(INDEX('glossaryterms-export'!I:I,_xlpm.rowNum))),"Ready to Fix",""))</f>
        <v/>
      </c>
    </row>
    <row r="1694" spans="6:6">
      <c r="F1694" s="1" t="str" cm="1">
        <f t="array" ref="F1694">_xlfn.LET(_xlpm.rowNum,MATCH(E1694,'glossaryterms-export'!C:C,0),
IF(AND(NOT(ISBLANK(INDEX('glossaryterms-export'!H:H,_xlpm.rowNum))),ISBLANK(INDEX('glossaryterms-export'!I:I,_xlpm.rowNum))),"Ready to Fix",""))</f>
        <v/>
      </c>
    </row>
    <row r="1695" spans="6:6">
      <c r="F1695" s="1" t="str" cm="1">
        <f t="array" ref="F1695">_xlfn.LET(_xlpm.rowNum,MATCH(E1695,'glossaryterms-export'!C:C,0),
IF(AND(NOT(ISBLANK(INDEX('glossaryterms-export'!H:H,_xlpm.rowNum))),ISBLANK(INDEX('glossaryterms-export'!I:I,_xlpm.rowNum))),"Ready to Fix",""))</f>
        <v/>
      </c>
    </row>
    <row r="1696" spans="6:6">
      <c r="F1696" s="1" t="str" cm="1">
        <f t="array" ref="F1696">_xlfn.LET(_xlpm.rowNum,MATCH(E1696,'glossaryterms-export'!C:C,0),
IF(AND(NOT(ISBLANK(INDEX('glossaryterms-export'!H:H,_xlpm.rowNum))),ISBLANK(INDEX('glossaryterms-export'!I:I,_xlpm.rowNum))),"Ready to Fix",""))</f>
        <v/>
      </c>
    </row>
    <row r="1697" spans="6:6">
      <c r="F1697" s="1" t="str" cm="1">
        <f t="array" ref="F1697">_xlfn.LET(_xlpm.rowNum,MATCH(E1697,'glossaryterms-export'!C:C,0),
IF(AND(NOT(ISBLANK(INDEX('glossaryterms-export'!H:H,_xlpm.rowNum))),ISBLANK(INDEX('glossaryterms-export'!I:I,_xlpm.rowNum))),"Ready to Fix",""))</f>
        <v/>
      </c>
    </row>
    <row r="1698" spans="6:6">
      <c r="F1698" s="1" t="str" cm="1">
        <f t="array" ref="F1698">_xlfn.LET(_xlpm.rowNum,MATCH(E1698,'glossaryterms-export'!C:C,0),
IF(AND(NOT(ISBLANK(INDEX('glossaryterms-export'!H:H,_xlpm.rowNum))),ISBLANK(INDEX('glossaryterms-export'!I:I,_xlpm.rowNum))),"Ready to Fix",""))</f>
        <v/>
      </c>
    </row>
    <row r="1699" spans="6:6">
      <c r="F1699" s="1" t="str" cm="1">
        <f t="array" ref="F1699">_xlfn.LET(_xlpm.rowNum,MATCH(E1699,'glossaryterms-export'!C:C,0),
IF(AND(NOT(ISBLANK(INDEX('glossaryterms-export'!H:H,_xlpm.rowNum))),ISBLANK(INDEX('glossaryterms-export'!I:I,_xlpm.rowNum))),"Ready to Fix",""))</f>
        <v/>
      </c>
    </row>
    <row r="1700" spans="6:6">
      <c r="F1700" s="1" t="str" cm="1">
        <f t="array" ref="F1700">_xlfn.LET(_xlpm.rowNum,MATCH(E1700,'glossaryterms-export'!C:C,0),
IF(AND(NOT(ISBLANK(INDEX('glossaryterms-export'!H:H,_xlpm.rowNum))),ISBLANK(INDEX('glossaryterms-export'!I:I,_xlpm.rowNum))),"Ready to Fix",""))</f>
        <v/>
      </c>
    </row>
    <row r="1701" spans="6:6">
      <c r="F1701" s="1" t="str" cm="1">
        <f t="array" ref="F1701">_xlfn.LET(_xlpm.rowNum,MATCH(E1701,'glossaryterms-export'!C:C,0),
IF(AND(NOT(ISBLANK(INDEX('glossaryterms-export'!H:H,_xlpm.rowNum))),ISBLANK(INDEX('glossaryterms-export'!I:I,_xlpm.rowNum))),"Ready to Fix",""))</f>
        <v/>
      </c>
    </row>
    <row r="1702" spans="6:6">
      <c r="F1702" s="1" t="str" cm="1">
        <f t="array" ref="F1702">_xlfn.LET(_xlpm.rowNum,MATCH(E1702,'glossaryterms-export'!C:C,0),
IF(AND(NOT(ISBLANK(INDEX('glossaryterms-export'!H:H,_xlpm.rowNum))),ISBLANK(INDEX('glossaryterms-export'!I:I,_xlpm.rowNum))),"Ready to Fix",""))</f>
        <v/>
      </c>
    </row>
    <row r="1703" spans="6:6">
      <c r="F1703" s="1" t="str" cm="1">
        <f t="array" ref="F1703">_xlfn.LET(_xlpm.rowNum,MATCH(E1703,'glossaryterms-export'!C:C,0),
IF(AND(NOT(ISBLANK(INDEX('glossaryterms-export'!H:H,_xlpm.rowNum))),ISBLANK(INDEX('glossaryterms-export'!I:I,_xlpm.rowNum))),"Ready to Fix",""))</f>
        <v/>
      </c>
    </row>
    <row r="1704" spans="6:6">
      <c r="F1704" s="1" t="str" cm="1">
        <f t="array" ref="F1704">_xlfn.LET(_xlpm.rowNum,MATCH(E1704,'glossaryterms-export'!C:C,0),
IF(AND(NOT(ISBLANK(INDEX('glossaryterms-export'!H:H,_xlpm.rowNum))),ISBLANK(INDEX('glossaryterms-export'!I:I,_xlpm.rowNum))),"Ready to Fix",""))</f>
        <v/>
      </c>
    </row>
    <row r="1705" spans="6:6">
      <c r="F1705" s="1" t="str" cm="1">
        <f t="array" ref="F1705">_xlfn.LET(_xlpm.rowNum,MATCH(E1705,'glossaryterms-export'!C:C,0),
IF(AND(NOT(ISBLANK(INDEX('glossaryterms-export'!H:H,_xlpm.rowNum))),ISBLANK(INDEX('glossaryterms-export'!I:I,_xlpm.rowNum))),"Ready to Fix",""))</f>
        <v/>
      </c>
    </row>
    <row r="1706" spans="6:6">
      <c r="F1706" s="1" t="str" cm="1">
        <f t="array" ref="F1706">_xlfn.LET(_xlpm.rowNum,MATCH(E1706,'glossaryterms-export'!C:C,0),
IF(AND(NOT(ISBLANK(INDEX('glossaryterms-export'!H:H,_xlpm.rowNum))),ISBLANK(INDEX('glossaryterms-export'!I:I,_xlpm.rowNum))),"Ready to Fix",""))</f>
        <v/>
      </c>
    </row>
    <row r="1707" spans="6:6">
      <c r="F1707" s="1" t="str" cm="1">
        <f t="array" ref="F1707">_xlfn.LET(_xlpm.rowNum,MATCH(E1707,'glossaryterms-export'!C:C,0),
IF(AND(NOT(ISBLANK(INDEX('glossaryterms-export'!H:H,_xlpm.rowNum))),ISBLANK(INDEX('glossaryterms-export'!I:I,_xlpm.rowNum))),"Ready to Fix",""))</f>
        <v/>
      </c>
    </row>
    <row r="1708" spans="6:6">
      <c r="F1708" s="1" t="str" cm="1">
        <f t="array" ref="F1708">_xlfn.LET(_xlpm.rowNum,MATCH(E1708,'glossaryterms-export'!C:C,0),
IF(AND(NOT(ISBLANK(INDEX('glossaryterms-export'!H:H,_xlpm.rowNum))),ISBLANK(INDEX('glossaryterms-export'!I:I,_xlpm.rowNum))),"Ready to Fix",""))</f>
        <v/>
      </c>
    </row>
    <row r="1709" spans="6:6">
      <c r="F1709" s="1" t="str" cm="1">
        <f t="array" ref="F1709">_xlfn.LET(_xlpm.rowNum,MATCH(E1709,'glossaryterms-export'!C:C,0),
IF(AND(NOT(ISBLANK(INDEX('glossaryterms-export'!H:H,_xlpm.rowNum))),ISBLANK(INDEX('glossaryterms-export'!I:I,_xlpm.rowNum))),"Ready to Fix",""))</f>
        <v/>
      </c>
    </row>
    <row r="1710" spans="6:6">
      <c r="F1710" s="1" t="str" cm="1">
        <f t="array" ref="F1710">_xlfn.LET(_xlpm.rowNum,MATCH(E1710,'glossaryterms-export'!C:C,0),
IF(AND(NOT(ISBLANK(INDEX('glossaryterms-export'!H:H,_xlpm.rowNum))),ISBLANK(INDEX('glossaryterms-export'!I:I,_xlpm.rowNum))),"Ready to Fix",""))</f>
        <v/>
      </c>
    </row>
    <row r="1711" spans="6:6">
      <c r="F1711" s="1" t="str" cm="1">
        <f t="array" ref="F1711">_xlfn.LET(_xlpm.rowNum,MATCH(E1711,'glossaryterms-export'!C:C,0),
IF(AND(NOT(ISBLANK(INDEX('glossaryterms-export'!H:H,_xlpm.rowNum))),ISBLANK(INDEX('glossaryterms-export'!I:I,_xlpm.rowNum))),"Ready to Fix",""))</f>
        <v/>
      </c>
    </row>
    <row r="1712" spans="6:6">
      <c r="F1712" s="1" t="str" cm="1">
        <f t="array" ref="F1712">_xlfn.LET(_xlpm.rowNum,MATCH(E1712,'glossaryterms-export'!C:C,0),
IF(AND(NOT(ISBLANK(INDEX('glossaryterms-export'!H:H,_xlpm.rowNum))),ISBLANK(INDEX('glossaryterms-export'!I:I,_xlpm.rowNum))),"Ready to Fix",""))</f>
        <v/>
      </c>
    </row>
    <row r="1713" spans="6:6">
      <c r="F1713" s="1" t="str" cm="1">
        <f t="array" ref="F1713">_xlfn.LET(_xlpm.rowNum,MATCH(E1713,'glossaryterms-export'!C:C,0),
IF(AND(NOT(ISBLANK(INDEX('glossaryterms-export'!H:H,_xlpm.rowNum))),ISBLANK(INDEX('glossaryterms-export'!I:I,_xlpm.rowNum))),"Ready to Fix",""))</f>
        <v/>
      </c>
    </row>
    <row r="1714" spans="6:6">
      <c r="F1714" s="1" t="str" cm="1">
        <f t="array" ref="F1714">_xlfn.LET(_xlpm.rowNum,MATCH(E1714,'glossaryterms-export'!C:C,0),
IF(AND(NOT(ISBLANK(INDEX('glossaryterms-export'!H:H,_xlpm.rowNum))),ISBLANK(INDEX('glossaryterms-export'!I:I,_xlpm.rowNum))),"Ready to Fix",""))</f>
        <v/>
      </c>
    </row>
    <row r="1715" spans="6:6">
      <c r="F1715" s="1" t="str" cm="1">
        <f t="array" ref="F1715">_xlfn.LET(_xlpm.rowNum,MATCH(E1715,'glossaryterms-export'!C:C,0),
IF(AND(NOT(ISBLANK(INDEX('glossaryterms-export'!H:H,_xlpm.rowNum))),ISBLANK(INDEX('glossaryterms-export'!I:I,_xlpm.rowNum))),"Ready to Fix",""))</f>
        <v/>
      </c>
    </row>
    <row r="1716" spans="6:6">
      <c r="F1716" s="1" t="str" cm="1">
        <f t="array" ref="F1716">_xlfn.LET(_xlpm.rowNum,MATCH(E1716,'glossaryterms-export'!C:C,0),
IF(AND(NOT(ISBLANK(INDEX('glossaryterms-export'!H:H,_xlpm.rowNum))),ISBLANK(INDEX('glossaryterms-export'!I:I,_xlpm.rowNum))),"Ready to Fix",""))</f>
        <v/>
      </c>
    </row>
    <row r="1717" spans="6:6">
      <c r="F1717" s="1" t="str" cm="1">
        <f t="array" ref="F1717">_xlfn.LET(_xlpm.rowNum,MATCH(E1717,'glossaryterms-export'!C:C,0),
IF(AND(NOT(ISBLANK(INDEX('glossaryterms-export'!H:H,_xlpm.rowNum))),ISBLANK(INDEX('glossaryterms-export'!I:I,_xlpm.rowNum))),"Ready to Fix",""))</f>
        <v/>
      </c>
    </row>
    <row r="1718" spans="6:6">
      <c r="F1718" s="1" t="str" cm="1">
        <f t="array" ref="F1718">_xlfn.LET(_xlpm.rowNum,MATCH(E1718,'glossaryterms-export'!C:C,0),
IF(AND(NOT(ISBLANK(INDEX('glossaryterms-export'!H:H,_xlpm.rowNum))),ISBLANK(INDEX('glossaryterms-export'!I:I,_xlpm.rowNum))),"Ready to Fix",""))</f>
        <v/>
      </c>
    </row>
    <row r="1719" spans="6:6">
      <c r="F1719" s="1" t="str" cm="1">
        <f t="array" ref="F1719">_xlfn.LET(_xlpm.rowNum,MATCH(E1719,'glossaryterms-export'!C:C,0),
IF(AND(NOT(ISBLANK(INDEX('glossaryterms-export'!H:H,_xlpm.rowNum))),ISBLANK(INDEX('glossaryterms-export'!I:I,_xlpm.rowNum))),"Ready to Fix",""))</f>
        <v/>
      </c>
    </row>
    <row r="1720" spans="6:6">
      <c r="F1720" s="1" t="str" cm="1">
        <f t="array" ref="F1720">_xlfn.LET(_xlpm.rowNum,MATCH(E1720,'glossaryterms-export'!C:C,0),
IF(AND(NOT(ISBLANK(INDEX('glossaryterms-export'!H:H,_xlpm.rowNum))),ISBLANK(INDEX('glossaryterms-export'!I:I,_xlpm.rowNum))),"Ready to Fix",""))</f>
        <v/>
      </c>
    </row>
    <row r="1721" spans="6:6">
      <c r="F1721" s="1" t="str" cm="1">
        <f t="array" ref="F1721">_xlfn.LET(_xlpm.rowNum,MATCH(E1721,'glossaryterms-export'!C:C,0),
IF(AND(NOT(ISBLANK(INDEX('glossaryterms-export'!H:H,_xlpm.rowNum))),ISBLANK(INDEX('glossaryterms-export'!I:I,_xlpm.rowNum))),"Ready to Fix",""))</f>
        <v/>
      </c>
    </row>
    <row r="1722" spans="6:6">
      <c r="F1722" s="1" t="str" cm="1">
        <f t="array" ref="F1722">_xlfn.LET(_xlpm.rowNum,MATCH(E1722,'glossaryterms-export'!C:C,0),
IF(AND(NOT(ISBLANK(INDEX('glossaryterms-export'!H:H,_xlpm.rowNum))),ISBLANK(INDEX('glossaryterms-export'!I:I,_xlpm.rowNum))),"Ready to Fix",""))</f>
        <v/>
      </c>
    </row>
    <row r="1723" spans="6:6">
      <c r="F1723" s="1" t="str" cm="1">
        <f t="array" ref="F1723">_xlfn.LET(_xlpm.rowNum,MATCH(E1723,'glossaryterms-export'!C:C,0),
IF(AND(NOT(ISBLANK(INDEX('glossaryterms-export'!H:H,_xlpm.rowNum))),ISBLANK(INDEX('glossaryterms-export'!I:I,_xlpm.rowNum))),"Ready to Fix",""))</f>
        <v/>
      </c>
    </row>
    <row r="1724" spans="6:6">
      <c r="F1724" s="1" t="str" cm="1">
        <f t="array" ref="F1724">_xlfn.LET(_xlpm.rowNum,MATCH(E1724,'glossaryterms-export'!C:C,0),
IF(AND(NOT(ISBLANK(INDEX('glossaryterms-export'!H:H,_xlpm.rowNum))),ISBLANK(INDEX('glossaryterms-export'!I:I,_xlpm.rowNum))),"Ready to Fix",""))</f>
        <v/>
      </c>
    </row>
    <row r="1725" spans="6:6">
      <c r="F1725" s="1" t="str" cm="1">
        <f t="array" ref="F1725">_xlfn.LET(_xlpm.rowNum,MATCH(E1725,'glossaryterms-export'!C:C,0),
IF(AND(NOT(ISBLANK(INDEX('glossaryterms-export'!H:H,_xlpm.rowNum))),ISBLANK(INDEX('glossaryterms-export'!I:I,_xlpm.rowNum))),"Ready to Fix",""))</f>
        <v/>
      </c>
    </row>
    <row r="1726" spans="6:6">
      <c r="F1726" s="1" t="str" cm="1">
        <f t="array" ref="F1726">_xlfn.LET(_xlpm.rowNum,MATCH(E1726,'glossaryterms-export'!C:C,0),
IF(AND(NOT(ISBLANK(INDEX('glossaryterms-export'!H:H,_xlpm.rowNum))),ISBLANK(INDEX('glossaryterms-export'!I:I,_xlpm.rowNum))),"Ready to Fix",""))</f>
        <v/>
      </c>
    </row>
    <row r="1727" spans="6:6">
      <c r="F1727" s="1" t="str" cm="1">
        <f t="array" ref="F1727">_xlfn.LET(_xlpm.rowNum,MATCH(E1727,'glossaryterms-export'!C:C,0),
IF(AND(NOT(ISBLANK(INDEX('glossaryterms-export'!H:H,_xlpm.rowNum))),ISBLANK(INDEX('glossaryterms-export'!I:I,_xlpm.rowNum))),"Ready to Fix",""))</f>
        <v/>
      </c>
    </row>
    <row r="1728" spans="6:6">
      <c r="F1728" s="1" t="str" cm="1">
        <f t="array" ref="F1728">_xlfn.LET(_xlpm.rowNum,MATCH(E1728,'glossaryterms-export'!C:C,0),
IF(AND(NOT(ISBLANK(INDEX('glossaryterms-export'!H:H,_xlpm.rowNum))),ISBLANK(INDEX('glossaryterms-export'!I:I,_xlpm.rowNum))),"Ready to Fix",""))</f>
        <v/>
      </c>
    </row>
    <row r="1729" spans="6:6">
      <c r="F1729" s="1" t="str" cm="1">
        <f t="array" ref="F1729">_xlfn.LET(_xlpm.rowNum,MATCH(E1729,'glossaryterms-export'!C:C,0),
IF(AND(NOT(ISBLANK(INDEX('glossaryterms-export'!H:H,_xlpm.rowNum))),ISBLANK(INDEX('glossaryterms-export'!I:I,_xlpm.rowNum))),"Ready to Fix",""))</f>
        <v/>
      </c>
    </row>
    <row r="1730" spans="6:6">
      <c r="F1730" s="1" t="str" cm="1">
        <f t="array" ref="F1730">_xlfn.LET(_xlpm.rowNum,MATCH(E1730,'glossaryterms-export'!C:C,0),
IF(AND(NOT(ISBLANK(INDEX('glossaryterms-export'!H:H,_xlpm.rowNum))),ISBLANK(INDEX('glossaryterms-export'!I:I,_xlpm.rowNum))),"Ready to Fix",""))</f>
        <v/>
      </c>
    </row>
    <row r="1731" spans="6:6">
      <c r="F1731" s="1" t="str" cm="1">
        <f t="array" ref="F1731">_xlfn.LET(_xlpm.rowNum,MATCH(E1731,'glossaryterms-export'!C:C,0),
IF(AND(NOT(ISBLANK(INDEX('glossaryterms-export'!H:H,_xlpm.rowNum))),ISBLANK(INDEX('glossaryterms-export'!I:I,_xlpm.rowNum))),"Ready to Fix",""))</f>
        <v/>
      </c>
    </row>
    <row r="1732" spans="6:6">
      <c r="F1732" s="1" t="str" cm="1">
        <f t="array" ref="F1732">_xlfn.LET(_xlpm.rowNum,MATCH(E1732,'glossaryterms-export'!C:C,0),
IF(AND(NOT(ISBLANK(INDEX('glossaryterms-export'!H:H,_xlpm.rowNum))),ISBLANK(INDEX('glossaryterms-export'!I:I,_xlpm.rowNum))),"Ready to Fix",""))</f>
        <v/>
      </c>
    </row>
    <row r="1733" spans="6:6">
      <c r="F1733" s="1" t="str" cm="1">
        <f t="array" ref="F1733">_xlfn.LET(_xlpm.rowNum,MATCH(E1733,'glossaryterms-export'!C:C,0),
IF(AND(NOT(ISBLANK(INDEX('glossaryterms-export'!H:H,_xlpm.rowNum))),ISBLANK(INDEX('glossaryterms-export'!I:I,_xlpm.rowNum))),"Ready to Fix",""))</f>
        <v/>
      </c>
    </row>
    <row r="1734" spans="6:6">
      <c r="F1734" s="1" t="str" cm="1">
        <f t="array" ref="F1734">_xlfn.LET(_xlpm.rowNum,MATCH(E1734,'glossaryterms-export'!C:C,0),
IF(AND(NOT(ISBLANK(INDEX('glossaryterms-export'!H:H,_xlpm.rowNum))),ISBLANK(INDEX('glossaryterms-export'!I:I,_xlpm.rowNum))),"Ready to Fix",""))</f>
        <v/>
      </c>
    </row>
    <row r="1735" spans="6:6">
      <c r="F1735" s="1" t="str" cm="1">
        <f t="array" ref="F1735">_xlfn.LET(_xlpm.rowNum,MATCH(E1735,'glossaryterms-export'!C:C,0),
IF(AND(NOT(ISBLANK(INDEX('glossaryterms-export'!H:H,_xlpm.rowNum))),ISBLANK(INDEX('glossaryterms-export'!I:I,_xlpm.rowNum))),"Ready to Fix",""))</f>
        <v/>
      </c>
    </row>
    <row r="1736" spans="6:6">
      <c r="F1736" s="1" t="str" cm="1">
        <f t="array" ref="F1736">_xlfn.LET(_xlpm.rowNum,MATCH(E1736,'glossaryterms-export'!C:C,0),
IF(AND(NOT(ISBLANK(INDEX('glossaryterms-export'!H:H,_xlpm.rowNum))),ISBLANK(INDEX('glossaryterms-export'!I:I,_xlpm.rowNum))),"Ready to Fix",""))</f>
        <v/>
      </c>
    </row>
    <row r="1737" spans="6:6">
      <c r="F1737" s="1" t="str" cm="1">
        <f t="array" ref="F1737">_xlfn.LET(_xlpm.rowNum,MATCH(E1737,'glossaryterms-export'!C:C,0),
IF(AND(NOT(ISBLANK(INDEX('glossaryterms-export'!H:H,_xlpm.rowNum))),ISBLANK(INDEX('glossaryterms-export'!I:I,_xlpm.rowNum))),"Ready to Fix",""))</f>
        <v/>
      </c>
    </row>
    <row r="1738" spans="6:6">
      <c r="F1738" s="1" t="str" cm="1">
        <f t="array" ref="F1738">_xlfn.LET(_xlpm.rowNum,MATCH(E1738,'glossaryterms-export'!C:C,0),
IF(AND(NOT(ISBLANK(INDEX('glossaryterms-export'!H:H,_xlpm.rowNum))),ISBLANK(INDEX('glossaryterms-export'!I:I,_xlpm.rowNum))),"Ready to Fix",""))</f>
        <v/>
      </c>
    </row>
    <row r="1739" spans="6:6">
      <c r="F1739" s="1" t="str" cm="1">
        <f t="array" ref="F1739">_xlfn.LET(_xlpm.rowNum,MATCH(E1739,'glossaryterms-export'!C:C,0),
IF(AND(NOT(ISBLANK(INDEX('glossaryterms-export'!H:H,_xlpm.rowNum))),ISBLANK(INDEX('glossaryterms-export'!I:I,_xlpm.rowNum))),"Ready to Fix",""))</f>
        <v/>
      </c>
    </row>
    <row r="1740" spans="6:6">
      <c r="F1740" s="1" t="str" cm="1">
        <f t="array" ref="F1740">_xlfn.LET(_xlpm.rowNum,MATCH(E1740,'glossaryterms-export'!C:C,0),
IF(AND(NOT(ISBLANK(INDEX('glossaryterms-export'!H:H,_xlpm.rowNum))),ISBLANK(INDEX('glossaryterms-export'!I:I,_xlpm.rowNum))),"Ready to Fix",""))</f>
        <v/>
      </c>
    </row>
    <row r="1741" spans="6:6">
      <c r="F1741" s="1" t="str" cm="1">
        <f t="array" ref="F1741">_xlfn.LET(_xlpm.rowNum,MATCH(E1741,'glossaryterms-export'!C:C,0),
IF(AND(NOT(ISBLANK(INDEX('glossaryterms-export'!H:H,_xlpm.rowNum))),ISBLANK(INDEX('glossaryterms-export'!I:I,_xlpm.rowNum))),"Ready to Fix",""))</f>
        <v/>
      </c>
    </row>
    <row r="1742" spans="6:6">
      <c r="F1742" s="1" t="str" cm="1">
        <f t="array" ref="F1742">_xlfn.LET(_xlpm.rowNum,MATCH(E1742,'glossaryterms-export'!C:C,0),
IF(AND(NOT(ISBLANK(INDEX('glossaryterms-export'!H:H,_xlpm.rowNum))),ISBLANK(INDEX('glossaryterms-export'!I:I,_xlpm.rowNum))),"Ready to Fix",""))</f>
        <v/>
      </c>
    </row>
    <row r="1743" spans="6:6">
      <c r="F1743" s="1" t="str" cm="1">
        <f t="array" ref="F1743">_xlfn.LET(_xlpm.rowNum,MATCH(E1743,'glossaryterms-export'!C:C,0),
IF(AND(NOT(ISBLANK(INDEX('glossaryterms-export'!H:H,_xlpm.rowNum))),ISBLANK(INDEX('glossaryterms-export'!I:I,_xlpm.rowNum))),"Ready to Fix",""))</f>
        <v/>
      </c>
    </row>
    <row r="1744" spans="6:6">
      <c r="F1744" s="1" t="str" cm="1">
        <f t="array" ref="F1744">_xlfn.LET(_xlpm.rowNum,MATCH(E1744,'glossaryterms-export'!C:C,0),
IF(AND(NOT(ISBLANK(INDEX('glossaryterms-export'!H:H,_xlpm.rowNum))),ISBLANK(INDEX('glossaryterms-export'!I:I,_xlpm.rowNum))),"Ready to Fix",""))</f>
        <v/>
      </c>
    </row>
    <row r="1745" spans="6:6">
      <c r="F1745" s="1" t="str" cm="1">
        <f t="array" ref="F1745">_xlfn.LET(_xlpm.rowNum,MATCH(E1745,'glossaryterms-export'!C:C,0),
IF(AND(NOT(ISBLANK(INDEX('glossaryterms-export'!H:H,_xlpm.rowNum))),ISBLANK(INDEX('glossaryterms-export'!I:I,_xlpm.rowNum))),"Ready to Fix",""))</f>
        <v/>
      </c>
    </row>
    <row r="1746" spans="6:6">
      <c r="F1746" s="1" t="str" cm="1">
        <f t="array" ref="F1746">_xlfn.LET(_xlpm.rowNum,MATCH(E1746,'glossaryterms-export'!C:C,0),
IF(AND(NOT(ISBLANK(INDEX('glossaryterms-export'!H:H,_xlpm.rowNum))),ISBLANK(INDEX('glossaryterms-export'!I:I,_xlpm.rowNum))),"Ready to Fix",""))</f>
        <v/>
      </c>
    </row>
    <row r="1747" spans="6:6">
      <c r="F1747" s="1" t="str" cm="1">
        <f t="array" ref="F1747">_xlfn.LET(_xlpm.rowNum,MATCH(E1747,'glossaryterms-export'!C:C,0),
IF(AND(NOT(ISBLANK(INDEX('glossaryterms-export'!H:H,_xlpm.rowNum))),ISBLANK(INDEX('glossaryterms-export'!I:I,_xlpm.rowNum))),"Ready to Fix",""))</f>
        <v/>
      </c>
    </row>
    <row r="1748" spans="6:6">
      <c r="F1748" s="1" t="str" cm="1">
        <f t="array" ref="F1748">_xlfn.LET(_xlpm.rowNum,MATCH(E1748,'glossaryterms-export'!C:C,0),
IF(AND(NOT(ISBLANK(INDEX('glossaryterms-export'!H:H,_xlpm.rowNum))),ISBLANK(INDEX('glossaryterms-export'!I:I,_xlpm.rowNum))),"Ready to Fix",""))</f>
        <v/>
      </c>
    </row>
    <row r="1749" spans="6:6">
      <c r="F1749" s="1" t="str" cm="1">
        <f t="array" ref="F1749">_xlfn.LET(_xlpm.rowNum,MATCH(E1749,'glossaryterms-export'!C:C,0),
IF(AND(NOT(ISBLANK(INDEX('glossaryterms-export'!H:H,_xlpm.rowNum))),ISBLANK(INDEX('glossaryterms-export'!I:I,_xlpm.rowNum))),"Ready to Fix",""))</f>
        <v/>
      </c>
    </row>
    <row r="1750" spans="6:6">
      <c r="F1750" s="1" t="str" cm="1">
        <f t="array" ref="F1750">_xlfn.LET(_xlpm.rowNum,MATCH(E1750,'glossaryterms-export'!C:C,0),
IF(AND(NOT(ISBLANK(INDEX('glossaryterms-export'!H:H,_xlpm.rowNum))),ISBLANK(INDEX('glossaryterms-export'!I:I,_xlpm.rowNum))),"Ready to Fix",""))</f>
        <v/>
      </c>
    </row>
    <row r="1751" spans="6:6">
      <c r="F1751" s="1" t="str" cm="1">
        <f t="array" ref="F1751">_xlfn.LET(_xlpm.rowNum,MATCH(E1751,'glossaryterms-export'!C:C,0),
IF(AND(NOT(ISBLANK(INDEX('glossaryterms-export'!H:H,_xlpm.rowNum))),ISBLANK(INDEX('glossaryterms-export'!I:I,_xlpm.rowNum))),"Ready to Fix",""))</f>
        <v/>
      </c>
    </row>
    <row r="1752" spans="6:6">
      <c r="F1752" s="1" t="str" cm="1">
        <f t="array" ref="F1752">_xlfn.LET(_xlpm.rowNum,MATCH(E1752,'glossaryterms-export'!C:C,0),
IF(AND(NOT(ISBLANK(INDEX('glossaryterms-export'!H:H,_xlpm.rowNum))),ISBLANK(INDEX('glossaryterms-export'!I:I,_xlpm.rowNum))),"Ready to Fix",""))</f>
        <v/>
      </c>
    </row>
    <row r="1753" spans="6:6">
      <c r="F1753" s="1" t="str" cm="1">
        <f t="array" ref="F1753">_xlfn.LET(_xlpm.rowNum,MATCH(E1753,'glossaryterms-export'!C:C,0),
IF(AND(NOT(ISBLANK(INDEX('glossaryterms-export'!H:H,_xlpm.rowNum))),ISBLANK(INDEX('glossaryterms-export'!I:I,_xlpm.rowNum))),"Ready to Fix",""))</f>
        <v/>
      </c>
    </row>
    <row r="1754" spans="6:6">
      <c r="F1754" s="1" t="str" cm="1">
        <f t="array" ref="F1754">_xlfn.LET(_xlpm.rowNum,MATCH(E1754,'glossaryterms-export'!C:C,0),
IF(AND(NOT(ISBLANK(INDEX('glossaryterms-export'!H:H,_xlpm.rowNum))),ISBLANK(INDEX('glossaryterms-export'!I:I,_xlpm.rowNum))),"Ready to Fix",""))</f>
        <v/>
      </c>
    </row>
    <row r="1755" spans="6:6">
      <c r="F1755" s="1" t="str" cm="1">
        <f t="array" ref="F1755">_xlfn.LET(_xlpm.rowNum,MATCH(E1755,'glossaryterms-export'!C:C,0),
IF(AND(NOT(ISBLANK(INDEX('glossaryterms-export'!H:H,_xlpm.rowNum))),ISBLANK(INDEX('glossaryterms-export'!I:I,_xlpm.rowNum))),"Ready to Fix",""))</f>
        <v/>
      </c>
    </row>
    <row r="1756" spans="6:6">
      <c r="F1756" s="1" t="str" cm="1">
        <f t="array" ref="F1756">_xlfn.LET(_xlpm.rowNum,MATCH(E1756,'glossaryterms-export'!C:C,0),
IF(AND(NOT(ISBLANK(INDEX('glossaryterms-export'!H:H,_xlpm.rowNum))),ISBLANK(INDEX('glossaryterms-export'!I:I,_xlpm.rowNum))),"Ready to Fix",""))</f>
        <v/>
      </c>
    </row>
    <row r="1757" spans="6:6">
      <c r="F1757" s="1" t="str" cm="1">
        <f t="array" ref="F1757">_xlfn.LET(_xlpm.rowNum,MATCH(E1757,'glossaryterms-export'!C:C,0),
IF(AND(NOT(ISBLANK(INDEX('glossaryterms-export'!H:H,_xlpm.rowNum))),ISBLANK(INDEX('glossaryterms-export'!I:I,_xlpm.rowNum))),"Ready to Fix",""))</f>
        <v/>
      </c>
    </row>
    <row r="1758" spans="6:6">
      <c r="F1758" s="1" t="str" cm="1">
        <f t="array" ref="F1758">_xlfn.LET(_xlpm.rowNum,MATCH(E1758,'glossaryterms-export'!C:C,0),
IF(AND(NOT(ISBLANK(INDEX('glossaryterms-export'!H:H,_xlpm.rowNum))),ISBLANK(INDEX('glossaryterms-export'!I:I,_xlpm.rowNum))),"Ready to Fix",""))</f>
        <v/>
      </c>
    </row>
    <row r="1759" spans="6:6">
      <c r="F1759" s="1" t="str" cm="1">
        <f t="array" ref="F1759">_xlfn.LET(_xlpm.rowNum,MATCH(E1759,'glossaryterms-export'!C:C,0),
IF(AND(NOT(ISBLANK(INDEX('glossaryterms-export'!H:H,_xlpm.rowNum))),ISBLANK(INDEX('glossaryterms-export'!I:I,_xlpm.rowNum))),"Ready to Fix",""))</f>
        <v/>
      </c>
    </row>
    <row r="1760" spans="6:6">
      <c r="F1760" s="1" t="str" cm="1">
        <f t="array" ref="F1760">_xlfn.LET(_xlpm.rowNum,MATCH(E1760,'glossaryterms-export'!C:C,0),
IF(AND(NOT(ISBLANK(INDEX('glossaryterms-export'!H:H,_xlpm.rowNum))),ISBLANK(INDEX('glossaryterms-export'!I:I,_xlpm.rowNum))),"Ready to Fix",""))</f>
        <v/>
      </c>
    </row>
    <row r="1761" spans="6:6">
      <c r="F1761" s="1" t="str" cm="1">
        <f t="array" ref="F1761">_xlfn.LET(_xlpm.rowNum,MATCH(E1761,'glossaryterms-export'!C:C,0),
IF(AND(NOT(ISBLANK(INDEX('glossaryterms-export'!H:H,_xlpm.rowNum))),ISBLANK(INDEX('glossaryterms-export'!I:I,_xlpm.rowNum))),"Ready to Fix",""))</f>
        <v/>
      </c>
    </row>
    <row r="1762" spans="6:6">
      <c r="F1762" s="1" t="str" cm="1">
        <f t="array" ref="F1762">_xlfn.LET(_xlpm.rowNum,MATCH(E1762,'glossaryterms-export'!C:C,0),
IF(AND(NOT(ISBLANK(INDEX('glossaryterms-export'!H:H,_xlpm.rowNum))),ISBLANK(INDEX('glossaryterms-export'!I:I,_xlpm.rowNum))),"Ready to Fix",""))</f>
        <v/>
      </c>
    </row>
    <row r="1763" spans="6:6">
      <c r="F1763" s="1" t="str" cm="1">
        <f t="array" ref="F1763">_xlfn.LET(_xlpm.rowNum,MATCH(E1763,'glossaryterms-export'!C:C,0),
IF(AND(NOT(ISBLANK(INDEX('glossaryterms-export'!H:H,_xlpm.rowNum))),ISBLANK(INDEX('glossaryterms-export'!I:I,_xlpm.rowNum))),"Ready to Fix",""))</f>
        <v/>
      </c>
    </row>
    <row r="1764" spans="6:6">
      <c r="F1764" s="1" t="str" cm="1">
        <f t="array" ref="F1764">_xlfn.LET(_xlpm.rowNum,MATCH(E1764,'glossaryterms-export'!C:C,0),
IF(AND(NOT(ISBLANK(INDEX('glossaryterms-export'!H:H,_xlpm.rowNum))),ISBLANK(INDEX('glossaryterms-export'!I:I,_xlpm.rowNum))),"Ready to Fix",""))</f>
        <v/>
      </c>
    </row>
    <row r="1765" spans="6:6">
      <c r="F1765" s="1" t="str" cm="1">
        <f t="array" ref="F1765">_xlfn.LET(_xlpm.rowNum,MATCH(E1765,'glossaryterms-export'!C:C,0),
IF(AND(NOT(ISBLANK(INDEX('glossaryterms-export'!H:H,_xlpm.rowNum))),ISBLANK(INDEX('glossaryterms-export'!I:I,_xlpm.rowNum))),"Ready to Fix",""))</f>
        <v/>
      </c>
    </row>
    <row r="1766" spans="6:6">
      <c r="F1766" s="1" t="str" cm="1">
        <f t="array" ref="F1766">_xlfn.LET(_xlpm.rowNum,MATCH(E1766,'glossaryterms-export'!C:C,0),
IF(AND(NOT(ISBLANK(INDEX('glossaryterms-export'!H:H,_xlpm.rowNum))),ISBLANK(INDEX('glossaryterms-export'!I:I,_xlpm.rowNum))),"Ready to Fix",""))</f>
        <v/>
      </c>
    </row>
    <row r="1767" spans="6:6">
      <c r="F1767" s="1" t="str" cm="1">
        <f t="array" ref="F1767">_xlfn.LET(_xlpm.rowNum,MATCH(E1767,'glossaryterms-export'!C:C,0),
IF(AND(NOT(ISBLANK(INDEX('glossaryterms-export'!H:H,_xlpm.rowNum))),ISBLANK(INDEX('glossaryterms-export'!I:I,_xlpm.rowNum))),"Ready to Fix",""))</f>
        <v/>
      </c>
    </row>
    <row r="1768" spans="6:6">
      <c r="F1768" s="1" t="str" cm="1">
        <f t="array" ref="F1768">_xlfn.LET(_xlpm.rowNum,MATCH(E1768,'glossaryterms-export'!C:C,0),
IF(AND(NOT(ISBLANK(INDEX('glossaryterms-export'!H:H,_xlpm.rowNum))),ISBLANK(INDEX('glossaryterms-export'!I:I,_xlpm.rowNum))),"Ready to Fix",""))</f>
        <v/>
      </c>
    </row>
    <row r="1769" spans="6:6">
      <c r="F1769" s="1" t="str" cm="1">
        <f t="array" ref="F1769">_xlfn.LET(_xlpm.rowNum,MATCH(E1769,'glossaryterms-export'!C:C,0),
IF(AND(NOT(ISBLANK(INDEX('glossaryterms-export'!H:H,_xlpm.rowNum))),ISBLANK(INDEX('glossaryterms-export'!I:I,_xlpm.rowNum))),"Ready to Fix",""))</f>
        <v/>
      </c>
    </row>
    <row r="1770" spans="6:6">
      <c r="F1770" s="1" t="str" cm="1">
        <f t="array" ref="F1770">_xlfn.LET(_xlpm.rowNum,MATCH(E1770,'glossaryterms-export'!C:C,0),
IF(AND(NOT(ISBLANK(INDEX('glossaryterms-export'!H:H,_xlpm.rowNum))),ISBLANK(INDEX('glossaryterms-export'!I:I,_xlpm.rowNum))),"Ready to Fix",""))</f>
        <v/>
      </c>
    </row>
    <row r="1771" spans="6:6">
      <c r="F1771" s="1" t="str" cm="1">
        <f t="array" ref="F1771">_xlfn.LET(_xlpm.rowNum,MATCH(E1771,'glossaryterms-export'!C:C,0),
IF(AND(NOT(ISBLANK(INDEX('glossaryterms-export'!H:H,_xlpm.rowNum))),ISBLANK(INDEX('glossaryterms-export'!I:I,_xlpm.rowNum))),"Ready to Fix",""))</f>
        <v/>
      </c>
    </row>
    <row r="1772" spans="6:6">
      <c r="F1772" s="1" t="str" cm="1">
        <f t="array" ref="F1772">_xlfn.LET(_xlpm.rowNum,MATCH(E1772,'glossaryterms-export'!C:C,0),
IF(AND(NOT(ISBLANK(INDEX('glossaryterms-export'!H:H,_xlpm.rowNum))),ISBLANK(INDEX('glossaryterms-export'!I:I,_xlpm.rowNum))),"Ready to Fix",""))</f>
        <v/>
      </c>
    </row>
    <row r="1773" spans="6:6">
      <c r="F1773" s="1" t="str" cm="1">
        <f t="array" ref="F1773">_xlfn.LET(_xlpm.rowNum,MATCH(E1773,'glossaryterms-export'!C:C,0),
IF(AND(NOT(ISBLANK(INDEX('glossaryterms-export'!H:H,_xlpm.rowNum))),ISBLANK(INDEX('glossaryterms-export'!I:I,_xlpm.rowNum))),"Ready to Fix",""))</f>
        <v/>
      </c>
    </row>
    <row r="1774" spans="6:6">
      <c r="F1774" s="1" t="str" cm="1">
        <f t="array" ref="F1774">_xlfn.LET(_xlpm.rowNum,MATCH(E1774,'glossaryterms-export'!C:C,0),
IF(AND(NOT(ISBLANK(INDEX('glossaryterms-export'!H:H,_xlpm.rowNum))),ISBLANK(INDEX('glossaryterms-export'!I:I,_xlpm.rowNum))),"Ready to Fix",""))</f>
        <v/>
      </c>
    </row>
    <row r="1775" spans="6:6">
      <c r="F1775" s="1" t="str" cm="1">
        <f t="array" ref="F1775">_xlfn.LET(_xlpm.rowNum,MATCH(E1775,'glossaryterms-export'!C:C,0),
IF(AND(NOT(ISBLANK(INDEX('glossaryterms-export'!H:H,_xlpm.rowNum))),ISBLANK(INDEX('glossaryterms-export'!I:I,_xlpm.rowNum))),"Ready to Fix",""))</f>
        <v/>
      </c>
    </row>
    <row r="1776" spans="6:6">
      <c r="F1776" s="1" t="str" cm="1">
        <f t="array" ref="F1776">_xlfn.LET(_xlpm.rowNum,MATCH(E1776,'glossaryterms-export'!C:C,0),
IF(AND(NOT(ISBLANK(INDEX('glossaryterms-export'!H:H,_xlpm.rowNum))),ISBLANK(INDEX('glossaryterms-export'!I:I,_xlpm.rowNum))),"Ready to Fix",""))</f>
        <v/>
      </c>
    </row>
    <row r="1777" spans="6:6">
      <c r="F1777" s="1" t="str" cm="1">
        <f t="array" ref="F1777">_xlfn.LET(_xlpm.rowNum,MATCH(E1777,'glossaryterms-export'!C:C,0),
IF(AND(NOT(ISBLANK(INDEX('glossaryterms-export'!H:H,_xlpm.rowNum))),ISBLANK(INDEX('glossaryterms-export'!I:I,_xlpm.rowNum))),"Ready to Fix",""))</f>
        <v/>
      </c>
    </row>
    <row r="1778" spans="6:6">
      <c r="F1778" s="1" t="str" cm="1">
        <f t="array" ref="F1778">_xlfn.LET(_xlpm.rowNum,MATCH(E1778,'glossaryterms-export'!C:C,0),
IF(AND(NOT(ISBLANK(INDEX('glossaryterms-export'!H:H,_xlpm.rowNum))),ISBLANK(INDEX('glossaryterms-export'!I:I,_xlpm.rowNum))),"Ready to Fix",""))</f>
        <v/>
      </c>
    </row>
    <row r="1779" spans="6:6">
      <c r="F1779" s="1" t="str" cm="1">
        <f t="array" ref="F1779">_xlfn.LET(_xlpm.rowNum,MATCH(E1779,'glossaryterms-export'!C:C,0),
IF(AND(NOT(ISBLANK(INDEX('glossaryterms-export'!H:H,_xlpm.rowNum))),ISBLANK(INDEX('glossaryterms-export'!I:I,_xlpm.rowNum))),"Ready to Fix",""))</f>
        <v/>
      </c>
    </row>
    <row r="1780" spans="6:6">
      <c r="F1780" s="1" t="str" cm="1">
        <f t="array" ref="F1780">_xlfn.LET(_xlpm.rowNum,MATCH(E1780,'glossaryterms-export'!C:C,0),
IF(AND(NOT(ISBLANK(INDEX('glossaryterms-export'!H:H,_xlpm.rowNum))),ISBLANK(INDEX('glossaryterms-export'!I:I,_xlpm.rowNum))),"Ready to Fix",""))</f>
        <v/>
      </c>
    </row>
    <row r="1781" spans="6:6">
      <c r="F1781" s="1" t="str" cm="1">
        <f t="array" ref="F1781">_xlfn.LET(_xlpm.rowNum,MATCH(E1781,'glossaryterms-export'!C:C,0),
IF(AND(NOT(ISBLANK(INDEX('glossaryterms-export'!H:H,_xlpm.rowNum))),ISBLANK(INDEX('glossaryterms-export'!I:I,_xlpm.rowNum))),"Ready to Fix",""))</f>
        <v/>
      </c>
    </row>
    <row r="1782" spans="6:6">
      <c r="F1782" s="1" t="str" cm="1">
        <f t="array" ref="F1782">_xlfn.LET(_xlpm.rowNum,MATCH(E1782,'glossaryterms-export'!C:C,0),
IF(AND(NOT(ISBLANK(INDEX('glossaryterms-export'!H:H,_xlpm.rowNum))),ISBLANK(INDEX('glossaryterms-export'!I:I,_xlpm.rowNum))),"Ready to Fix",""))</f>
        <v/>
      </c>
    </row>
    <row r="1783" spans="6:6">
      <c r="F1783" s="1" t="str" cm="1">
        <f t="array" ref="F1783">_xlfn.LET(_xlpm.rowNum,MATCH(E1783,'glossaryterms-export'!C:C,0),
IF(AND(NOT(ISBLANK(INDEX('glossaryterms-export'!H:H,_xlpm.rowNum))),ISBLANK(INDEX('glossaryterms-export'!I:I,_xlpm.rowNum))),"Ready to Fix",""))</f>
        <v/>
      </c>
    </row>
    <row r="1784" spans="6:6">
      <c r="F1784" s="1" t="str" cm="1">
        <f t="array" ref="F1784">_xlfn.LET(_xlpm.rowNum,MATCH(E1784,'glossaryterms-export'!C:C,0),
IF(AND(NOT(ISBLANK(INDEX('glossaryterms-export'!H:H,_xlpm.rowNum))),ISBLANK(INDEX('glossaryterms-export'!I:I,_xlpm.rowNum))),"Ready to Fix",""))</f>
        <v/>
      </c>
    </row>
    <row r="1785" spans="6:6">
      <c r="F1785" s="1" t="str" cm="1">
        <f t="array" ref="F1785">_xlfn.LET(_xlpm.rowNum,MATCH(E1785,'glossaryterms-export'!C:C,0),
IF(AND(NOT(ISBLANK(INDEX('glossaryterms-export'!H:H,_xlpm.rowNum))),ISBLANK(INDEX('glossaryterms-export'!I:I,_xlpm.rowNum))),"Ready to Fix",""))</f>
        <v/>
      </c>
    </row>
    <row r="1786" spans="6:6">
      <c r="F1786" s="1" t="str" cm="1">
        <f t="array" ref="F1786">_xlfn.LET(_xlpm.rowNum,MATCH(E1786,'glossaryterms-export'!C:C,0),
IF(AND(NOT(ISBLANK(INDEX('glossaryterms-export'!H:H,_xlpm.rowNum))),ISBLANK(INDEX('glossaryterms-export'!I:I,_xlpm.rowNum))),"Ready to Fix",""))</f>
        <v/>
      </c>
    </row>
    <row r="1787" spans="6:6">
      <c r="F1787" s="1" t="str" cm="1">
        <f t="array" ref="F1787">_xlfn.LET(_xlpm.rowNum,MATCH(E1787,'glossaryterms-export'!C:C,0),
IF(AND(NOT(ISBLANK(INDEX('glossaryterms-export'!H:H,_xlpm.rowNum))),ISBLANK(INDEX('glossaryterms-export'!I:I,_xlpm.rowNum))),"Ready to Fix",""))</f>
        <v/>
      </c>
    </row>
    <row r="1788" spans="6:6">
      <c r="F1788" s="1" t="str" cm="1">
        <f t="array" ref="F1788">_xlfn.LET(_xlpm.rowNum,MATCH(E1788,'glossaryterms-export'!C:C,0),
IF(AND(NOT(ISBLANK(INDEX('glossaryterms-export'!H:H,_xlpm.rowNum))),ISBLANK(INDEX('glossaryterms-export'!I:I,_xlpm.rowNum))),"Ready to Fix",""))</f>
        <v/>
      </c>
    </row>
    <row r="1789" spans="6:6">
      <c r="F1789" s="1" t="str" cm="1">
        <f t="array" ref="F1789">_xlfn.LET(_xlpm.rowNum,MATCH(E1789,'glossaryterms-export'!C:C,0),
IF(AND(NOT(ISBLANK(INDEX('glossaryterms-export'!H:H,_xlpm.rowNum))),ISBLANK(INDEX('glossaryterms-export'!I:I,_xlpm.rowNum))),"Ready to Fix",""))</f>
        <v/>
      </c>
    </row>
    <row r="1790" spans="6:6">
      <c r="F1790" s="1" t="str" cm="1">
        <f t="array" ref="F1790">_xlfn.LET(_xlpm.rowNum,MATCH(E1790,'glossaryterms-export'!C:C,0),
IF(AND(NOT(ISBLANK(INDEX('glossaryterms-export'!H:H,_xlpm.rowNum))),ISBLANK(INDEX('glossaryterms-export'!I:I,_xlpm.rowNum))),"Ready to Fix",""))</f>
        <v/>
      </c>
    </row>
    <row r="1791" spans="6:6">
      <c r="F1791" s="1" t="str" cm="1">
        <f t="array" ref="F1791">_xlfn.LET(_xlpm.rowNum,MATCH(E1791,'glossaryterms-export'!C:C,0),
IF(AND(NOT(ISBLANK(INDEX('glossaryterms-export'!H:H,_xlpm.rowNum))),ISBLANK(INDEX('glossaryterms-export'!I:I,_xlpm.rowNum))),"Ready to Fix",""))</f>
        <v/>
      </c>
    </row>
    <row r="1792" spans="6:6">
      <c r="F1792" s="1" t="str" cm="1">
        <f t="array" ref="F1792">_xlfn.LET(_xlpm.rowNum,MATCH(E1792,'glossaryterms-export'!C:C,0),
IF(AND(NOT(ISBLANK(INDEX('glossaryterms-export'!H:H,_xlpm.rowNum))),ISBLANK(INDEX('glossaryterms-export'!I:I,_xlpm.rowNum))),"Ready to Fix",""))</f>
        <v/>
      </c>
    </row>
    <row r="1793" spans="6:6">
      <c r="F1793" s="1" t="str" cm="1">
        <f t="array" ref="F1793">_xlfn.LET(_xlpm.rowNum,MATCH(E1793,'glossaryterms-export'!C:C,0),
IF(AND(NOT(ISBLANK(INDEX('glossaryterms-export'!H:H,_xlpm.rowNum))),ISBLANK(INDEX('glossaryterms-export'!I:I,_xlpm.rowNum))),"Ready to Fix",""))</f>
        <v/>
      </c>
    </row>
    <row r="1794" spans="6:6">
      <c r="F1794" s="1" t="str" cm="1">
        <f t="array" ref="F1794">_xlfn.LET(_xlpm.rowNum,MATCH(E1794,'glossaryterms-export'!C:C,0),
IF(AND(NOT(ISBLANK(INDEX('glossaryterms-export'!H:H,_xlpm.rowNum))),ISBLANK(INDEX('glossaryterms-export'!I:I,_xlpm.rowNum))),"Ready to Fix",""))</f>
        <v/>
      </c>
    </row>
    <row r="1795" spans="6:6">
      <c r="F1795" s="1" t="str" cm="1">
        <f t="array" ref="F1795">_xlfn.LET(_xlpm.rowNum,MATCH(E1795,'glossaryterms-export'!C:C,0),
IF(AND(NOT(ISBLANK(INDEX('glossaryterms-export'!H:H,_xlpm.rowNum))),ISBLANK(INDEX('glossaryterms-export'!I:I,_xlpm.rowNum))),"Ready to Fix",""))</f>
        <v/>
      </c>
    </row>
    <row r="1796" spans="6:6">
      <c r="F1796" s="1" t="str" cm="1">
        <f t="array" ref="F1796">_xlfn.LET(_xlpm.rowNum,MATCH(E1796,'glossaryterms-export'!C:C,0),
IF(AND(NOT(ISBLANK(INDEX('glossaryterms-export'!H:H,_xlpm.rowNum))),ISBLANK(INDEX('glossaryterms-export'!I:I,_xlpm.rowNum))),"Ready to Fix",""))</f>
        <v/>
      </c>
    </row>
    <row r="1797" spans="6:6">
      <c r="F1797" s="1" t="str" cm="1">
        <f t="array" ref="F1797">_xlfn.LET(_xlpm.rowNum,MATCH(E1797,'glossaryterms-export'!C:C,0),
IF(AND(NOT(ISBLANK(INDEX('glossaryterms-export'!H:H,_xlpm.rowNum))),ISBLANK(INDEX('glossaryterms-export'!I:I,_xlpm.rowNum))),"Ready to Fix",""))</f>
        <v/>
      </c>
    </row>
    <row r="1798" spans="6:6">
      <c r="F1798" s="1" t="str" cm="1">
        <f t="array" ref="F1798">_xlfn.LET(_xlpm.rowNum,MATCH(E1798,'glossaryterms-export'!C:C,0),
IF(AND(NOT(ISBLANK(INDEX('glossaryterms-export'!H:H,_xlpm.rowNum))),ISBLANK(INDEX('glossaryterms-export'!I:I,_xlpm.rowNum))),"Ready to Fix",""))</f>
        <v/>
      </c>
    </row>
    <row r="1799" spans="6:6">
      <c r="F1799" s="1" t="str" cm="1">
        <f t="array" ref="F1799">_xlfn.LET(_xlpm.rowNum,MATCH(E1799,'glossaryterms-export'!C:C,0),
IF(AND(NOT(ISBLANK(INDEX('glossaryterms-export'!H:H,_xlpm.rowNum))),ISBLANK(INDEX('glossaryterms-export'!I:I,_xlpm.rowNum))),"Ready to Fix",""))</f>
        <v/>
      </c>
    </row>
    <row r="1800" spans="6:6">
      <c r="F1800" s="1" t="str" cm="1">
        <f t="array" ref="F1800">_xlfn.LET(_xlpm.rowNum,MATCH(E1800,'glossaryterms-export'!C:C,0),
IF(AND(NOT(ISBLANK(INDEX('glossaryterms-export'!H:H,_xlpm.rowNum))),ISBLANK(INDEX('glossaryterms-export'!I:I,_xlpm.rowNum))),"Ready to Fix",""))</f>
        <v/>
      </c>
    </row>
    <row r="1801" spans="6:6">
      <c r="F1801" s="1" t="str" cm="1">
        <f t="array" ref="F1801">_xlfn.LET(_xlpm.rowNum,MATCH(E1801,'glossaryterms-export'!C:C,0),
IF(AND(NOT(ISBLANK(INDEX('glossaryterms-export'!H:H,_xlpm.rowNum))),ISBLANK(INDEX('glossaryterms-export'!I:I,_xlpm.rowNum))),"Ready to Fix",""))</f>
        <v/>
      </c>
    </row>
    <row r="1802" spans="6:6">
      <c r="F1802" s="1" t="str" cm="1">
        <f t="array" ref="F1802">_xlfn.LET(_xlpm.rowNum,MATCH(E1802,'glossaryterms-export'!C:C,0),
IF(AND(NOT(ISBLANK(INDEX('glossaryterms-export'!H:H,_xlpm.rowNum))),ISBLANK(INDEX('glossaryterms-export'!I:I,_xlpm.rowNum))),"Ready to Fix",""))</f>
        <v/>
      </c>
    </row>
    <row r="1803" spans="6:6">
      <c r="F1803" s="1" t="str" cm="1">
        <f t="array" ref="F1803">_xlfn.LET(_xlpm.rowNum,MATCH(E1803,'glossaryterms-export'!C:C,0),
IF(AND(NOT(ISBLANK(INDEX('glossaryterms-export'!H:H,_xlpm.rowNum))),ISBLANK(INDEX('glossaryterms-export'!I:I,_xlpm.rowNum))),"Ready to Fix",""))</f>
        <v/>
      </c>
    </row>
    <row r="1804" spans="6:6">
      <c r="F1804" s="1" t="str" cm="1">
        <f t="array" ref="F1804">_xlfn.LET(_xlpm.rowNum,MATCH(E1804,'glossaryterms-export'!C:C,0),
IF(AND(NOT(ISBLANK(INDEX('glossaryterms-export'!H:H,_xlpm.rowNum))),ISBLANK(INDEX('glossaryterms-export'!I:I,_xlpm.rowNum))),"Ready to Fix",""))</f>
        <v/>
      </c>
    </row>
    <row r="1805" spans="6:6">
      <c r="F1805" s="1" t="str" cm="1">
        <f t="array" ref="F1805">_xlfn.LET(_xlpm.rowNum,MATCH(E1805,'glossaryterms-export'!C:C,0),
IF(AND(NOT(ISBLANK(INDEX('glossaryterms-export'!H:H,_xlpm.rowNum))),ISBLANK(INDEX('glossaryterms-export'!I:I,_xlpm.rowNum))),"Ready to Fix",""))</f>
        <v/>
      </c>
    </row>
    <row r="1806" spans="6:6">
      <c r="F1806" s="1" t="str" cm="1">
        <f t="array" ref="F1806">_xlfn.LET(_xlpm.rowNum,MATCH(E1806,'glossaryterms-export'!C:C,0),
IF(AND(NOT(ISBLANK(INDEX('glossaryterms-export'!H:H,_xlpm.rowNum))),ISBLANK(INDEX('glossaryterms-export'!I:I,_xlpm.rowNum))),"Ready to Fix",""))</f>
        <v/>
      </c>
    </row>
    <row r="1807" spans="6:6">
      <c r="F1807" s="1" t="str" cm="1">
        <f t="array" ref="F1807">_xlfn.LET(_xlpm.rowNum,MATCH(E1807,'glossaryterms-export'!C:C,0),
IF(AND(NOT(ISBLANK(INDEX('glossaryterms-export'!H:H,_xlpm.rowNum))),ISBLANK(INDEX('glossaryterms-export'!I:I,_xlpm.rowNum))),"Ready to Fix",""))</f>
        <v/>
      </c>
    </row>
    <row r="1808" spans="6:6">
      <c r="F1808" s="1" t="str" cm="1">
        <f t="array" ref="F1808">_xlfn.LET(_xlpm.rowNum,MATCH(E1808,'glossaryterms-export'!C:C,0),
IF(AND(NOT(ISBLANK(INDEX('glossaryterms-export'!H:H,_xlpm.rowNum))),ISBLANK(INDEX('glossaryterms-export'!I:I,_xlpm.rowNum))),"Ready to Fix",""))</f>
        <v/>
      </c>
    </row>
    <row r="1809" spans="6:6">
      <c r="F1809" s="1" t="str" cm="1">
        <f t="array" ref="F1809">_xlfn.LET(_xlpm.rowNum,MATCH(E1809,'glossaryterms-export'!C:C,0),
IF(AND(NOT(ISBLANK(INDEX('glossaryterms-export'!H:H,_xlpm.rowNum))),ISBLANK(INDEX('glossaryterms-export'!I:I,_xlpm.rowNum))),"Ready to Fix",""))</f>
        <v/>
      </c>
    </row>
    <row r="1810" spans="6:6">
      <c r="F1810" s="1" t="str" cm="1">
        <f t="array" ref="F1810">_xlfn.LET(_xlpm.rowNum,MATCH(E1810,'glossaryterms-export'!C:C,0),
IF(AND(NOT(ISBLANK(INDEX('glossaryterms-export'!H:H,_xlpm.rowNum))),ISBLANK(INDEX('glossaryterms-export'!I:I,_xlpm.rowNum))),"Ready to Fix",""))</f>
        <v/>
      </c>
    </row>
    <row r="1811" spans="6:6">
      <c r="F1811" s="1" t="str" cm="1">
        <f t="array" ref="F1811">_xlfn.LET(_xlpm.rowNum,MATCH(E1811,'glossaryterms-export'!C:C,0),
IF(AND(NOT(ISBLANK(INDEX('glossaryterms-export'!H:H,_xlpm.rowNum))),ISBLANK(INDEX('glossaryterms-export'!I:I,_xlpm.rowNum))),"Ready to Fix",""))</f>
        <v/>
      </c>
    </row>
    <row r="1812" spans="6:6">
      <c r="F1812" s="1" t="str" cm="1">
        <f t="array" ref="F1812">_xlfn.LET(_xlpm.rowNum,MATCH(E1812,'glossaryterms-export'!C:C,0),
IF(AND(NOT(ISBLANK(INDEX('glossaryterms-export'!H:H,_xlpm.rowNum))),ISBLANK(INDEX('glossaryterms-export'!I:I,_xlpm.rowNum))),"Ready to Fix",""))</f>
        <v/>
      </c>
    </row>
    <row r="1813" spans="6:6">
      <c r="F1813" s="1" t="str" cm="1">
        <f t="array" ref="F1813">_xlfn.LET(_xlpm.rowNum,MATCH(E1813,'glossaryterms-export'!C:C,0),
IF(AND(NOT(ISBLANK(INDEX('glossaryterms-export'!H:H,_xlpm.rowNum))),ISBLANK(INDEX('glossaryterms-export'!I:I,_xlpm.rowNum))),"Ready to Fix",""))</f>
        <v/>
      </c>
    </row>
    <row r="1814" spans="6:6">
      <c r="F1814" s="1" t="str" cm="1">
        <f t="array" ref="F1814">_xlfn.LET(_xlpm.rowNum,MATCH(E1814,'glossaryterms-export'!C:C,0),
IF(AND(NOT(ISBLANK(INDEX('glossaryterms-export'!H:H,_xlpm.rowNum))),ISBLANK(INDEX('glossaryterms-export'!I:I,_xlpm.rowNum))),"Ready to Fix",""))</f>
        <v/>
      </c>
    </row>
    <row r="1815" spans="6:6">
      <c r="F1815" s="1" t="str" cm="1">
        <f t="array" ref="F1815">_xlfn.LET(_xlpm.rowNum,MATCH(E1815,'glossaryterms-export'!C:C,0),
IF(AND(NOT(ISBLANK(INDEX('glossaryterms-export'!H:H,_xlpm.rowNum))),ISBLANK(INDEX('glossaryterms-export'!I:I,_xlpm.rowNum))),"Ready to Fix",""))</f>
        <v/>
      </c>
    </row>
    <row r="1816" spans="6:6">
      <c r="F1816" s="1" t="str" cm="1">
        <f t="array" ref="F1816">_xlfn.LET(_xlpm.rowNum,MATCH(E1816,'glossaryterms-export'!C:C,0),
IF(AND(NOT(ISBLANK(INDEX('glossaryterms-export'!H:H,_xlpm.rowNum))),ISBLANK(INDEX('glossaryterms-export'!I:I,_xlpm.rowNum))),"Ready to Fix",""))</f>
        <v/>
      </c>
    </row>
    <row r="1817" spans="6:6">
      <c r="F1817" s="1" t="str" cm="1">
        <f t="array" ref="F1817">_xlfn.LET(_xlpm.rowNum,MATCH(E1817,'glossaryterms-export'!C:C,0),
IF(AND(NOT(ISBLANK(INDEX('glossaryterms-export'!H:H,_xlpm.rowNum))),ISBLANK(INDEX('glossaryterms-export'!I:I,_xlpm.rowNum))),"Ready to Fix",""))</f>
        <v/>
      </c>
    </row>
    <row r="1818" spans="6:6">
      <c r="F1818" s="1" t="str" cm="1">
        <f t="array" ref="F1818">_xlfn.LET(_xlpm.rowNum,MATCH(E1818,'glossaryterms-export'!C:C,0),
IF(AND(NOT(ISBLANK(INDEX('glossaryterms-export'!H:H,_xlpm.rowNum))),ISBLANK(INDEX('glossaryterms-export'!I:I,_xlpm.rowNum))),"Ready to Fix",""))</f>
        <v/>
      </c>
    </row>
    <row r="1819" spans="6:6">
      <c r="F1819" s="1" t="str" cm="1">
        <f t="array" ref="F1819">_xlfn.LET(_xlpm.rowNum,MATCH(E1819,'glossaryterms-export'!C:C,0),
IF(AND(NOT(ISBLANK(INDEX('glossaryterms-export'!H:H,_xlpm.rowNum))),ISBLANK(INDEX('glossaryterms-export'!I:I,_xlpm.rowNum))),"Ready to Fix",""))</f>
        <v/>
      </c>
    </row>
    <row r="1820" spans="6:6">
      <c r="F1820" s="1" t="str" cm="1">
        <f t="array" ref="F1820">_xlfn.LET(_xlpm.rowNum,MATCH(E1820,'glossaryterms-export'!C:C,0),
IF(AND(NOT(ISBLANK(INDEX('glossaryterms-export'!H:H,_xlpm.rowNum))),ISBLANK(INDEX('glossaryterms-export'!I:I,_xlpm.rowNum))),"Ready to Fix",""))</f>
        <v/>
      </c>
    </row>
    <row r="1821" spans="6:6">
      <c r="F1821" s="1" t="str" cm="1">
        <f t="array" ref="F1821">_xlfn.LET(_xlpm.rowNum,MATCH(E1821,'glossaryterms-export'!C:C,0),
IF(AND(NOT(ISBLANK(INDEX('glossaryterms-export'!H:H,_xlpm.rowNum))),ISBLANK(INDEX('glossaryterms-export'!I:I,_xlpm.rowNum))),"Ready to Fix",""))</f>
        <v/>
      </c>
    </row>
    <row r="1822" spans="6:6">
      <c r="F1822" s="1" t="str" cm="1">
        <f t="array" ref="F1822">_xlfn.LET(_xlpm.rowNum,MATCH(E1822,'glossaryterms-export'!C:C,0),
IF(AND(NOT(ISBLANK(INDEX('glossaryterms-export'!H:H,_xlpm.rowNum))),ISBLANK(INDEX('glossaryterms-export'!I:I,_xlpm.rowNum))),"Ready to Fix",""))</f>
        <v/>
      </c>
    </row>
    <row r="1823" spans="6:6">
      <c r="F1823" s="1" t="str" cm="1">
        <f t="array" ref="F1823">_xlfn.LET(_xlpm.rowNum,MATCH(E1823,'glossaryterms-export'!C:C,0),
IF(AND(NOT(ISBLANK(INDEX('glossaryterms-export'!H:H,_xlpm.rowNum))),ISBLANK(INDEX('glossaryterms-export'!I:I,_xlpm.rowNum))),"Ready to Fix",""))</f>
        <v/>
      </c>
    </row>
    <row r="1824" spans="6:6">
      <c r="F1824" s="1" t="str" cm="1">
        <f t="array" ref="F1824">_xlfn.LET(_xlpm.rowNum,MATCH(E1824,'glossaryterms-export'!C:C,0),
IF(AND(NOT(ISBLANK(INDEX('glossaryterms-export'!H:H,_xlpm.rowNum))),ISBLANK(INDEX('glossaryterms-export'!I:I,_xlpm.rowNum))),"Ready to Fix",""))</f>
        <v/>
      </c>
    </row>
    <row r="1825" spans="6:6">
      <c r="F1825" s="1" t="str" cm="1">
        <f t="array" ref="F1825">_xlfn.LET(_xlpm.rowNum,MATCH(E1825,'glossaryterms-export'!C:C,0),
IF(AND(NOT(ISBLANK(INDEX('glossaryterms-export'!H:H,_xlpm.rowNum))),ISBLANK(INDEX('glossaryterms-export'!I:I,_xlpm.rowNum))),"Ready to Fix",""))</f>
        <v/>
      </c>
    </row>
    <row r="1826" spans="6:6">
      <c r="F1826" s="1" t="str" cm="1">
        <f t="array" ref="F1826">_xlfn.LET(_xlpm.rowNum,MATCH(E1826,'glossaryterms-export'!C:C,0),
IF(AND(NOT(ISBLANK(INDEX('glossaryterms-export'!H:H,_xlpm.rowNum))),ISBLANK(INDEX('glossaryterms-export'!I:I,_xlpm.rowNum))),"Ready to Fix",""))</f>
        <v/>
      </c>
    </row>
    <row r="1827" spans="6:6">
      <c r="F1827" s="1" t="str" cm="1">
        <f t="array" ref="F1827">_xlfn.LET(_xlpm.rowNum,MATCH(E1827,'glossaryterms-export'!C:C,0),
IF(AND(NOT(ISBLANK(INDEX('glossaryterms-export'!H:H,_xlpm.rowNum))),ISBLANK(INDEX('glossaryterms-export'!I:I,_xlpm.rowNum))),"Ready to Fix",""))</f>
        <v/>
      </c>
    </row>
    <row r="1828" spans="6:6">
      <c r="F1828" s="1" t="str" cm="1">
        <f t="array" ref="F1828">_xlfn.LET(_xlpm.rowNum,MATCH(E1828,'glossaryterms-export'!C:C,0),
IF(AND(NOT(ISBLANK(INDEX('glossaryterms-export'!H:H,_xlpm.rowNum))),ISBLANK(INDEX('glossaryterms-export'!I:I,_xlpm.rowNum))),"Ready to Fix",""))</f>
        <v/>
      </c>
    </row>
    <row r="1829" spans="6:6">
      <c r="F1829" s="1" t="str" cm="1">
        <f t="array" ref="F1829">_xlfn.LET(_xlpm.rowNum,MATCH(E1829,'glossaryterms-export'!C:C,0),
IF(AND(NOT(ISBLANK(INDEX('glossaryterms-export'!H:H,_xlpm.rowNum))),ISBLANK(INDEX('glossaryterms-export'!I:I,_xlpm.rowNum))),"Ready to Fix",""))</f>
        <v/>
      </c>
    </row>
    <row r="1830" spans="6:6">
      <c r="F1830" s="1" t="str" cm="1">
        <f t="array" ref="F1830">_xlfn.LET(_xlpm.rowNum,MATCH(E1830,'glossaryterms-export'!C:C,0),
IF(AND(NOT(ISBLANK(INDEX('glossaryterms-export'!H:H,_xlpm.rowNum))),ISBLANK(INDEX('glossaryterms-export'!I:I,_xlpm.rowNum))),"Ready to Fix",""))</f>
        <v/>
      </c>
    </row>
    <row r="1831" spans="6:6">
      <c r="F1831" s="1" t="str" cm="1">
        <f t="array" ref="F1831">_xlfn.LET(_xlpm.rowNum,MATCH(E1831,'glossaryterms-export'!C:C,0),
IF(AND(NOT(ISBLANK(INDEX('glossaryterms-export'!H:H,_xlpm.rowNum))),ISBLANK(INDEX('glossaryterms-export'!I:I,_xlpm.rowNum))),"Ready to Fix",""))</f>
        <v/>
      </c>
    </row>
    <row r="1832" spans="6:6">
      <c r="F1832" s="1" t="str" cm="1">
        <f t="array" ref="F1832">_xlfn.LET(_xlpm.rowNum,MATCH(E1832,'glossaryterms-export'!C:C,0),
IF(AND(NOT(ISBLANK(INDEX('glossaryterms-export'!H:H,_xlpm.rowNum))),ISBLANK(INDEX('glossaryterms-export'!I:I,_xlpm.rowNum))),"Ready to Fix",""))</f>
        <v/>
      </c>
    </row>
    <row r="1833" spans="6:6">
      <c r="F1833" s="1" t="str" cm="1">
        <f t="array" ref="F1833">_xlfn.LET(_xlpm.rowNum,MATCH(E1833,'glossaryterms-export'!C:C,0),
IF(AND(NOT(ISBLANK(INDEX('glossaryterms-export'!H:H,_xlpm.rowNum))),ISBLANK(INDEX('glossaryterms-export'!I:I,_xlpm.rowNum))),"Ready to Fix",""))</f>
        <v/>
      </c>
    </row>
    <row r="1834" spans="6:6">
      <c r="F1834" s="1" t="str" cm="1">
        <f t="array" ref="F1834">_xlfn.LET(_xlpm.rowNum,MATCH(E1834,'glossaryterms-export'!C:C,0),
IF(AND(NOT(ISBLANK(INDEX('glossaryterms-export'!H:H,_xlpm.rowNum))),ISBLANK(INDEX('glossaryterms-export'!I:I,_xlpm.rowNum))),"Ready to Fix",""))</f>
        <v/>
      </c>
    </row>
    <row r="1835" spans="6:6">
      <c r="F1835" s="1" t="str" cm="1">
        <f t="array" ref="F1835">_xlfn.LET(_xlpm.rowNum,MATCH(E1835,'glossaryterms-export'!C:C,0),
IF(AND(NOT(ISBLANK(INDEX('glossaryterms-export'!H:H,_xlpm.rowNum))),ISBLANK(INDEX('glossaryterms-export'!I:I,_xlpm.rowNum))),"Ready to Fix",""))</f>
        <v/>
      </c>
    </row>
    <row r="1836" spans="6:6">
      <c r="F1836" s="1" t="str" cm="1">
        <f t="array" ref="F1836">_xlfn.LET(_xlpm.rowNum,MATCH(E1836,'glossaryterms-export'!C:C,0),
IF(AND(NOT(ISBLANK(INDEX('glossaryterms-export'!H:H,_xlpm.rowNum))),ISBLANK(INDEX('glossaryterms-export'!I:I,_xlpm.rowNum))),"Ready to Fix",""))</f>
        <v/>
      </c>
    </row>
    <row r="1837" spans="6:6">
      <c r="F1837" s="1" t="str" cm="1">
        <f t="array" ref="F1837">_xlfn.LET(_xlpm.rowNum,MATCH(E1837,'glossaryterms-export'!C:C,0),
IF(AND(NOT(ISBLANK(INDEX('glossaryterms-export'!H:H,_xlpm.rowNum))),ISBLANK(INDEX('glossaryterms-export'!I:I,_xlpm.rowNum))),"Ready to Fix",""))</f>
        <v/>
      </c>
    </row>
    <row r="1838" spans="6:6">
      <c r="F1838" s="1" t="str" cm="1">
        <f t="array" ref="F1838">_xlfn.LET(_xlpm.rowNum,MATCH(E1838,'glossaryterms-export'!C:C,0),
IF(AND(NOT(ISBLANK(INDEX('glossaryterms-export'!H:H,_xlpm.rowNum))),ISBLANK(INDEX('glossaryterms-export'!I:I,_xlpm.rowNum))),"Ready to Fix",""))</f>
        <v/>
      </c>
    </row>
    <row r="1839" spans="6:6">
      <c r="F1839" s="1" t="str" cm="1">
        <f t="array" ref="F1839">_xlfn.LET(_xlpm.rowNum,MATCH(E1839,'glossaryterms-export'!C:C,0),
IF(AND(NOT(ISBLANK(INDEX('glossaryterms-export'!H:H,_xlpm.rowNum))),ISBLANK(INDEX('glossaryterms-export'!I:I,_xlpm.rowNum))),"Ready to Fix",""))</f>
        <v/>
      </c>
    </row>
    <row r="1840" spans="6:6">
      <c r="F1840" s="1" t="str" cm="1">
        <f t="array" ref="F1840">_xlfn.LET(_xlpm.rowNum,MATCH(E1840,'glossaryterms-export'!C:C,0),
IF(AND(NOT(ISBLANK(INDEX('glossaryterms-export'!H:H,_xlpm.rowNum))),ISBLANK(INDEX('glossaryterms-export'!I:I,_xlpm.rowNum))),"Ready to Fix",""))</f>
        <v/>
      </c>
    </row>
    <row r="1841" spans="6:6">
      <c r="F1841" s="1" t="str" cm="1">
        <f t="array" ref="F1841">_xlfn.LET(_xlpm.rowNum,MATCH(E1841,'glossaryterms-export'!C:C,0),
IF(AND(NOT(ISBLANK(INDEX('glossaryterms-export'!H:H,_xlpm.rowNum))),ISBLANK(INDEX('glossaryterms-export'!I:I,_xlpm.rowNum))),"Ready to Fix",""))</f>
        <v/>
      </c>
    </row>
    <row r="1842" spans="6:6">
      <c r="F1842" s="1" t="str" cm="1">
        <f t="array" ref="F1842">_xlfn.LET(_xlpm.rowNum,MATCH(E1842,'glossaryterms-export'!C:C,0),
IF(AND(NOT(ISBLANK(INDEX('glossaryterms-export'!H:H,_xlpm.rowNum))),ISBLANK(INDEX('glossaryterms-export'!I:I,_xlpm.rowNum))),"Ready to Fix",""))</f>
        <v/>
      </c>
    </row>
    <row r="1843" spans="6:6">
      <c r="F1843" s="1" t="str" cm="1">
        <f t="array" ref="F1843">_xlfn.LET(_xlpm.rowNum,MATCH(E1843,'glossaryterms-export'!C:C,0),
IF(AND(NOT(ISBLANK(INDEX('glossaryterms-export'!H:H,_xlpm.rowNum))),ISBLANK(INDEX('glossaryterms-export'!I:I,_xlpm.rowNum))),"Ready to Fix",""))</f>
        <v/>
      </c>
    </row>
    <row r="1844" spans="6:6">
      <c r="F1844" s="1" t="str" cm="1">
        <f t="array" ref="F1844">_xlfn.LET(_xlpm.rowNum,MATCH(E1844,'glossaryterms-export'!C:C,0),
IF(AND(NOT(ISBLANK(INDEX('glossaryterms-export'!H:H,_xlpm.rowNum))),ISBLANK(INDEX('glossaryterms-export'!I:I,_xlpm.rowNum))),"Ready to Fix",""))</f>
        <v/>
      </c>
    </row>
    <row r="1845" spans="6:6">
      <c r="F1845" s="1" t="str" cm="1">
        <f t="array" ref="F1845">_xlfn.LET(_xlpm.rowNum,MATCH(E1845,'glossaryterms-export'!C:C,0),
IF(AND(NOT(ISBLANK(INDEX('glossaryterms-export'!H:H,_xlpm.rowNum))),ISBLANK(INDEX('glossaryterms-export'!I:I,_xlpm.rowNum))),"Ready to Fix",""))</f>
        <v/>
      </c>
    </row>
    <row r="1846" spans="6:6">
      <c r="F1846" s="1" t="str" cm="1">
        <f t="array" ref="F1846">_xlfn.LET(_xlpm.rowNum,MATCH(E1846,'glossaryterms-export'!C:C,0),
IF(AND(NOT(ISBLANK(INDEX('glossaryterms-export'!H:H,_xlpm.rowNum))),ISBLANK(INDEX('glossaryterms-export'!I:I,_xlpm.rowNum))),"Ready to Fix",""))</f>
        <v/>
      </c>
    </row>
    <row r="1847" spans="6:6">
      <c r="F1847" s="1" t="str" cm="1">
        <f t="array" ref="F1847">_xlfn.LET(_xlpm.rowNum,MATCH(E1847,'glossaryterms-export'!C:C,0),
IF(AND(NOT(ISBLANK(INDEX('glossaryterms-export'!H:H,_xlpm.rowNum))),ISBLANK(INDEX('glossaryterms-export'!I:I,_xlpm.rowNum))),"Ready to Fix",""))</f>
        <v/>
      </c>
    </row>
    <row r="1848" spans="6:6">
      <c r="F1848" s="1" t="str" cm="1">
        <f t="array" ref="F1848">_xlfn.LET(_xlpm.rowNum,MATCH(E1848,'glossaryterms-export'!C:C,0),
IF(AND(NOT(ISBLANK(INDEX('glossaryterms-export'!H:H,_xlpm.rowNum))),ISBLANK(INDEX('glossaryterms-export'!I:I,_xlpm.rowNum))),"Ready to Fix",""))</f>
        <v/>
      </c>
    </row>
    <row r="1849" spans="6:6">
      <c r="F1849" s="1" t="str" cm="1">
        <f t="array" ref="F1849">_xlfn.LET(_xlpm.rowNum,MATCH(E1849,'glossaryterms-export'!C:C,0),
IF(AND(NOT(ISBLANK(INDEX('glossaryterms-export'!H:H,_xlpm.rowNum))),ISBLANK(INDEX('glossaryterms-export'!I:I,_xlpm.rowNum))),"Ready to Fix",""))</f>
        <v/>
      </c>
    </row>
    <row r="1850" spans="6:6">
      <c r="F1850" s="1" t="str" cm="1">
        <f t="array" ref="F1850">_xlfn.LET(_xlpm.rowNum,MATCH(E1850,'glossaryterms-export'!C:C,0),
IF(AND(NOT(ISBLANK(INDEX('glossaryterms-export'!H:H,_xlpm.rowNum))),ISBLANK(INDEX('glossaryterms-export'!I:I,_xlpm.rowNum))),"Ready to Fix",""))</f>
        <v/>
      </c>
    </row>
    <row r="1851" spans="6:6">
      <c r="F1851" s="1" t="str" cm="1">
        <f t="array" ref="F1851">_xlfn.LET(_xlpm.rowNum,MATCH(E1851,'glossaryterms-export'!C:C,0),
IF(AND(NOT(ISBLANK(INDEX('glossaryterms-export'!H:H,_xlpm.rowNum))),ISBLANK(INDEX('glossaryterms-export'!I:I,_xlpm.rowNum))),"Ready to Fix",""))</f>
        <v/>
      </c>
    </row>
    <row r="1852" spans="6:6">
      <c r="F1852" s="1" t="str" cm="1">
        <f t="array" ref="F1852">_xlfn.LET(_xlpm.rowNum,MATCH(E1852,'glossaryterms-export'!C:C,0),
IF(AND(NOT(ISBLANK(INDEX('glossaryterms-export'!H:H,_xlpm.rowNum))),ISBLANK(INDEX('glossaryterms-export'!I:I,_xlpm.rowNum))),"Ready to Fix",""))</f>
        <v/>
      </c>
    </row>
    <row r="1853" spans="6:6">
      <c r="F1853" s="1" t="str" cm="1">
        <f t="array" ref="F1853">_xlfn.LET(_xlpm.rowNum,MATCH(E1853,'glossaryterms-export'!C:C,0),
IF(AND(NOT(ISBLANK(INDEX('glossaryterms-export'!H:H,_xlpm.rowNum))),ISBLANK(INDEX('glossaryterms-export'!I:I,_xlpm.rowNum))),"Ready to Fix",""))</f>
        <v/>
      </c>
    </row>
    <row r="1854" spans="6:6">
      <c r="F1854" s="1" t="str" cm="1">
        <f t="array" ref="F1854">_xlfn.LET(_xlpm.rowNum,MATCH(E1854,'glossaryterms-export'!C:C,0),
IF(AND(NOT(ISBLANK(INDEX('glossaryterms-export'!H:H,_xlpm.rowNum))),ISBLANK(INDEX('glossaryterms-export'!I:I,_xlpm.rowNum))),"Ready to Fix",""))</f>
        <v/>
      </c>
    </row>
    <row r="1855" spans="6:6">
      <c r="F1855" s="1" t="str" cm="1">
        <f t="array" ref="F1855">_xlfn.LET(_xlpm.rowNum,MATCH(E1855,'glossaryterms-export'!C:C,0),
IF(AND(NOT(ISBLANK(INDEX('glossaryterms-export'!H:H,_xlpm.rowNum))),ISBLANK(INDEX('glossaryterms-export'!I:I,_xlpm.rowNum))),"Ready to Fix",""))</f>
        <v/>
      </c>
    </row>
    <row r="1856" spans="6:6">
      <c r="F1856" s="1" t="str" cm="1">
        <f t="array" ref="F1856">_xlfn.LET(_xlpm.rowNum,MATCH(E1856,'glossaryterms-export'!C:C,0),
IF(AND(NOT(ISBLANK(INDEX('glossaryterms-export'!H:H,_xlpm.rowNum))),ISBLANK(INDEX('glossaryterms-export'!I:I,_xlpm.rowNum))),"Ready to Fix",""))</f>
        <v/>
      </c>
    </row>
    <row r="1857" spans="6:6">
      <c r="F1857" s="1" t="str" cm="1">
        <f t="array" ref="F1857">_xlfn.LET(_xlpm.rowNum,MATCH(E1857,'glossaryterms-export'!C:C,0),
IF(AND(NOT(ISBLANK(INDEX('glossaryterms-export'!H:H,_xlpm.rowNum))),ISBLANK(INDEX('glossaryterms-export'!I:I,_xlpm.rowNum))),"Ready to Fix",""))</f>
        <v/>
      </c>
    </row>
    <row r="1858" spans="6:6">
      <c r="F1858" s="1" t="str" cm="1">
        <f t="array" ref="F1858">_xlfn.LET(_xlpm.rowNum,MATCH(E1858,'glossaryterms-export'!C:C,0),
IF(AND(NOT(ISBLANK(INDEX('glossaryterms-export'!H:H,_xlpm.rowNum))),ISBLANK(INDEX('glossaryterms-export'!I:I,_xlpm.rowNum))),"Ready to Fix",""))</f>
        <v/>
      </c>
    </row>
    <row r="1859" spans="6:6">
      <c r="F1859" s="1" t="str" cm="1">
        <f t="array" ref="F1859">_xlfn.LET(_xlpm.rowNum,MATCH(E1859,'glossaryterms-export'!C:C,0),
IF(AND(NOT(ISBLANK(INDEX('glossaryterms-export'!H:H,_xlpm.rowNum))),ISBLANK(INDEX('glossaryterms-export'!I:I,_xlpm.rowNum))),"Ready to Fix",""))</f>
        <v/>
      </c>
    </row>
    <row r="1860" spans="6:6">
      <c r="F1860" s="1" t="str" cm="1">
        <f t="array" ref="F1860">_xlfn.LET(_xlpm.rowNum,MATCH(E1860,'glossaryterms-export'!C:C,0),
IF(AND(NOT(ISBLANK(INDEX('glossaryterms-export'!H:H,_xlpm.rowNum))),ISBLANK(INDEX('glossaryterms-export'!I:I,_xlpm.rowNum))),"Ready to Fix",""))</f>
        <v/>
      </c>
    </row>
    <row r="1861" spans="6:6">
      <c r="F1861" s="1" t="str" cm="1">
        <f t="array" ref="F1861">_xlfn.LET(_xlpm.rowNum,MATCH(E1861,'glossaryterms-export'!C:C,0),
IF(AND(NOT(ISBLANK(INDEX('glossaryterms-export'!H:H,_xlpm.rowNum))),ISBLANK(INDEX('glossaryterms-export'!I:I,_xlpm.rowNum))),"Ready to Fix",""))</f>
        <v/>
      </c>
    </row>
    <row r="1862" spans="6:6">
      <c r="F1862" s="1" t="str" cm="1">
        <f t="array" ref="F1862">_xlfn.LET(_xlpm.rowNum,MATCH(E1862,'glossaryterms-export'!C:C,0),
IF(AND(NOT(ISBLANK(INDEX('glossaryterms-export'!H:H,_xlpm.rowNum))),ISBLANK(INDEX('glossaryterms-export'!I:I,_xlpm.rowNum))),"Ready to Fix",""))</f>
        <v/>
      </c>
    </row>
    <row r="1863" spans="6:6">
      <c r="F1863" s="1" t="str" cm="1">
        <f t="array" ref="F1863">_xlfn.LET(_xlpm.rowNum,MATCH(E1863,'glossaryterms-export'!C:C,0),
IF(AND(NOT(ISBLANK(INDEX('glossaryterms-export'!H:H,_xlpm.rowNum))),ISBLANK(INDEX('glossaryterms-export'!I:I,_xlpm.rowNum))),"Ready to Fix",""))</f>
        <v/>
      </c>
    </row>
    <row r="1864" spans="6:6">
      <c r="F1864" s="1" t="str" cm="1">
        <f t="array" ref="F1864">_xlfn.LET(_xlpm.rowNum,MATCH(E1864,'glossaryterms-export'!C:C,0),
IF(AND(NOT(ISBLANK(INDEX('glossaryterms-export'!H:H,_xlpm.rowNum))),ISBLANK(INDEX('glossaryterms-export'!I:I,_xlpm.rowNum))),"Ready to Fix",""))</f>
        <v/>
      </c>
    </row>
    <row r="1865" spans="6:6">
      <c r="F1865" s="1" t="str" cm="1">
        <f t="array" ref="F1865">_xlfn.LET(_xlpm.rowNum,MATCH(E1865,'glossaryterms-export'!C:C,0),
IF(AND(NOT(ISBLANK(INDEX('glossaryterms-export'!H:H,_xlpm.rowNum))),ISBLANK(INDEX('glossaryterms-export'!I:I,_xlpm.rowNum))),"Ready to Fix",""))</f>
        <v/>
      </c>
    </row>
    <row r="1866" spans="6:6">
      <c r="F1866" s="1" t="str" cm="1">
        <f t="array" ref="F1866">_xlfn.LET(_xlpm.rowNum,MATCH(E1866,'glossaryterms-export'!C:C,0),
IF(AND(NOT(ISBLANK(INDEX('glossaryterms-export'!H:H,_xlpm.rowNum))),ISBLANK(INDEX('glossaryterms-export'!I:I,_xlpm.rowNum))),"Ready to Fix",""))</f>
        <v/>
      </c>
    </row>
    <row r="1867" spans="6:6">
      <c r="F1867" s="1" t="str" cm="1">
        <f t="array" ref="F1867">_xlfn.LET(_xlpm.rowNum,MATCH(E1867,'glossaryterms-export'!C:C,0),
IF(AND(NOT(ISBLANK(INDEX('glossaryterms-export'!H:H,_xlpm.rowNum))),ISBLANK(INDEX('glossaryterms-export'!I:I,_xlpm.rowNum))),"Ready to Fix",""))</f>
        <v/>
      </c>
    </row>
    <row r="1868" spans="6:6">
      <c r="F1868" s="1" t="str" cm="1">
        <f t="array" ref="F1868">_xlfn.LET(_xlpm.rowNum,MATCH(E1868,'glossaryterms-export'!C:C,0),
IF(AND(NOT(ISBLANK(INDEX('glossaryterms-export'!H:H,_xlpm.rowNum))),ISBLANK(INDEX('glossaryterms-export'!I:I,_xlpm.rowNum))),"Ready to Fix",""))</f>
        <v/>
      </c>
    </row>
    <row r="1869" spans="6:6">
      <c r="F1869" s="1" t="str" cm="1">
        <f t="array" ref="F1869">_xlfn.LET(_xlpm.rowNum,MATCH(E1869,'glossaryterms-export'!C:C,0),
IF(AND(NOT(ISBLANK(INDEX('glossaryterms-export'!H:H,_xlpm.rowNum))),ISBLANK(INDEX('glossaryterms-export'!I:I,_xlpm.rowNum))),"Ready to Fix",""))</f>
        <v/>
      </c>
    </row>
    <row r="1870" spans="6:6">
      <c r="F1870" s="1" t="str" cm="1">
        <f t="array" ref="F1870">_xlfn.LET(_xlpm.rowNum,MATCH(E1870,'glossaryterms-export'!C:C,0),
IF(AND(NOT(ISBLANK(INDEX('glossaryterms-export'!H:H,_xlpm.rowNum))),ISBLANK(INDEX('glossaryterms-export'!I:I,_xlpm.rowNum))),"Ready to Fix",""))</f>
        <v/>
      </c>
    </row>
    <row r="1871" spans="6:6">
      <c r="F1871" s="1" t="str" cm="1">
        <f t="array" ref="F1871">_xlfn.LET(_xlpm.rowNum,MATCH(E1871,'glossaryterms-export'!C:C,0),
IF(AND(NOT(ISBLANK(INDEX('glossaryterms-export'!H:H,_xlpm.rowNum))),ISBLANK(INDEX('glossaryterms-export'!I:I,_xlpm.rowNum))),"Ready to Fix",""))</f>
        <v/>
      </c>
    </row>
    <row r="1872" spans="6:6">
      <c r="F1872" s="1" t="str" cm="1">
        <f t="array" ref="F1872">_xlfn.LET(_xlpm.rowNum,MATCH(E1872,'glossaryterms-export'!C:C,0),
IF(AND(NOT(ISBLANK(INDEX('glossaryterms-export'!H:H,_xlpm.rowNum))),ISBLANK(INDEX('glossaryterms-export'!I:I,_xlpm.rowNum))),"Ready to Fix",""))</f>
        <v/>
      </c>
    </row>
    <row r="1873" spans="6:6">
      <c r="F1873" s="1" t="str" cm="1">
        <f t="array" ref="F1873">_xlfn.LET(_xlpm.rowNum,MATCH(E1873,'glossaryterms-export'!C:C,0),
IF(AND(NOT(ISBLANK(INDEX('glossaryterms-export'!H:H,_xlpm.rowNum))),ISBLANK(INDEX('glossaryterms-export'!I:I,_xlpm.rowNum))),"Ready to Fix",""))</f>
        <v/>
      </c>
    </row>
    <row r="1874" spans="6:6">
      <c r="F1874" s="1" t="str" cm="1">
        <f t="array" ref="F1874">_xlfn.LET(_xlpm.rowNum,MATCH(E1874,'glossaryterms-export'!C:C,0),
IF(AND(NOT(ISBLANK(INDEX('glossaryterms-export'!H:H,_xlpm.rowNum))),ISBLANK(INDEX('glossaryterms-export'!I:I,_xlpm.rowNum))),"Ready to Fix",""))</f>
        <v/>
      </c>
    </row>
    <row r="1875" spans="6:6">
      <c r="F1875" s="1" t="str" cm="1">
        <f t="array" ref="F1875">_xlfn.LET(_xlpm.rowNum,MATCH(E1875,'glossaryterms-export'!C:C,0),
IF(AND(NOT(ISBLANK(INDEX('glossaryterms-export'!H:H,_xlpm.rowNum))),ISBLANK(INDEX('glossaryterms-export'!I:I,_xlpm.rowNum))),"Ready to Fix",""))</f>
        <v/>
      </c>
    </row>
    <row r="1876" spans="6:6">
      <c r="F1876" s="1" t="str" cm="1">
        <f t="array" ref="F1876">_xlfn.LET(_xlpm.rowNum,MATCH(E1876,'glossaryterms-export'!C:C,0),
IF(AND(NOT(ISBLANK(INDEX('glossaryterms-export'!H:H,_xlpm.rowNum))),ISBLANK(INDEX('glossaryterms-export'!I:I,_xlpm.rowNum))),"Ready to Fix",""))</f>
        <v/>
      </c>
    </row>
    <row r="1877" spans="6:6">
      <c r="F1877" s="1" t="str" cm="1">
        <f t="array" ref="F1877">_xlfn.LET(_xlpm.rowNum,MATCH(E1877,'glossaryterms-export'!C:C,0),
IF(AND(NOT(ISBLANK(INDEX('glossaryterms-export'!H:H,_xlpm.rowNum))),ISBLANK(INDEX('glossaryterms-export'!I:I,_xlpm.rowNum))),"Ready to Fix",""))</f>
        <v/>
      </c>
    </row>
    <row r="1878" spans="6:6">
      <c r="F1878" s="1" t="str" cm="1">
        <f t="array" ref="F1878">_xlfn.LET(_xlpm.rowNum,MATCH(E1878,'glossaryterms-export'!C:C,0),
IF(AND(NOT(ISBLANK(INDEX('glossaryterms-export'!H:H,_xlpm.rowNum))),ISBLANK(INDEX('glossaryterms-export'!I:I,_xlpm.rowNum))),"Ready to Fix",""))</f>
        <v/>
      </c>
    </row>
    <row r="1879" spans="6:6">
      <c r="F1879" s="1" t="str" cm="1">
        <f t="array" ref="F1879">_xlfn.LET(_xlpm.rowNum,MATCH(E1879,'glossaryterms-export'!C:C,0),
IF(AND(NOT(ISBLANK(INDEX('glossaryterms-export'!H:H,_xlpm.rowNum))),ISBLANK(INDEX('glossaryterms-export'!I:I,_xlpm.rowNum))),"Ready to Fix",""))</f>
        <v/>
      </c>
    </row>
    <row r="1880" spans="6:6">
      <c r="F1880" s="1" t="str" cm="1">
        <f t="array" ref="F1880">_xlfn.LET(_xlpm.rowNum,MATCH(E1880,'glossaryterms-export'!C:C,0),
IF(AND(NOT(ISBLANK(INDEX('glossaryterms-export'!H:H,_xlpm.rowNum))),ISBLANK(INDEX('glossaryterms-export'!I:I,_xlpm.rowNum))),"Ready to Fix",""))</f>
        <v/>
      </c>
    </row>
    <row r="1881" spans="6:6">
      <c r="F1881" s="1" t="str" cm="1">
        <f t="array" ref="F1881">_xlfn.LET(_xlpm.rowNum,MATCH(E1881,'glossaryterms-export'!C:C,0),
IF(AND(NOT(ISBLANK(INDEX('glossaryterms-export'!H:H,_xlpm.rowNum))),ISBLANK(INDEX('glossaryterms-export'!I:I,_xlpm.rowNum))),"Ready to Fix",""))</f>
        <v/>
      </c>
    </row>
    <row r="1882" spans="6:6">
      <c r="F1882" s="1" t="str" cm="1">
        <f t="array" ref="F1882">_xlfn.LET(_xlpm.rowNum,MATCH(E1882,'glossaryterms-export'!C:C,0),
IF(AND(NOT(ISBLANK(INDEX('glossaryterms-export'!H:H,_xlpm.rowNum))),ISBLANK(INDEX('glossaryterms-export'!I:I,_xlpm.rowNum))),"Ready to Fix",""))</f>
        <v/>
      </c>
    </row>
    <row r="1883" spans="6:6">
      <c r="F1883" s="1" t="str" cm="1">
        <f t="array" ref="F1883">_xlfn.LET(_xlpm.rowNum,MATCH(E1883,'glossaryterms-export'!C:C,0),
IF(AND(NOT(ISBLANK(INDEX('glossaryterms-export'!H:H,_xlpm.rowNum))),ISBLANK(INDEX('glossaryterms-export'!I:I,_xlpm.rowNum))),"Ready to Fix",""))</f>
        <v/>
      </c>
    </row>
    <row r="1884" spans="6:6">
      <c r="F1884" s="1" t="str" cm="1">
        <f t="array" ref="F1884">_xlfn.LET(_xlpm.rowNum,MATCH(E1884,'glossaryterms-export'!C:C,0),
IF(AND(NOT(ISBLANK(INDEX('glossaryterms-export'!H:H,_xlpm.rowNum))),ISBLANK(INDEX('glossaryterms-export'!I:I,_xlpm.rowNum))),"Ready to Fix",""))</f>
        <v/>
      </c>
    </row>
    <row r="1885" spans="6:6">
      <c r="F1885" s="1" t="str" cm="1">
        <f t="array" ref="F1885">_xlfn.LET(_xlpm.rowNum,MATCH(E1885,'glossaryterms-export'!C:C,0),
IF(AND(NOT(ISBLANK(INDEX('glossaryterms-export'!H:H,_xlpm.rowNum))),ISBLANK(INDEX('glossaryterms-export'!I:I,_xlpm.rowNum))),"Ready to Fix",""))</f>
        <v/>
      </c>
    </row>
    <row r="1886" spans="6:6">
      <c r="F1886" s="1" t="str" cm="1">
        <f t="array" ref="F1886">_xlfn.LET(_xlpm.rowNum,MATCH(E1886,'glossaryterms-export'!C:C,0),
IF(AND(NOT(ISBLANK(INDEX('glossaryterms-export'!H:H,_xlpm.rowNum))),ISBLANK(INDEX('glossaryterms-export'!I:I,_xlpm.rowNum))),"Ready to Fix",""))</f>
        <v/>
      </c>
    </row>
    <row r="1887" spans="6:6">
      <c r="F1887" s="1" t="str" cm="1">
        <f t="array" ref="F1887">_xlfn.LET(_xlpm.rowNum,MATCH(E1887,'glossaryterms-export'!C:C,0),
IF(AND(NOT(ISBLANK(INDEX('glossaryterms-export'!H:H,_xlpm.rowNum))),ISBLANK(INDEX('glossaryterms-export'!I:I,_xlpm.rowNum))),"Ready to Fix",""))</f>
        <v/>
      </c>
    </row>
    <row r="1888" spans="6:6">
      <c r="F1888" s="1" t="str" cm="1">
        <f t="array" ref="F1888">_xlfn.LET(_xlpm.rowNum,MATCH(E1888,'glossaryterms-export'!C:C,0),
IF(AND(NOT(ISBLANK(INDEX('glossaryterms-export'!H:H,_xlpm.rowNum))),ISBLANK(INDEX('glossaryterms-export'!I:I,_xlpm.rowNum))),"Ready to Fix",""))</f>
        <v/>
      </c>
    </row>
    <row r="1889" spans="6:6">
      <c r="F1889" s="1" t="str" cm="1">
        <f t="array" ref="F1889">_xlfn.LET(_xlpm.rowNum,MATCH(E1889,'glossaryterms-export'!C:C,0),
IF(AND(NOT(ISBLANK(INDEX('glossaryterms-export'!H:H,_xlpm.rowNum))),ISBLANK(INDEX('glossaryterms-export'!I:I,_xlpm.rowNum))),"Ready to Fix",""))</f>
        <v/>
      </c>
    </row>
    <row r="1890" spans="6:6">
      <c r="F1890" s="1" t="str" cm="1">
        <f t="array" ref="F1890">_xlfn.LET(_xlpm.rowNum,MATCH(E1890,'glossaryterms-export'!C:C,0),
IF(AND(NOT(ISBLANK(INDEX('glossaryterms-export'!H:H,_xlpm.rowNum))),ISBLANK(INDEX('glossaryterms-export'!I:I,_xlpm.rowNum))),"Ready to Fix",""))</f>
        <v/>
      </c>
    </row>
    <row r="1891" spans="6:6">
      <c r="F1891" s="1" t="str" cm="1">
        <f t="array" ref="F1891">_xlfn.LET(_xlpm.rowNum,MATCH(E1891,'glossaryterms-export'!C:C,0),
IF(AND(NOT(ISBLANK(INDEX('glossaryterms-export'!H:H,_xlpm.rowNum))),ISBLANK(INDEX('glossaryterms-export'!I:I,_xlpm.rowNum))),"Ready to Fix",""))</f>
        <v/>
      </c>
    </row>
    <row r="1892" spans="6:6">
      <c r="F1892" s="1" t="str" cm="1">
        <f t="array" ref="F1892">_xlfn.LET(_xlpm.rowNum,MATCH(E1892,'glossaryterms-export'!C:C,0),
IF(AND(NOT(ISBLANK(INDEX('glossaryterms-export'!H:H,_xlpm.rowNum))),ISBLANK(INDEX('glossaryterms-export'!I:I,_xlpm.rowNum))),"Ready to Fix",""))</f>
        <v/>
      </c>
    </row>
    <row r="1893" spans="6:6">
      <c r="F1893" s="1" t="str" cm="1">
        <f t="array" ref="F1893">_xlfn.LET(_xlpm.rowNum,MATCH(E1893,'glossaryterms-export'!C:C,0),
IF(AND(NOT(ISBLANK(INDEX('glossaryterms-export'!H:H,_xlpm.rowNum))),ISBLANK(INDEX('glossaryterms-export'!I:I,_xlpm.rowNum))),"Ready to Fix",""))</f>
        <v/>
      </c>
    </row>
    <row r="1894" spans="6:6">
      <c r="F1894" s="1" t="str" cm="1">
        <f t="array" ref="F1894">_xlfn.LET(_xlpm.rowNum,MATCH(E1894,'glossaryterms-export'!C:C,0),
IF(AND(NOT(ISBLANK(INDEX('glossaryterms-export'!H:H,_xlpm.rowNum))),ISBLANK(INDEX('glossaryterms-export'!I:I,_xlpm.rowNum))),"Ready to Fix",""))</f>
        <v/>
      </c>
    </row>
    <row r="1895" spans="6:6">
      <c r="F1895" s="1" t="str" cm="1">
        <f t="array" ref="F1895">_xlfn.LET(_xlpm.rowNum,MATCH(E1895,'glossaryterms-export'!C:C,0),
IF(AND(NOT(ISBLANK(INDEX('glossaryterms-export'!H:H,_xlpm.rowNum))),ISBLANK(INDEX('glossaryterms-export'!I:I,_xlpm.rowNum))),"Ready to Fix",""))</f>
        <v/>
      </c>
    </row>
    <row r="1896" spans="6:6">
      <c r="F1896" s="1" t="str" cm="1">
        <f t="array" ref="F1896">_xlfn.LET(_xlpm.rowNum,MATCH(E1896,'glossaryterms-export'!C:C,0),
IF(AND(NOT(ISBLANK(INDEX('glossaryterms-export'!H:H,_xlpm.rowNum))),ISBLANK(INDEX('glossaryterms-export'!I:I,_xlpm.rowNum))),"Ready to Fix",""))</f>
        <v/>
      </c>
    </row>
    <row r="1897" spans="6:6">
      <c r="F1897" s="1" t="str" cm="1">
        <f t="array" ref="F1897">_xlfn.LET(_xlpm.rowNum,MATCH(E1897,'glossaryterms-export'!C:C,0),
IF(AND(NOT(ISBLANK(INDEX('glossaryterms-export'!H:H,_xlpm.rowNum))),ISBLANK(INDEX('glossaryterms-export'!I:I,_xlpm.rowNum))),"Ready to Fix",""))</f>
        <v/>
      </c>
    </row>
    <row r="1898" spans="6:6">
      <c r="F1898" s="1" t="str" cm="1">
        <f t="array" ref="F1898">_xlfn.LET(_xlpm.rowNum,MATCH(E1898,'glossaryterms-export'!C:C,0),
IF(AND(NOT(ISBLANK(INDEX('glossaryterms-export'!H:H,_xlpm.rowNum))),ISBLANK(INDEX('glossaryterms-export'!I:I,_xlpm.rowNum))),"Ready to Fix",""))</f>
        <v/>
      </c>
    </row>
    <row r="1899" spans="6:6">
      <c r="F1899" s="1" t="str" cm="1">
        <f t="array" ref="F1899">_xlfn.LET(_xlpm.rowNum,MATCH(E1899,'glossaryterms-export'!C:C,0),
IF(AND(NOT(ISBLANK(INDEX('glossaryterms-export'!H:H,_xlpm.rowNum))),ISBLANK(INDEX('glossaryterms-export'!I:I,_xlpm.rowNum))),"Ready to Fix",""))</f>
        <v/>
      </c>
    </row>
    <row r="1900" spans="6:6">
      <c r="F1900" s="1" t="str" cm="1">
        <f t="array" ref="F1900">_xlfn.LET(_xlpm.rowNum,MATCH(E1900,'glossaryterms-export'!C:C,0),
IF(AND(NOT(ISBLANK(INDEX('glossaryterms-export'!H:H,_xlpm.rowNum))),ISBLANK(INDEX('glossaryterms-export'!I:I,_xlpm.rowNum))),"Ready to Fix",""))</f>
        <v/>
      </c>
    </row>
    <row r="1901" spans="6:6">
      <c r="F1901" s="1" t="str" cm="1">
        <f t="array" ref="F1901">_xlfn.LET(_xlpm.rowNum,MATCH(E1901,'glossaryterms-export'!C:C,0),
IF(AND(NOT(ISBLANK(INDEX('glossaryterms-export'!H:H,_xlpm.rowNum))),ISBLANK(INDEX('glossaryterms-export'!I:I,_xlpm.rowNum))),"Ready to Fix",""))</f>
        <v/>
      </c>
    </row>
    <row r="1902" spans="6:6">
      <c r="F1902" s="1" t="str" cm="1">
        <f t="array" ref="F1902">_xlfn.LET(_xlpm.rowNum,MATCH(E1902,'glossaryterms-export'!C:C,0),
IF(AND(NOT(ISBLANK(INDEX('glossaryterms-export'!H:H,_xlpm.rowNum))),ISBLANK(INDEX('glossaryterms-export'!I:I,_xlpm.rowNum))),"Ready to Fix",""))</f>
        <v/>
      </c>
    </row>
    <row r="1903" spans="6:6">
      <c r="F1903" s="1" t="str" cm="1">
        <f t="array" ref="F1903">_xlfn.LET(_xlpm.rowNum,MATCH(E1903,'glossaryterms-export'!C:C,0),
IF(AND(NOT(ISBLANK(INDEX('glossaryterms-export'!H:H,_xlpm.rowNum))),ISBLANK(INDEX('glossaryterms-export'!I:I,_xlpm.rowNum))),"Ready to Fix",""))</f>
        <v/>
      </c>
    </row>
    <row r="1904" spans="6:6">
      <c r="F1904" s="1" t="str" cm="1">
        <f t="array" ref="F1904">_xlfn.LET(_xlpm.rowNum,MATCH(E1904,'glossaryterms-export'!C:C,0),
IF(AND(NOT(ISBLANK(INDEX('glossaryterms-export'!H:H,_xlpm.rowNum))),ISBLANK(INDEX('glossaryterms-export'!I:I,_xlpm.rowNum))),"Ready to Fix",""))</f>
        <v/>
      </c>
    </row>
    <row r="1905" spans="6:6">
      <c r="F1905" s="1" t="str" cm="1">
        <f t="array" ref="F1905">_xlfn.LET(_xlpm.rowNum,MATCH(E1905,'glossaryterms-export'!C:C,0),
IF(AND(NOT(ISBLANK(INDEX('glossaryterms-export'!H:H,_xlpm.rowNum))),ISBLANK(INDEX('glossaryterms-export'!I:I,_xlpm.rowNum))),"Ready to Fix",""))</f>
        <v/>
      </c>
    </row>
    <row r="1906" spans="6:6">
      <c r="F1906" s="1" t="str" cm="1">
        <f t="array" ref="F1906">_xlfn.LET(_xlpm.rowNum,MATCH(E1906,'glossaryterms-export'!C:C,0),
IF(AND(NOT(ISBLANK(INDEX('glossaryterms-export'!H:H,_xlpm.rowNum))),ISBLANK(INDEX('glossaryterms-export'!I:I,_xlpm.rowNum))),"Ready to Fix",""))</f>
        <v/>
      </c>
    </row>
    <row r="1907" spans="6:6">
      <c r="F1907" s="1" t="str" cm="1">
        <f t="array" ref="F1907">_xlfn.LET(_xlpm.rowNum,MATCH(E1907,'glossaryterms-export'!C:C,0),
IF(AND(NOT(ISBLANK(INDEX('glossaryterms-export'!H:H,_xlpm.rowNum))),ISBLANK(INDEX('glossaryterms-export'!I:I,_xlpm.rowNum))),"Ready to Fix",""))</f>
        <v/>
      </c>
    </row>
    <row r="1908" spans="6:6">
      <c r="F1908" s="1" t="str" cm="1">
        <f t="array" ref="F1908">_xlfn.LET(_xlpm.rowNum,MATCH(E1908,'glossaryterms-export'!C:C,0),
IF(AND(NOT(ISBLANK(INDEX('glossaryterms-export'!H:H,_xlpm.rowNum))),ISBLANK(INDEX('glossaryterms-export'!I:I,_xlpm.rowNum))),"Ready to Fix",""))</f>
        <v/>
      </c>
    </row>
    <row r="1909" spans="6:6">
      <c r="F1909" s="1" t="str" cm="1">
        <f t="array" ref="F1909">_xlfn.LET(_xlpm.rowNum,MATCH(E1909,'glossaryterms-export'!C:C,0),
IF(AND(NOT(ISBLANK(INDEX('glossaryterms-export'!H:H,_xlpm.rowNum))),ISBLANK(INDEX('glossaryterms-export'!I:I,_xlpm.rowNum))),"Ready to Fix",""))</f>
        <v/>
      </c>
    </row>
    <row r="1910" spans="6:6">
      <c r="F1910" s="1" t="str" cm="1">
        <f t="array" ref="F1910">_xlfn.LET(_xlpm.rowNum,MATCH(E1910,'glossaryterms-export'!C:C,0),
IF(AND(NOT(ISBLANK(INDEX('glossaryterms-export'!H:H,_xlpm.rowNum))),ISBLANK(INDEX('glossaryterms-export'!I:I,_xlpm.rowNum))),"Ready to Fix",""))</f>
        <v/>
      </c>
    </row>
    <row r="1911" spans="6:6">
      <c r="F1911" s="1" t="str" cm="1">
        <f t="array" ref="F1911">_xlfn.LET(_xlpm.rowNum,MATCH(E1911,'glossaryterms-export'!C:C,0),
IF(AND(NOT(ISBLANK(INDEX('glossaryterms-export'!H:H,_xlpm.rowNum))),ISBLANK(INDEX('glossaryterms-export'!I:I,_xlpm.rowNum))),"Ready to Fix",""))</f>
        <v/>
      </c>
    </row>
    <row r="1912" spans="6:6">
      <c r="F1912" s="1" t="str" cm="1">
        <f t="array" ref="F1912">_xlfn.LET(_xlpm.rowNum,MATCH(E1912,'glossaryterms-export'!C:C,0),
IF(AND(NOT(ISBLANK(INDEX('glossaryterms-export'!H:H,_xlpm.rowNum))),ISBLANK(INDEX('glossaryterms-export'!I:I,_xlpm.rowNum))),"Ready to Fix",""))</f>
        <v/>
      </c>
    </row>
    <row r="1913" spans="6:6">
      <c r="F1913" s="1" t="str" cm="1">
        <f t="array" ref="F1913">_xlfn.LET(_xlpm.rowNum,MATCH(E1913,'glossaryterms-export'!C:C,0),
IF(AND(NOT(ISBLANK(INDEX('glossaryterms-export'!H:H,_xlpm.rowNum))),ISBLANK(INDEX('glossaryterms-export'!I:I,_xlpm.rowNum))),"Ready to Fix",""))</f>
        <v/>
      </c>
    </row>
    <row r="1914" spans="6:6">
      <c r="F1914" s="1" t="str" cm="1">
        <f t="array" ref="F1914">_xlfn.LET(_xlpm.rowNum,MATCH(E1914,'glossaryterms-export'!C:C,0),
IF(AND(NOT(ISBLANK(INDEX('glossaryterms-export'!H:H,_xlpm.rowNum))),ISBLANK(INDEX('glossaryterms-export'!I:I,_xlpm.rowNum))),"Ready to Fix",""))</f>
        <v/>
      </c>
    </row>
    <row r="1915" spans="6:6">
      <c r="F1915" s="1" t="str" cm="1">
        <f t="array" ref="F1915">_xlfn.LET(_xlpm.rowNum,MATCH(E1915,'glossaryterms-export'!C:C,0),
IF(AND(NOT(ISBLANK(INDEX('glossaryterms-export'!H:H,_xlpm.rowNum))),ISBLANK(INDEX('glossaryterms-export'!I:I,_xlpm.rowNum))),"Ready to Fix",""))</f>
        <v/>
      </c>
    </row>
    <row r="1916" spans="6:6">
      <c r="F1916" s="1" t="str" cm="1">
        <f t="array" ref="F1916">_xlfn.LET(_xlpm.rowNum,MATCH(E1916,'glossaryterms-export'!C:C,0),
IF(AND(NOT(ISBLANK(INDEX('glossaryterms-export'!H:H,_xlpm.rowNum))),ISBLANK(INDEX('glossaryterms-export'!I:I,_xlpm.rowNum))),"Ready to Fix",""))</f>
        <v/>
      </c>
    </row>
    <row r="1917" spans="6:6">
      <c r="F1917" s="1" t="str" cm="1">
        <f t="array" ref="F1917">_xlfn.LET(_xlpm.rowNum,MATCH(E1917,'glossaryterms-export'!C:C,0),
IF(AND(NOT(ISBLANK(INDEX('glossaryterms-export'!H:H,_xlpm.rowNum))),ISBLANK(INDEX('glossaryterms-export'!I:I,_xlpm.rowNum))),"Ready to Fix",""))</f>
        <v/>
      </c>
    </row>
    <row r="1918" spans="6:6">
      <c r="F1918" s="1" t="str" cm="1">
        <f t="array" ref="F1918">_xlfn.LET(_xlpm.rowNum,MATCH(E1918,'glossaryterms-export'!C:C,0),
IF(AND(NOT(ISBLANK(INDEX('glossaryterms-export'!H:H,_xlpm.rowNum))),ISBLANK(INDEX('glossaryterms-export'!I:I,_xlpm.rowNum))),"Ready to Fix",""))</f>
        <v/>
      </c>
    </row>
    <row r="1919" spans="6:6">
      <c r="F1919" s="1" t="str" cm="1">
        <f t="array" ref="F1919">_xlfn.LET(_xlpm.rowNum,MATCH(E1919,'glossaryterms-export'!C:C,0),
IF(AND(NOT(ISBLANK(INDEX('glossaryterms-export'!H:H,_xlpm.rowNum))),ISBLANK(INDEX('glossaryterms-export'!I:I,_xlpm.rowNum))),"Ready to Fix",""))</f>
        <v/>
      </c>
    </row>
    <row r="1920" spans="6:6">
      <c r="F1920" s="1" t="str" cm="1">
        <f t="array" ref="F1920">_xlfn.LET(_xlpm.rowNum,MATCH(E1920,'glossaryterms-export'!C:C,0),
IF(AND(NOT(ISBLANK(INDEX('glossaryterms-export'!H:H,_xlpm.rowNum))),ISBLANK(INDEX('glossaryterms-export'!I:I,_xlpm.rowNum))),"Ready to Fix",""))</f>
        <v/>
      </c>
    </row>
    <row r="1921" spans="6:6">
      <c r="F1921" s="1" t="str" cm="1">
        <f t="array" ref="F1921">_xlfn.LET(_xlpm.rowNum,MATCH(E1921,'glossaryterms-export'!C:C,0),
IF(AND(NOT(ISBLANK(INDEX('glossaryterms-export'!H:H,_xlpm.rowNum))),ISBLANK(INDEX('glossaryterms-export'!I:I,_xlpm.rowNum))),"Ready to Fix",""))</f>
        <v/>
      </c>
    </row>
    <row r="1922" spans="6:6">
      <c r="F1922" s="1" t="str" cm="1">
        <f t="array" ref="F1922">_xlfn.LET(_xlpm.rowNum,MATCH(E1922,'glossaryterms-export'!C:C,0),
IF(AND(NOT(ISBLANK(INDEX('glossaryterms-export'!H:H,_xlpm.rowNum))),ISBLANK(INDEX('glossaryterms-export'!I:I,_xlpm.rowNum))),"Ready to Fix",""))</f>
        <v/>
      </c>
    </row>
    <row r="1923" spans="6:6">
      <c r="F1923" s="1" t="str" cm="1">
        <f t="array" ref="F1923">_xlfn.LET(_xlpm.rowNum,MATCH(E1923,'glossaryterms-export'!C:C,0),
IF(AND(NOT(ISBLANK(INDEX('glossaryterms-export'!H:H,_xlpm.rowNum))),ISBLANK(INDEX('glossaryterms-export'!I:I,_xlpm.rowNum))),"Ready to Fix",""))</f>
        <v/>
      </c>
    </row>
    <row r="1924" spans="6:6">
      <c r="F1924" s="1" t="str" cm="1">
        <f t="array" ref="F1924">_xlfn.LET(_xlpm.rowNum,MATCH(E1924,'glossaryterms-export'!C:C,0),
IF(AND(NOT(ISBLANK(INDEX('glossaryterms-export'!H:H,_xlpm.rowNum))),ISBLANK(INDEX('glossaryterms-export'!I:I,_xlpm.rowNum))),"Ready to Fix",""))</f>
        <v/>
      </c>
    </row>
    <row r="1925" spans="6:6">
      <c r="F1925" s="1" t="str" cm="1">
        <f t="array" ref="F1925">_xlfn.LET(_xlpm.rowNum,MATCH(E1925,'glossaryterms-export'!C:C,0),
IF(AND(NOT(ISBLANK(INDEX('glossaryterms-export'!H:H,_xlpm.rowNum))),ISBLANK(INDEX('glossaryterms-export'!I:I,_xlpm.rowNum))),"Ready to Fix",""))</f>
        <v/>
      </c>
    </row>
    <row r="1926" spans="6:6">
      <c r="F1926" s="1" t="str" cm="1">
        <f t="array" ref="F1926">_xlfn.LET(_xlpm.rowNum,MATCH(E1926,'glossaryterms-export'!C:C,0),
IF(AND(NOT(ISBLANK(INDEX('glossaryterms-export'!H:H,_xlpm.rowNum))),ISBLANK(INDEX('glossaryterms-export'!I:I,_xlpm.rowNum))),"Ready to Fix",""))</f>
        <v/>
      </c>
    </row>
    <row r="1927" spans="6:6">
      <c r="F1927" s="1" t="str" cm="1">
        <f t="array" ref="F1927">_xlfn.LET(_xlpm.rowNum,MATCH(E1927,'glossaryterms-export'!C:C,0),
IF(AND(NOT(ISBLANK(INDEX('glossaryterms-export'!H:H,_xlpm.rowNum))),ISBLANK(INDEX('glossaryterms-export'!I:I,_xlpm.rowNum))),"Ready to Fix",""))</f>
        <v/>
      </c>
    </row>
    <row r="1928" spans="6:6">
      <c r="F1928" s="1" t="str" cm="1">
        <f t="array" ref="F1928">_xlfn.LET(_xlpm.rowNum,MATCH(E1928,'glossaryterms-export'!C:C,0),
IF(AND(NOT(ISBLANK(INDEX('glossaryterms-export'!H:H,_xlpm.rowNum))),ISBLANK(INDEX('glossaryterms-export'!I:I,_xlpm.rowNum))),"Ready to Fix",""))</f>
        <v/>
      </c>
    </row>
    <row r="1929" spans="6:6">
      <c r="F1929" s="1" t="str" cm="1">
        <f t="array" ref="F1929">_xlfn.LET(_xlpm.rowNum,MATCH(E1929,'glossaryterms-export'!C:C,0),
IF(AND(NOT(ISBLANK(INDEX('glossaryterms-export'!H:H,_xlpm.rowNum))),ISBLANK(INDEX('glossaryterms-export'!I:I,_xlpm.rowNum))),"Ready to Fix",""))</f>
        <v/>
      </c>
    </row>
    <row r="1930" spans="6:6">
      <c r="F1930" s="1" t="str" cm="1">
        <f t="array" ref="F1930">_xlfn.LET(_xlpm.rowNum,MATCH(E1930,'glossaryterms-export'!C:C,0),
IF(AND(NOT(ISBLANK(INDEX('glossaryterms-export'!H:H,_xlpm.rowNum))),ISBLANK(INDEX('glossaryterms-export'!I:I,_xlpm.rowNum))),"Ready to Fix",""))</f>
        <v/>
      </c>
    </row>
    <row r="1931" spans="6:6">
      <c r="F1931" s="1" t="str" cm="1">
        <f t="array" ref="F1931">_xlfn.LET(_xlpm.rowNum,MATCH(E1931,'glossaryterms-export'!C:C,0),
IF(AND(NOT(ISBLANK(INDEX('glossaryterms-export'!H:H,_xlpm.rowNum))),ISBLANK(INDEX('glossaryterms-export'!I:I,_xlpm.rowNum))),"Ready to Fix",""))</f>
        <v/>
      </c>
    </row>
    <row r="1932" spans="6:6">
      <c r="F1932" s="1" t="str" cm="1">
        <f t="array" ref="F1932">_xlfn.LET(_xlpm.rowNum,MATCH(E1932,'glossaryterms-export'!C:C,0),
IF(AND(NOT(ISBLANK(INDEX('glossaryterms-export'!H:H,_xlpm.rowNum))),ISBLANK(INDEX('glossaryterms-export'!I:I,_xlpm.rowNum))),"Ready to Fix",""))</f>
        <v/>
      </c>
    </row>
    <row r="1933" spans="6:6">
      <c r="F1933" s="1" t="str" cm="1">
        <f t="array" ref="F1933">_xlfn.LET(_xlpm.rowNum,MATCH(E1933,'glossaryterms-export'!C:C,0),
IF(AND(NOT(ISBLANK(INDEX('glossaryterms-export'!H:H,_xlpm.rowNum))),ISBLANK(INDEX('glossaryterms-export'!I:I,_xlpm.rowNum))),"Ready to Fix",""))</f>
        <v/>
      </c>
    </row>
    <row r="1934" spans="6:6">
      <c r="F1934" s="1" t="str" cm="1">
        <f t="array" ref="F1934">_xlfn.LET(_xlpm.rowNum,MATCH(E1934,'glossaryterms-export'!C:C,0),
IF(AND(NOT(ISBLANK(INDEX('glossaryterms-export'!H:H,_xlpm.rowNum))),ISBLANK(INDEX('glossaryterms-export'!I:I,_xlpm.rowNum))),"Ready to Fix",""))</f>
        <v/>
      </c>
    </row>
    <row r="1935" spans="6:6">
      <c r="F1935" s="1" t="str" cm="1">
        <f t="array" ref="F1935">_xlfn.LET(_xlpm.rowNum,MATCH(E1935,'glossaryterms-export'!C:C,0),
IF(AND(NOT(ISBLANK(INDEX('glossaryterms-export'!H:H,_xlpm.rowNum))),ISBLANK(INDEX('glossaryterms-export'!I:I,_xlpm.rowNum))),"Ready to Fix",""))</f>
        <v/>
      </c>
    </row>
    <row r="1936" spans="6:6">
      <c r="F1936" s="1" t="str" cm="1">
        <f t="array" ref="F1936">_xlfn.LET(_xlpm.rowNum,MATCH(E1936,'glossaryterms-export'!C:C,0),
IF(AND(NOT(ISBLANK(INDEX('glossaryterms-export'!H:H,_xlpm.rowNum))),ISBLANK(INDEX('glossaryterms-export'!I:I,_xlpm.rowNum))),"Ready to Fix",""))</f>
        <v/>
      </c>
    </row>
    <row r="1937" spans="6:6">
      <c r="F1937" s="1" t="str" cm="1">
        <f t="array" ref="F1937">_xlfn.LET(_xlpm.rowNum,MATCH(E1937,'glossaryterms-export'!C:C,0),
IF(AND(NOT(ISBLANK(INDEX('glossaryterms-export'!H:H,_xlpm.rowNum))),ISBLANK(INDEX('glossaryterms-export'!I:I,_xlpm.rowNum))),"Ready to Fix",""))</f>
        <v/>
      </c>
    </row>
    <row r="1938" spans="6:6">
      <c r="F1938" s="1" t="str" cm="1">
        <f t="array" ref="F1938">_xlfn.LET(_xlpm.rowNum,MATCH(E1938,'glossaryterms-export'!C:C,0),
IF(AND(NOT(ISBLANK(INDEX('glossaryterms-export'!H:H,_xlpm.rowNum))),ISBLANK(INDEX('glossaryterms-export'!I:I,_xlpm.rowNum))),"Ready to Fix",""))</f>
        <v/>
      </c>
    </row>
    <row r="1939" spans="6:6">
      <c r="F1939" s="1" t="str" cm="1">
        <f t="array" ref="F1939">_xlfn.LET(_xlpm.rowNum,MATCH(E1939,'glossaryterms-export'!C:C,0),
IF(AND(NOT(ISBLANK(INDEX('glossaryterms-export'!H:H,_xlpm.rowNum))),ISBLANK(INDEX('glossaryterms-export'!I:I,_xlpm.rowNum))),"Ready to Fix",""))</f>
        <v/>
      </c>
    </row>
    <row r="1940" spans="6:6">
      <c r="F1940" s="1" t="str" cm="1">
        <f t="array" ref="F1940">_xlfn.LET(_xlpm.rowNum,MATCH(E1940,'glossaryterms-export'!C:C,0),
IF(AND(NOT(ISBLANK(INDEX('glossaryterms-export'!H:H,_xlpm.rowNum))),ISBLANK(INDEX('glossaryterms-export'!I:I,_xlpm.rowNum))),"Ready to Fix",""))</f>
        <v/>
      </c>
    </row>
    <row r="1941" spans="6:6">
      <c r="F1941" s="1" t="str" cm="1">
        <f t="array" ref="F1941">_xlfn.LET(_xlpm.rowNum,MATCH(E1941,'glossaryterms-export'!C:C,0),
IF(AND(NOT(ISBLANK(INDEX('glossaryterms-export'!H:H,_xlpm.rowNum))),ISBLANK(INDEX('glossaryterms-export'!I:I,_xlpm.rowNum))),"Ready to Fix",""))</f>
        <v/>
      </c>
    </row>
    <row r="1942" spans="6:6">
      <c r="F1942" s="1" t="str" cm="1">
        <f t="array" ref="F1942">_xlfn.LET(_xlpm.rowNum,MATCH(E1942,'glossaryterms-export'!C:C,0),
IF(AND(NOT(ISBLANK(INDEX('glossaryterms-export'!H:H,_xlpm.rowNum))),ISBLANK(INDEX('glossaryterms-export'!I:I,_xlpm.rowNum))),"Ready to Fix",""))</f>
        <v/>
      </c>
    </row>
    <row r="1943" spans="6:6">
      <c r="F1943" s="1" t="str" cm="1">
        <f t="array" ref="F1943">_xlfn.LET(_xlpm.rowNum,MATCH(E1943,'glossaryterms-export'!C:C,0),
IF(AND(NOT(ISBLANK(INDEX('glossaryterms-export'!H:H,_xlpm.rowNum))),ISBLANK(INDEX('glossaryterms-export'!I:I,_xlpm.rowNum))),"Ready to Fix",""))</f>
        <v/>
      </c>
    </row>
    <row r="1944" spans="6:6">
      <c r="F1944" s="1" t="str" cm="1">
        <f t="array" ref="F1944">_xlfn.LET(_xlpm.rowNum,MATCH(E1944,'glossaryterms-export'!C:C,0),
IF(AND(NOT(ISBLANK(INDEX('glossaryterms-export'!H:H,_xlpm.rowNum))),ISBLANK(INDEX('glossaryterms-export'!I:I,_xlpm.rowNum))),"Ready to Fix",""))</f>
        <v/>
      </c>
    </row>
    <row r="1945" spans="6:6">
      <c r="F1945" s="1" t="str" cm="1">
        <f t="array" ref="F1945">_xlfn.LET(_xlpm.rowNum,MATCH(E1945,'glossaryterms-export'!C:C,0),
IF(AND(NOT(ISBLANK(INDEX('glossaryterms-export'!H:H,_xlpm.rowNum))),ISBLANK(INDEX('glossaryterms-export'!I:I,_xlpm.rowNum))),"Ready to Fix",""))</f>
        <v/>
      </c>
    </row>
    <row r="1946" spans="6:6">
      <c r="F1946" s="1" t="str" cm="1">
        <f t="array" ref="F1946">_xlfn.LET(_xlpm.rowNum,MATCH(E1946,'glossaryterms-export'!C:C,0),
IF(AND(NOT(ISBLANK(INDEX('glossaryterms-export'!H:H,_xlpm.rowNum))),ISBLANK(INDEX('glossaryterms-export'!I:I,_xlpm.rowNum))),"Ready to Fix",""))</f>
        <v/>
      </c>
    </row>
    <row r="1947" spans="6:6">
      <c r="F1947" s="1" t="str" cm="1">
        <f t="array" ref="F1947">_xlfn.LET(_xlpm.rowNum,MATCH(E1947,'glossaryterms-export'!C:C,0),
IF(AND(NOT(ISBLANK(INDEX('glossaryterms-export'!H:H,_xlpm.rowNum))),ISBLANK(INDEX('glossaryterms-export'!I:I,_xlpm.rowNum))),"Ready to Fix",""))</f>
        <v/>
      </c>
    </row>
    <row r="1948" spans="6:6">
      <c r="F1948" s="1" t="str" cm="1">
        <f t="array" ref="F1948">_xlfn.LET(_xlpm.rowNum,MATCH(E1948,'glossaryterms-export'!C:C,0),
IF(AND(NOT(ISBLANK(INDEX('glossaryterms-export'!H:H,_xlpm.rowNum))),ISBLANK(INDEX('glossaryterms-export'!I:I,_xlpm.rowNum))),"Ready to Fix",""))</f>
        <v/>
      </c>
    </row>
    <row r="1949" spans="6:6">
      <c r="F1949" s="1" t="str" cm="1">
        <f t="array" ref="F1949">_xlfn.LET(_xlpm.rowNum,MATCH(E1949,'glossaryterms-export'!C:C,0),
IF(AND(NOT(ISBLANK(INDEX('glossaryterms-export'!H:H,_xlpm.rowNum))),ISBLANK(INDEX('glossaryterms-export'!I:I,_xlpm.rowNum))),"Ready to Fix",""))</f>
        <v/>
      </c>
    </row>
    <row r="1950" spans="6:6">
      <c r="F1950" s="1" t="str" cm="1">
        <f t="array" ref="F1950">_xlfn.LET(_xlpm.rowNum,MATCH(E1950,'glossaryterms-export'!C:C,0),
IF(AND(NOT(ISBLANK(INDEX('glossaryterms-export'!H:H,_xlpm.rowNum))),ISBLANK(INDEX('glossaryterms-export'!I:I,_xlpm.rowNum))),"Ready to Fix",""))</f>
        <v/>
      </c>
    </row>
    <row r="1951" spans="6:6">
      <c r="F1951" s="1" t="str" cm="1">
        <f t="array" ref="F1951">_xlfn.LET(_xlpm.rowNum,MATCH(E1951,'glossaryterms-export'!C:C,0),
IF(AND(NOT(ISBLANK(INDEX('glossaryterms-export'!H:H,_xlpm.rowNum))),ISBLANK(INDEX('glossaryterms-export'!I:I,_xlpm.rowNum))),"Ready to Fix",""))</f>
        <v/>
      </c>
    </row>
    <row r="1952" spans="6:6">
      <c r="F1952" s="1" t="str" cm="1">
        <f t="array" ref="F1952">_xlfn.LET(_xlpm.rowNum,MATCH(E1952,'glossaryterms-export'!C:C,0),
IF(AND(NOT(ISBLANK(INDEX('glossaryterms-export'!H:H,_xlpm.rowNum))),ISBLANK(INDEX('glossaryterms-export'!I:I,_xlpm.rowNum))),"Ready to Fix",""))</f>
        <v/>
      </c>
    </row>
    <row r="1953" spans="6:6">
      <c r="F1953" s="1" t="str" cm="1">
        <f t="array" ref="F1953">_xlfn.LET(_xlpm.rowNum,MATCH(E1953,'glossaryterms-export'!C:C,0),
IF(AND(NOT(ISBLANK(INDEX('glossaryterms-export'!H:H,_xlpm.rowNum))),ISBLANK(INDEX('glossaryterms-export'!I:I,_xlpm.rowNum))),"Ready to Fix",""))</f>
        <v/>
      </c>
    </row>
    <row r="1954" spans="6:6">
      <c r="F1954" s="1" t="str" cm="1">
        <f t="array" ref="F1954">_xlfn.LET(_xlpm.rowNum,MATCH(E1954,'glossaryterms-export'!C:C,0),
IF(AND(NOT(ISBLANK(INDEX('glossaryterms-export'!H:H,_xlpm.rowNum))),ISBLANK(INDEX('glossaryterms-export'!I:I,_xlpm.rowNum))),"Ready to Fix",""))</f>
        <v/>
      </c>
    </row>
    <row r="1955" spans="6:6">
      <c r="F1955" s="1" t="str" cm="1">
        <f t="array" ref="F1955">_xlfn.LET(_xlpm.rowNum,MATCH(E1955,'glossaryterms-export'!C:C,0),
IF(AND(NOT(ISBLANK(INDEX('glossaryterms-export'!H:H,_xlpm.rowNum))),ISBLANK(INDEX('glossaryterms-export'!I:I,_xlpm.rowNum))),"Ready to Fix",""))</f>
        <v/>
      </c>
    </row>
    <row r="1956" spans="6:6">
      <c r="F1956" s="1" t="str" cm="1">
        <f t="array" ref="F1956">_xlfn.LET(_xlpm.rowNum,MATCH(E1956,'glossaryterms-export'!C:C,0),
IF(AND(NOT(ISBLANK(INDEX('glossaryterms-export'!H:H,_xlpm.rowNum))),ISBLANK(INDEX('glossaryterms-export'!I:I,_xlpm.rowNum))),"Ready to Fix",""))</f>
        <v/>
      </c>
    </row>
    <row r="1957" spans="6:6">
      <c r="F1957" s="1" t="str" cm="1">
        <f t="array" ref="F1957">_xlfn.LET(_xlpm.rowNum,MATCH(E1957,'glossaryterms-export'!C:C,0),
IF(AND(NOT(ISBLANK(INDEX('glossaryterms-export'!H:H,_xlpm.rowNum))),ISBLANK(INDEX('glossaryterms-export'!I:I,_xlpm.rowNum))),"Ready to Fix",""))</f>
        <v/>
      </c>
    </row>
    <row r="1958" spans="6:6">
      <c r="F1958" s="1" t="str" cm="1">
        <f t="array" ref="F1958">_xlfn.LET(_xlpm.rowNum,MATCH(E1958,'glossaryterms-export'!C:C,0),
IF(AND(NOT(ISBLANK(INDEX('glossaryterms-export'!H:H,_xlpm.rowNum))),ISBLANK(INDEX('glossaryterms-export'!I:I,_xlpm.rowNum))),"Ready to Fix",""))</f>
        <v/>
      </c>
    </row>
    <row r="1959" spans="6:6">
      <c r="F1959" s="1" t="str" cm="1">
        <f t="array" ref="F1959">_xlfn.LET(_xlpm.rowNum,MATCH(E1959,'glossaryterms-export'!C:C,0),
IF(AND(NOT(ISBLANK(INDEX('glossaryterms-export'!H:H,_xlpm.rowNum))),ISBLANK(INDEX('glossaryterms-export'!I:I,_xlpm.rowNum))),"Ready to Fix",""))</f>
        <v/>
      </c>
    </row>
    <row r="1960" spans="6:6">
      <c r="F1960" s="1" t="str" cm="1">
        <f t="array" ref="F1960">_xlfn.LET(_xlpm.rowNum,MATCH(E1960,'glossaryterms-export'!C:C,0),
IF(AND(NOT(ISBLANK(INDEX('glossaryterms-export'!H:H,_xlpm.rowNum))),ISBLANK(INDEX('glossaryterms-export'!I:I,_xlpm.rowNum))),"Ready to Fix",""))</f>
        <v/>
      </c>
    </row>
    <row r="1961" spans="6:6">
      <c r="F1961" s="1" t="str" cm="1">
        <f t="array" ref="F1961">_xlfn.LET(_xlpm.rowNum,MATCH(E1961,'glossaryterms-export'!C:C,0),
IF(AND(NOT(ISBLANK(INDEX('glossaryterms-export'!H:H,_xlpm.rowNum))),ISBLANK(INDEX('glossaryterms-export'!I:I,_xlpm.rowNum))),"Ready to Fix",""))</f>
        <v/>
      </c>
    </row>
    <row r="1962" spans="6:6">
      <c r="F1962" s="1" t="str" cm="1">
        <f t="array" ref="F1962">_xlfn.LET(_xlpm.rowNum,MATCH(E1962,'glossaryterms-export'!C:C,0),
IF(AND(NOT(ISBLANK(INDEX('glossaryterms-export'!H:H,_xlpm.rowNum))),ISBLANK(INDEX('glossaryterms-export'!I:I,_xlpm.rowNum))),"Ready to Fix",""))</f>
        <v/>
      </c>
    </row>
    <row r="1963" spans="6:6">
      <c r="F1963" s="1" t="str" cm="1">
        <f t="array" ref="F1963">_xlfn.LET(_xlpm.rowNum,MATCH(E1963,'glossaryterms-export'!C:C,0),
IF(AND(NOT(ISBLANK(INDEX('glossaryterms-export'!H:H,_xlpm.rowNum))),ISBLANK(INDEX('glossaryterms-export'!I:I,_xlpm.rowNum))),"Ready to Fix",""))</f>
        <v/>
      </c>
    </row>
    <row r="1964" spans="6:6">
      <c r="F1964" s="1" t="str" cm="1">
        <f t="array" ref="F1964">_xlfn.LET(_xlpm.rowNum,MATCH(E1964,'glossaryterms-export'!C:C,0),
IF(AND(NOT(ISBLANK(INDEX('glossaryterms-export'!H:H,_xlpm.rowNum))),ISBLANK(INDEX('glossaryterms-export'!I:I,_xlpm.rowNum))),"Ready to Fix",""))</f>
        <v/>
      </c>
    </row>
    <row r="1965" spans="6:6">
      <c r="F1965" s="1" t="str" cm="1">
        <f t="array" ref="F1965">_xlfn.LET(_xlpm.rowNum,MATCH(E1965,'glossaryterms-export'!C:C,0),
IF(AND(NOT(ISBLANK(INDEX('glossaryterms-export'!H:H,_xlpm.rowNum))),ISBLANK(INDEX('glossaryterms-export'!I:I,_xlpm.rowNum))),"Ready to Fix",""))</f>
        <v/>
      </c>
    </row>
    <row r="1966" spans="6:6">
      <c r="F1966" s="1" t="str" cm="1">
        <f t="array" ref="F1966">_xlfn.LET(_xlpm.rowNum,MATCH(E1966,'glossaryterms-export'!C:C,0),
IF(AND(NOT(ISBLANK(INDEX('glossaryterms-export'!H:H,_xlpm.rowNum))),ISBLANK(INDEX('glossaryterms-export'!I:I,_xlpm.rowNum))),"Ready to Fix",""))</f>
        <v/>
      </c>
    </row>
    <row r="1967" spans="6:6">
      <c r="F1967" s="1" t="str" cm="1">
        <f t="array" ref="F1967">_xlfn.LET(_xlpm.rowNum,MATCH(E1967,'glossaryterms-export'!C:C,0),
IF(AND(NOT(ISBLANK(INDEX('glossaryterms-export'!H:H,_xlpm.rowNum))),ISBLANK(INDEX('glossaryterms-export'!I:I,_xlpm.rowNum))),"Ready to Fix",""))</f>
        <v/>
      </c>
    </row>
    <row r="1968" spans="6:6">
      <c r="F1968" s="1" t="str" cm="1">
        <f t="array" ref="F1968">_xlfn.LET(_xlpm.rowNum,MATCH(E1968,'glossaryterms-export'!C:C,0),
IF(AND(NOT(ISBLANK(INDEX('glossaryterms-export'!H:H,_xlpm.rowNum))),ISBLANK(INDEX('glossaryterms-export'!I:I,_xlpm.rowNum))),"Ready to Fix",""))</f>
        <v/>
      </c>
    </row>
    <row r="1969" spans="6:6">
      <c r="F1969" s="1" t="str" cm="1">
        <f t="array" ref="F1969">_xlfn.LET(_xlpm.rowNum,MATCH(E1969,'glossaryterms-export'!C:C,0),
IF(AND(NOT(ISBLANK(INDEX('glossaryterms-export'!H:H,_xlpm.rowNum))),ISBLANK(INDEX('glossaryterms-export'!I:I,_xlpm.rowNum))),"Ready to Fix",""))</f>
        <v/>
      </c>
    </row>
    <row r="1970" spans="6:6">
      <c r="F1970" s="1" t="str" cm="1">
        <f t="array" ref="F1970">_xlfn.LET(_xlpm.rowNum,MATCH(E1970,'glossaryterms-export'!C:C,0),
IF(AND(NOT(ISBLANK(INDEX('glossaryterms-export'!H:H,_xlpm.rowNum))),ISBLANK(INDEX('glossaryterms-export'!I:I,_xlpm.rowNum))),"Ready to Fix",""))</f>
        <v/>
      </c>
    </row>
    <row r="1971" spans="6:6">
      <c r="F1971" s="1" t="str" cm="1">
        <f t="array" ref="F1971">_xlfn.LET(_xlpm.rowNum,MATCH(E1971,'glossaryterms-export'!C:C,0),
IF(AND(NOT(ISBLANK(INDEX('glossaryterms-export'!H:H,_xlpm.rowNum))),ISBLANK(INDEX('glossaryterms-export'!I:I,_xlpm.rowNum))),"Ready to Fix",""))</f>
        <v/>
      </c>
    </row>
    <row r="1972" spans="6:6">
      <c r="F1972" s="1" t="str" cm="1">
        <f t="array" ref="F1972">_xlfn.LET(_xlpm.rowNum,MATCH(E1972,'glossaryterms-export'!C:C,0),
IF(AND(NOT(ISBLANK(INDEX('glossaryterms-export'!H:H,_xlpm.rowNum))),ISBLANK(INDEX('glossaryterms-export'!I:I,_xlpm.rowNum))),"Ready to Fix",""))</f>
        <v/>
      </c>
    </row>
    <row r="1973" spans="6:6">
      <c r="F1973" s="1" t="str" cm="1">
        <f t="array" ref="F1973">_xlfn.LET(_xlpm.rowNum,MATCH(E1973,'glossaryterms-export'!C:C,0),
IF(AND(NOT(ISBLANK(INDEX('glossaryterms-export'!H:H,_xlpm.rowNum))),ISBLANK(INDEX('glossaryterms-export'!I:I,_xlpm.rowNum))),"Ready to Fix",""))</f>
        <v/>
      </c>
    </row>
    <row r="1974" spans="6:6">
      <c r="F1974" s="1" t="str" cm="1">
        <f t="array" ref="F1974">_xlfn.LET(_xlpm.rowNum,MATCH(E1974,'glossaryterms-export'!C:C,0),
IF(AND(NOT(ISBLANK(INDEX('glossaryterms-export'!H:H,_xlpm.rowNum))),ISBLANK(INDEX('glossaryterms-export'!I:I,_xlpm.rowNum))),"Ready to Fix",""))</f>
        <v/>
      </c>
    </row>
    <row r="1975" spans="6:6">
      <c r="F1975" s="1" t="str" cm="1">
        <f t="array" ref="F1975">_xlfn.LET(_xlpm.rowNum,MATCH(E1975,'glossaryterms-export'!C:C,0),
IF(AND(NOT(ISBLANK(INDEX('glossaryterms-export'!H:H,_xlpm.rowNum))),ISBLANK(INDEX('glossaryterms-export'!I:I,_xlpm.rowNum))),"Ready to Fix",""))</f>
        <v/>
      </c>
    </row>
    <row r="1976" spans="6:6">
      <c r="F1976" s="1" t="str" cm="1">
        <f t="array" ref="F1976">_xlfn.LET(_xlpm.rowNum,MATCH(E1976,'glossaryterms-export'!C:C,0),
IF(AND(NOT(ISBLANK(INDEX('glossaryterms-export'!H:H,_xlpm.rowNum))),ISBLANK(INDEX('glossaryterms-export'!I:I,_xlpm.rowNum))),"Ready to Fix",""))</f>
        <v/>
      </c>
    </row>
    <row r="1977" spans="6:6">
      <c r="F1977" s="1" t="str" cm="1">
        <f t="array" ref="F1977">_xlfn.LET(_xlpm.rowNum,MATCH(E1977,'glossaryterms-export'!C:C,0),
IF(AND(NOT(ISBLANK(INDEX('glossaryterms-export'!H:H,_xlpm.rowNum))),ISBLANK(INDEX('glossaryterms-export'!I:I,_xlpm.rowNum))),"Ready to Fix",""))</f>
        <v/>
      </c>
    </row>
    <row r="1978" spans="6:6">
      <c r="F1978" s="1" t="str" cm="1">
        <f t="array" ref="F1978">_xlfn.LET(_xlpm.rowNum,MATCH(E1978,'glossaryterms-export'!C:C,0),
IF(AND(NOT(ISBLANK(INDEX('glossaryterms-export'!H:H,_xlpm.rowNum))),ISBLANK(INDEX('glossaryterms-export'!I:I,_xlpm.rowNum))),"Ready to Fix",""))</f>
        <v/>
      </c>
    </row>
    <row r="1979" spans="6:6">
      <c r="F1979" s="1" t="str" cm="1">
        <f t="array" ref="F1979">_xlfn.LET(_xlpm.rowNum,MATCH(E1979,'glossaryterms-export'!C:C,0),
IF(AND(NOT(ISBLANK(INDEX('glossaryterms-export'!H:H,_xlpm.rowNum))),ISBLANK(INDEX('glossaryterms-export'!I:I,_xlpm.rowNum))),"Ready to Fix",""))</f>
        <v/>
      </c>
    </row>
    <row r="1980" spans="6:6">
      <c r="F1980" s="1" t="str" cm="1">
        <f t="array" ref="F1980">_xlfn.LET(_xlpm.rowNum,MATCH(E1980,'glossaryterms-export'!C:C,0),
IF(AND(NOT(ISBLANK(INDEX('glossaryterms-export'!H:H,_xlpm.rowNum))),ISBLANK(INDEX('glossaryterms-export'!I:I,_xlpm.rowNum))),"Ready to Fix",""))</f>
        <v/>
      </c>
    </row>
    <row r="1981" spans="6:6">
      <c r="F1981" s="1" t="str" cm="1">
        <f t="array" ref="F1981">_xlfn.LET(_xlpm.rowNum,MATCH(E1981,'glossaryterms-export'!C:C,0),
IF(AND(NOT(ISBLANK(INDEX('glossaryterms-export'!H:H,_xlpm.rowNum))),ISBLANK(INDEX('glossaryterms-export'!I:I,_xlpm.rowNum))),"Ready to Fix",""))</f>
        <v/>
      </c>
    </row>
    <row r="1982" spans="6:6">
      <c r="F1982" s="1" t="str" cm="1">
        <f t="array" ref="F1982">_xlfn.LET(_xlpm.rowNum,MATCH(E1982,'glossaryterms-export'!C:C,0),
IF(AND(NOT(ISBLANK(INDEX('glossaryterms-export'!H:H,_xlpm.rowNum))),ISBLANK(INDEX('glossaryterms-export'!I:I,_xlpm.rowNum))),"Ready to Fix",""))</f>
        <v/>
      </c>
    </row>
    <row r="1983" spans="6:6">
      <c r="F1983" s="1" t="str" cm="1">
        <f t="array" ref="F1983">_xlfn.LET(_xlpm.rowNum,MATCH(E1983,'glossaryterms-export'!C:C,0),
IF(AND(NOT(ISBLANK(INDEX('glossaryterms-export'!H:H,_xlpm.rowNum))),ISBLANK(INDEX('glossaryterms-export'!I:I,_xlpm.rowNum))),"Ready to Fix",""))</f>
        <v/>
      </c>
    </row>
    <row r="1984" spans="6:6">
      <c r="F1984" s="1" t="str" cm="1">
        <f t="array" ref="F1984">_xlfn.LET(_xlpm.rowNum,MATCH(E1984,'glossaryterms-export'!C:C,0),
IF(AND(NOT(ISBLANK(INDEX('glossaryterms-export'!H:H,_xlpm.rowNum))),ISBLANK(INDEX('glossaryterms-export'!I:I,_xlpm.rowNum))),"Ready to Fix",""))</f>
        <v/>
      </c>
    </row>
    <row r="1985" spans="6:6">
      <c r="F1985" s="1" t="str" cm="1">
        <f t="array" ref="F1985">_xlfn.LET(_xlpm.rowNum,MATCH(E1985,'glossaryterms-export'!C:C,0),
IF(AND(NOT(ISBLANK(INDEX('glossaryterms-export'!H:H,_xlpm.rowNum))),ISBLANK(INDEX('glossaryterms-export'!I:I,_xlpm.rowNum))),"Ready to Fix",""))</f>
        <v/>
      </c>
    </row>
    <row r="1986" spans="6:6">
      <c r="F1986" s="1" t="str" cm="1">
        <f t="array" ref="F1986">_xlfn.LET(_xlpm.rowNum,MATCH(E1986,'glossaryterms-export'!C:C,0),
IF(AND(NOT(ISBLANK(INDEX('glossaryterms-export'!H:H,_xlpm.rowNum))),ISBLANK(INDEX('glossaryterms-export'!I:I,_xlpm.rowNum))),"Ready to Fix",""))</f>
        <v/>
      </c>
    </row>
    <row r="1987" spans="6:6">
      <c r="F1987" s="1" t="str" cm="1">
        <f t="array" ref="F1987">_xlfn.LET(_xlpm.rowNum,MATCH(E1987,'glossaryterms-export'!C:C,0),
IF(AND(NOT(ISBLANK(INDEX('glossaryterms-export'!H:H,_xlpm.rowNum))),ISBLANK(INDEX('glossaryterms-export'!I:I,_xlpm.rowNum))),"Ready to Fix",""))</f>
        <v/>
      </c>
    </row>
    <row r="1988" spans="6:6">
      <c r="F1988" s="1" t="str" cm="1">
        <f t="array" ref="F1988">_xlfn.LET(_xlpm.rowNum,MATCH(E1988,'glossaryterms-export'!C:C,0),
IF(AND(NOT(ISBLANK(INDEX('glossaryterms-export'!H:H,_xlpm.rowNum))),ISBLANK(INDEX('glossaryterms-export'!I:I,_xlpm.rowNum))),"Ready to Fix",""))</f>
        <v/>
      </c>
    </row>
    <row r="1989" spans="6:6">
      <c r="F1989" s="1" t="str" cm="1">
        <f t="array" ref="F1989">_xlfn.LET(_xlpm.rowNum,MATCH(E1989,'glossaryterms-export'!C:C,0),
IF(AND(NOT(ISBLANK(INDEX('glossaryterms-export'!H:H,_xlpm.rowNum))),ISBLANK(INDEX('glossaryterms-export'!I:I,_xlpm.rowNum))),"Ready to Fix",""))</f>
        <v/>
      </c>
    </row>
    <row r="1990" spans="6:6">
      <c r="F1990" s="1" t="str" cm="1">
        <f t="array" ref="F1990">_xlfn.LET(_xlpm.rowNum,MATCH(E1990,'glossaryterms-export'!C:C,0),
IF(AND(NOT(ISBLANK(INDEX('glossaryterms-export'!H:H,_xlpm.rowNum))),ISBLANK(INDEX('glossaryterms-export'!I:I,_xlpm.rowNum))),"Ready to Fix",""))</f>
        <v/>
      </c>
    </row>
    <row r="1991" spans="6:6">
      <c r="F1991" s="1" t="str" cm="1">
        <f t="array" ref="F1991">_xlfn.LET(_xlpm.rowNum,MATCH(E1991,'glossaryterms-export'!C:C,0),
IF(AND(NOT(ISBLANK(INDEX('glossaryterms-export'!H:H,_xlpm.rowNum))),ISBLANK(INDEX('glossaryterms-export'!I:I,_xlpm.rowNum))),"Ready to Fix",""))</f>
        <v/>
      </c>
    </row>
    <row r="1992" spans="6:6">
      <c r="F1992" s="1" t="str" cm="1">
        <f t="array" ref="F1992">_xlfn.LET(_xlpm.rowNum,MATCH(E1992,'glossaryterms-export'!C:C,0),
IF(AND(NOT(ISBLANK(INDEX('glossaryterms-export'!H:H,_xlpm.rowNum))),ISBLANK(INDEX('glossaryterms-export'!I:I,_xlpm.rowNum))),"Ready to Fix",""))</f>
        <v/>
      </c>
    </row>
    <row r="1993" spans="6:6">
      <c r="F1993" s="1" t="str" cm="1">
        <f t="array" ref="F1993">_xlfn.LET(_xlpm.rowNum,MATCH(E1993,'glossaryterms-export'!C:C,0),
IF(AND(NOT(ISBLANK(INDEX('glossaryterms-export'!H:H,_xlpm.rowNum))),ISBLANK(INDEX('glossaryterms-export'!I:I,_xlpm.rowNum))),"Ready to Fix",""))</f>
        <v/>
      </c>
    </row>
    <row r="1994" spans="6:6">
      <c r="F1994" s="1" t="str" cm="1">
        <f t="array" ref="F1994">_xlfn.LET(_xlpm.rowNum,MATCH(E1994,'glossaryterms-export'!C:C,0),
IF(AND(NOT(ISBLANK(INDEX('glossaryterms-export'!H:H,_xlpm.rowNum))),ISBLANK(INDEX('glossaryterms-export'!I:I,_xlpm.rowNum))),"Ready to Fix",""))</f>
        <v/>
      </c>
    </row>
    <row r="1995" spans="6:6">
      <c r="F1995" s="1" t="str" cm="1">
        <f t="array" ref="F1995">_xlfn.LET(_xlpm.rowNum,MATCH(E1995,'glossaryterms-export'!C:C,0),
IF(AND(NOT(ISBLANK(INDEX('glossaryterms-export'!H:H,_xlpm.rowNum))),ISBLANK(INDEX('glossaryterms-export'!I:I,_xlpm.rowNum))),"Ready to Fix",""))</f>
        <v/>
      </c>
    </row>
    <row r="1996" spans="6:6">
      <c r="F1996" s="1" t="str" cm="1">
        <f t="array" ref="F1996">_xlfn.LET(_xlpm.rowNum,MATCH(E1996,'glossaryterms-export'!C:C,0),
IF(AND(NOT(ISBLANK(INDEX('glossaryterms-export'!H:H,_xlpm.rowNum))),ISBLANK(INDEX('glossaryterms-export'!I:I,_xlpm.rowNum))),"Ready to Fix",""))</f>
        <v/>
      </c>
    </row>
    <row r="1997" spans="6:6">
      <c r="F1997" s="1" t="str" cm="1">
        <f t="array" ref="F1997">_xlfn.LET(_xlpm.rowNum,MATCH(E1997,'glossaryterms-export'!C:C,0),
IF(AND(NOT(ISBLANK(INDEX('glossaryterms-export'!H:H,_xlpm.rowNum))),ISBLANK(INDEX('glossaryterms-export'!I:I,_xlpm.rowNum))),"Ready to Fix",""))</f>
        <v/>
      </c>
    </row>
    <row r="1998" spans="6:6">
      <c r="F1998" s="1" t="str" cm="1">
        <f t="array" ref="F1998">_xlfn.LET(_xlpm.rowNum,MATCH(E1998,'glossaryterms-export'!C:C,0),
IF(AND(NOT(ISBLANK(INDEX('glossaryterms-export'!H:H,_xlpm.rowNum))),ISBLANK(INDEX('glossaryterms-export'!I:I,_xlpm.rowNum))),"Ready to Fix",""))</f>
        <v/>
      </c>
    </row>
    <row r="1999" spans="6:6">
      <c r="F1999" s="1" t="str" cm="1">
        <f t="array" ref="F1999">_xlfn.LET(_xlpm.rowNum,MATCH(E1999,'glossaryterms-export'!C:C,0),
IF(AND(NOT(ISBLANK(INDEX('glossaryterms-export'!H:H,_xlpm.rowNum))),ISBLANK(INDEX('glossaryterms-export'!I:I,_xlpm.rowNum))),"Ready to Fix",""))</f>
        <v/>
      </c>
    </row>
    <row r="2000" spans="6:6">
      <c r="F2000" s="1" t="str" cm="1">
        <f t="array" ref="F2000">_xlfn.LET(_xlpm.rowNum,MATCH(E2000,'glossaryterms-export'!C:C,0),
IF(AND(NOT(ISBLANK(INDEX('glossaryterms-export'!H:H,_xlpm.rowNum))),ISBLANK(INDEX('glossaryterms-export'!I:I,_xlpm.rowNum))),"Ready to Fix",""))</f>
        <v/>
      </c>
    </row>
    <row r="2001" spans="6:6">
      <c r="F2001" s="1" t="str" cm="1">
        <f t="array" ref="F2001">_xlfn.LET(_xlpm.rowNum,MATCH(E2001,'glossaryterms-export'!C:C,0),
IF(AND(NOT(ISBLANK(INDEX('glossaryterms-export'!H:H,_xlpm.rowNum))),ISBLANK(INDEX('glossaryterms-export'!I:I,_xlpm.rowNum))),"Ready to Fix",""))</f>
        <v/>
      </c>
    </row>
    <row r="2002" spans="6:6">
      <c r="F2002" s="1" t="str" cm="1">
        <f t="array" ref="F2002">_xlfn.LET(_xlpm.rowNum,MATCH(E2002,'glossaryterms-export'!C:C,0),
IF(AND(NOT(ISBLANK(INDEX('glossaryterms-export'!H:H,_xlpm.rowNum))),ISBLANK(INDEX('glossaryterms-export'!I:I,_xlpm.rowNum))),"Ready to Fix",""))</f>
        <v/>
      </c>
    </row>
    <row r="2003" spans="6:6">
      <c r="F2003" s="1" t="str" cm="1">
        <f t="array" ref="F2003">_xlfn.LET(_xlpm.rowNum,MATCH(E2003,'glossaryterms-export'!C:C,0),
IF(AND(NOT(ISBLANK(INDEX('glossaryterms-export'!H:H,_xlpm.rowNum))),ISBLANK(INDEX('glossaryterms-export'!I:I,_xlpm.rowNum))),"Ready to Fix",""))</f>
        <v/>
      </c>
    </row>
    <row r="2004" spans="6:6">
      <c r="F2004" s="1" t="str" cm="1">
        <f t="array" ref="F2004">_xlfn.LET(_xlpm.rowNum,MATCH(E2004,'glossaryterms-export'!C:C,0),
IF(AND(NOT(ISBLANK(INDEX('glossaryterms-export'!H:H,_xlpm.rowNum))),ISBLANK(INDEX('glossaryterms-export'!I:I,_xlpm.rowNum))),"Ready to Fix",""))</f>
        <v/>
      </c>
    </row>
    <row r="2005" spans="6:6">
      <c r="F2005" s="1" t="str" cm="1">
        <f t="array" ref="F2005">_xlfn.LET(_xlpm.rowNum,MATCH(E2005,'glossaryterms-export'!C:C,0),
IF(AND(NOT(ISBLANK(INDEX('glossaryterms-export'!H:H,_xlpm.rowNum))),ISBLANK(INDEX('glossaryterms-export'!I:I,_xlpm.rowNum))),"Ready to Fix",""))</f>
        <v/>
      </c>
    </row>
    <row r="2006" spans="6:6">
      <c r="F2006" s="1" t="str" cm="1">
        <f t="array" ref="F2006">_xlfn.LET(_xlpm.rowNum,MATCH(E2006,'glossaryterms-export'!C:C,0),
IF(AND(NOT(ISBLANK(INDEX('glossaryterms-export'!H:H,_xlpm.rowNum))),ISBLANK(INDEX('glossaryterms-export'!I:I,_xlpm.rowNum))),"Ready to Fix",""))</f>
        <v/>
      </c>
    </row>
    <row r="2007" spans="6:6">
      <c r="F2007" s="1" t="str" cm="1">
        <f t="array" ref="F2007">_xlfn.LET(_xlpm.rowNum,MATCH(E2007,'glossaryterms-export'!C:C,0),
IF(AND(NOT(ISBLANK(INDEX('glossaryterms-export'!H:H,_xlpm.rowNum))),ISBLANK(INDEX('glossaryterms-export'!I:I,_xlpm.rowNum))),"Ready to Fix",""))</f>
        <v/>
      </c>
    </row>
    <row r="2008" spans="6:6">
      <c r="F2008" s="1" t="str" cm="1">
        <f t="array" ref="F2008">_xlfn.LET(_xlpm.rowNum,MATCH(E2008,'glossaryterms-export'!C:C,0),
IF(AND(NOT(ISBLANK(INDEX('glossaryterms-export'!H:H,_xlpm.rowNum))),ISBLANK(INDEX('glossaryterms-export'!I:I,_xlpm.rowNum))),"Ready to Fix",""))</f>
        <v/>
      </c>
    </row>
    <row r="2009" spans="6:6">
      <c r="F2009" s="1" t="str" cm="1">
        <f t="array" ref="F2009">_xlfn.LET(_xlpm.rowNum,MATCH(E2009,'glossaryterms-export'!C:C,0),
IF(AND(NOT(ISBLANK(INDEX('glossaryterms-export'!H:H,_xlpm.rowNum))),ISBLANK(INDEX('glossaryterms-export'!I:I,_xlpm.rowNum))),"Ready to Fix",""))</f>
        <v/>
      </c>
    </row>
    <row r="2010" spans="6:6">
      <c r="F2010" s="1" t="str" cm="1">
        <f t="array" ref="F2010">_xlfn.LET(_xlpm.rowNum,MATCH(E2010,'glossaryterms-export'!C:C,0),
IF(AND(NOT(ISBLANK(INDEX('glossaryterms-export'!H:H,_xlpm.rowNum))),ISBLANK(INDEX('glossaryterms-export'!I:I,_xlpm.rowNum))),"Ready to Fix",""))</f>
        <v/>
      </c>
    </row>
    <row r="2011" spans="6:6">
      <c r="F2011" s="1" t="str" cm="1">
        <f t="array" ref="F2011">_xlfn.LET(_xlpm.rowNum,MATCH(E2011,'glossaryterms-export'!C:C,0),
IF(AND(NOT(ISBLANK(INDEX('glossaryterms-export'!H:H,_xlpm.rowNum))),ISBLANK(INDEX('glossaryterms-export'!I:I,_xlpm.rowNum))),"Ready to Fix",""))</f>
        <v/>
      </c>
    </row>
    <row r="2012" spans="6:6">
      <c r="F2012" s="1" t="str" cm="1">
        <f t="array" ref="F2012">_xlfn.LET(_xlpm.rowNum,MATCH(E2012,'glossaryterms-export'!C:C,0),
IF(AND(NOT(ISBLANK(INDEX('glossaryterms-export'!H:H,_xlpm.rowNum))),ISBLANK(INDEX('glossaryterms-export'!I:I,_xlpm.rowNum))),"Ready to Fix",""))</f>
        <v/>
      </c>
    </row>
    <row r="2013" spans="6:6">
      <c r="F2013" s="1" t="str" cm="1">
        <f t="array" ref="F2013">_xlfn.LET(_xlpm.rowNum,MATCH(E2013,'glossaryterms-export'!C:C,0),
IF(AND(NOT(ISBLANK(INDEX('glossaryterms-export'!H:H,_xlpm.rowNum))),ISBLANK(INDEX('glossaryterms-export'!I:I,_xlpm.rowNum))),"Ready to Fix",""))</f>
        <v/>
      </c>
    </row>
    <row r="2014" spans="6:6">
      <c r="F2014" s="1" t="str" cm="1">
        <f t="array" ref="F2014">_xlfn.LET(_xlpm.rowNum,MATCH(E2014,'glossaryterms-export'!C:C,0),
IF(AND(NOT(ISBLANK(INDEX('glossaryterms-export'!H:H,_xlpm.rowNum))),ISBLANK(INDEX('glossaryterms-export'!I:I,_xlpm.rowNum))),"Ready to Fix",""))</f>
        <v/>
      </c>
    </row>
    <row r="2015" spans="6:6">
      <c r="F2015" s="1" t="str" cm="1">
        <f t="array" ref="F2015">_xlfn.LET(_xlpm.rowNum,MATCH(E2015,'glossaryterms-export'!C:C,0),
IF(AND(NOT(ISBLANK(INDEX('glossaryterms-export'!H:H,_xlpm.rowNum))),ISBLANK(INDEX('glossaryterms-export'!I:I,_xlpm.rowNum))),"Ready to Fix",""))</f>
        <v/>
      </c>
    </row>
    <row r="2016" spans="6:6">
      <c r="F2016" s="1" t="str" cm="1">
        <f t="array" ref="F2016">_xlfn.LET(_xlpm.rowNum,MATCH(E2016,'glossaryterms-export'!C:C,0),
IF(AND(NOT(ISBLANK(INDEX('glossaryterms-export'!H:H,_xlpm.rowNum))),ISBLANK(INDEX('glossaryterms-export'!I:I,_xlpm.rowNum))),"Ready to Fix",""))</f>
        <v/>
      </c>
    </row>
    <row r="2017" spans="6:6">
      <c r="F2017" s="1" t="str" cm="1">
        <f t="array" ref="F2017">_xlfn.LET(_xlpm.rowNum,MATCH(E2017,'glossaryterms-export'!C:C,0),
IF(AND(NOT(ISBLANK(INDEX('glossaryterms-export'!H:H,_xlpm.rowNum))),ISBLANK(INDEX('glossaryterms-export'!I:I,_xlpm.rowNum))),"Ready to Fix",""))</f>
        <v/>
      </c>
    </row>
    <row r="2018" spans="6:6">
      <c r="F2018" s="1" t="str" cm="1">
        <f t="array" ref="F2018">_xlfn.LET(_xlpm.rowNum,MATCH(E2018,'glossaryterms-export'!C:C,0),
IF(AND(NOT(ISBLANK(INDEX('glossaryterms-export'!H:H,_xlpm.rowNum))),ISBLANK(INDEX('glossaryterms-export'!I:I,_xlpm.rowNum))),"Ready to Fix",""))</f>
        <v/>
      </c>
    </row>
    <row r="2019" spans="6:6">
      <c r="F2019" s="1" t="str" cm="1">
        <f t="array" ref="F2019">_xlfn.LET(_xlpm.rowNum,MATCH(E2019,'glossaryterms-export'!C:C,0),
IF(AND(NOT(ISBLANK(INDEX('glossaryterms-export'!H:H,_xlpm.rowNum))),ISBLANK(INDEX('glossaryterms-export'!I:I,_xlpm.rowNum))),"Ready to Fix",""))</f>
        <v/>
      </c>
    </row>
    <row r="2020" spans="6:6">
      <c r="F2020" s="1" t="str" cm="1">
        <f t="array" ref="F2020">_xlfn.LET(_xlpm.rowNum,MATCH(E2020,'glossaryterms-export'!C:C,0),
IF(AND(NOT(ISBLANK(INDEX('glossaryterms-export'!H:H,_xlpm.rowNum))),ISBLANK(INDEX('glossaryterms-export'!I:I,_xlpm.rowNum))),"Ready to Fix",""))</f>
        <v/>
      </c>
    </row>
    <row r="2021" spans="6:6">
      <c r="F2021" s="1" t="str" cm="1">
        <f t="array" ref="F2021">_xlfn.LET(_xlpm.rowNum,MATCH(E2021,'glossaryterms-export'!C:C,0),
IF(AND(NOT(ISBLANK(INDEX('glossaryterms-export'!H:H,_xlpm.rowNum))),ISBLANK(INDEX('glossaryterms-export'!I:I,_xlpm.rowNum))),"Ready to Fix",""))</f>
        <v/>
      </c>
    </row>
    <row r="2022" spans="6:6">
      <c r="F2022" s="1" t="str" cm="1">
        <f t="array" ref="F2022">_xlfn.LET(_xlpm.rowNum,MATCH(E2022,'glossaryterms-export'!C:C,0),
IF(AND(NOT(ISBLANK(INDEX('glossaryterms-export'!H:H,_xlpm.rowNum))),ISBLANK(INDEX('glossaryterms-export'!I:I,_xlpm.rowNum))),"Ready to Fix",""))</f>
        <v/>
      </c>
    </row>
    <row r="2023" spans="6:6">
      <c r="F2023" s="1" t="str" cm="1">
        <f t="array" ref="F2023">_xlfn.LET(_xlpm.rowNum,MATCH(E2023,'glossaryterms-export'!C:C,0),
IF(AND(NOT(ISBLANK(INDEX('glossaryterms-export'!H:H,_xlpm.rowNum))),ISBLANK(INDEX('glossaryterms-export'!I:I,_xlpm.rowNum))),"Ready to Fix",""))</f>
        <v/>
      </c>
    </row>
    <row r="2024" spans="6:6">
      <c r="F2024" s="1" t="str" cm="1">
        <f t="array" ref="F2024">_xlfn.LET(_xlpm.rowNum,MATCH(E2024,'glossaryterms-export'!C:C,0),
IF(AND(NOT(ISBLANK(INDEX('glossaryterms-export'!H:H,_xlpm.rowNum))),ISBLANK(INDEX('glossaryterms-export'!I:I,_xlpm.rowNum))),"Ready to Fix",""))</f>
        <v/>
      </c>
    </row>
    <row r="2025" spans="6:6">
      <c r="F2025" s="1" t="str" cm="1">
        <f t="array" ref="F2025">_xlfn.LET(_xlpm.rowNum,MATCH(E2025,'glossaryterms-export'!C:C,0),
IF(AND(NOT(ISBLANK(INDEX('glossaryterms-export'!H:H,_xlpm.rowNum))),ISBLANK(INDEX('glossaryterms-export'!I:I,_xlpm.rowNum))),"Ready to Fix",""))</f>
        <v/>
      </c>
    </row>
    <row r="2026" spans="6:6">
      <c r="F2026" s="1" t="str" cm="1">
        <f t="array" ref="F2026">_xlfn.LET(_xlpm.rowNum,MATCH(E2026,'glossaryterms-export'!C:C,0),
IF(AND(NOT(ISBLANK(INDEX('glossaryterms-export'!H:H,_xlpm.rowNum))),ISBLANK(INDEX('glossaryterms-export'!I:I,_xlpm.rowNum))),"Ready to Fix",""))</f>
        <v/>
      </c>
    </row>
    <row r="2027" spans="6:6">
      <c r="F2027" s="1" t="str" cm="1">
        <f t="array" ref="F2027">_xlfn.LET(_xlpm.rowNum,MATCH(E2027,'glossaryterms-export'!C:C,0),
IF(AND(NOT(ISBLANK(INDEX('glossaryterms-export'!H:H,_xlpm.rowNum))),ISBLANK(INDEX('glossaryterms-export'!I:I,_xlpm.rowNum))),"Ready to Fix",""))</f>
        <v/>
      </c>
    </row>
    <row r="2028" spans="6:6">
      <c r="F2028" s="1" t="str" cm="1">
        <f t="array" ref="F2028">_xlfn.LET(_xlpm.rowNum,MATCH(E2028,'glossaryterms-export'!C:C,0),
IF(AND(NOT(ISBLANK(INDEX('glossaryterms-export'!H:H,_xlpm.rowNum))),ISBLANK(INDEX('glossaryterms-export'!I:I,_xlpm.rowNum))),"Ready to Fix",""))</f>
        <v/>
      </c>
    </row>
    <row r="2029" spans="6:6">
      <c r="F2029" s="1" t="str" cm="1">
        <f t="array" ref="F2029">_xlfn.LET(_xlpm.rowNum,MATCH(E2029,'glossaryterms-export'!C:C,0),
IF(AND(NOT(ISBLANK(INDEX('glossaryterms-export'!H:H,_xlpm.rowNum))),ISBLANK(INDEX('glossaryterms-export'!I:I,_xlpm.rowNum))),"Ready to Fix",""))</f>
        <v/>
      </c>
    </row>
    <row r="2030" spans="6:6">
      <c r="F2030" s="1" t="str" cm="1">
        <f t="array" ref="F2030">_xlfn.LET(_xlpm.rowNum,MATCH(E2030,'glossaryterms-export'!C:C,0),
IF(AND(NOT(ISBLANK(INDEX('glossaryterms-export'!H:H,_xlpm.rowNum))),ISBLANK(INDEX('glossaryterms-export'!I:I,_xlpm.rowNum))),"Ready to Fix",""))</f>
        <v/>
      </c>
    </row>
    <row r="2031" spans="6:6">
      <c r="F2031" s="1" t="str" cm="1">
        <f t="array" ref="F2031">_xlfn.LET(_xlpm.rowNum,MATCH(E2031,'glossaryterms-export'!C:C,0),
IF(AND(NOT(ISBLANK(INDEX('glossaryterms-export'!H:H,_xlpm.rowNum))),ISBLANK(INDEX('glossaryterms-export'!I:I,_xlpm.rowNum))),"Ready to Fix",""))</f>
        <v/>
      </c>
    </row>
    <row r="2032" spans="6:6">
      <c r="F2032" s="1" t="str" cm="1">
        <f t="array" ref="F2032">_xlfn.LET(_xlpm.rowNum,MATCH(E2032,'glossaryterms-export'!C:C,0),
IF(AND(NOT(ISBLANK(INDEX('glossaryterms-export'!H:H,_xlpm.rowNum))),ISBLANK(INDEX('glossaryterms-export'!I:I,_xlpm.rowNum))),"Ready to Fix",""))</f>
        <v/>
      </c>
    </row>
    <row r="2033" spans="6:6">
      <c r="F2033" s="1" t="str" cm="1">
        <f t="array" ref="F2033">_xlfn.LET(_xlpm.rowNum,MATCH(E2033,'glossaryterms-export'!C:C,0),
IF(AND(NOT(ISBLANK(INDEX('glossaryterms-export'!H:H,_xlpm.rowNum))),ISBLANK(INDEX('glossaryterms-export'!I:I,_xlpm.rowNum))),"Ready to Fix",""))</f>
        <v/>
      </c>
    </row>
    <row r="2034" spans="6:6">
      <c r="F2034" s="1" t="str" cm="1">
        <f t="array" ref="F2034">_xlfn.LET(_xlpm.rowNum,MATCH(E2034,'glossaryterms-export'!C:C,0),
IF(AND(NOT(ISBLANK(INDEX('glossaryterms-export'!H:H,_xlpm.rowNum))),ISBLANK(INDEX('glossaryterms-export'!I:I,_xlpm.rowNum))),"Ready to Fix",""))</f>
        <v/>
      </c>
    </row>
    <row r="2035" spans="6:6">
      <c r="F2035" s="1" t="str" cm="1">
        <f t="array" ref="F2035">_xlfn.LET(_xlpm.rowNum,MATCH(E2035,'glossaryterms-export'!C:C,0),
IF(AND(NOT(ISBLANK(INDEX('glossaryterms-export'!H:H,_xlpm.rowNum))),ISBLANK(INDEX('glossaryterms-export'!I:I,_xlpm.rowNum))),"Ready to Fix",""))</f>
        <v/>
      </c>
    </row>
    <row r="2036" spans="6:6">
      <c r="F2036" s="1" t="str" cm="1">
        <f t="array" ref="F2036">_xlfn.LET(_xlpm.rowNum,MATCH(E2036,'glossaryterms-export'!C:C,0),
IF(AND(NOT(ISBLANK(INDEX('glossaryterms-export'!H:H,_xlpm.rowNum))),ISBLANK(INDEX('glossaryterms-export'!I:I,_xlpm.rowNum))),"Ready to Fix",""))</f>
        <v/>
      </c>
    </row>
    <row r="2037" spans="6:6">
      <c r="F2037" s="1" t="str" cm="1">
        <f t="array" ref="F2037">_xlfn.LET(_xlpm.rowNum,MATCH(E2037,'glossaryterms-export'!C:C,0),
IF(AND(NOT(ISBLANK(INDEX('glossaryterms-export'!H:H,_xlpm.rowNum))),ISBLANK(INDEX('glossaryterms-export'!I:I,_xlpm.rowNum))),"Ready to Fix",""))</f>
        <v/>
      </c>
    </row>
    <row r="2038" spans="6:6">
      <c r="F2038" s="1" t="str" cm="1">
        <f t="array" ref="F2038">_xlfn.LET(_xlpm.rowNum,MATCH(E2038,'glossaryterms-export'!C:C,0),
IF(AND(NOT(ISBLANK(INDEX('glossaryterms-export'!H:H,_xlpm.rowNum))),ISBLANK(INDEX('glossaryterms-export'!I:I,_xlpm.rowNum))),"Ready to Fix",""))</f>
        <v/>
      </c>
    </row>
    <row r="2039" spans="6:6">
      <c r="F2039" s="1" t="str" cm="1">
        <f t="array" ref="F2039">_xlfn.LET(_xlpm.rowNum,MATCH(E2039,'glossaryterms-export'!C:C,0),
IF(AND(NOT(ISBLANK(INDEX('glossaryterms-export'!H:H,_xlpm.rowNum))),ISBLANK(INDEX('glossaryterms-export'!I:I,_xlpm.rowNum))),"Ready to Fix",""))</f>
        <v/>
      </c>
    </row>
    <row r="2040" spans="6:6">
      <c r="F2040" s="1" t="str" cm="1">
        <f t="array" ref="F2040">_xlfn.LET(_xlpm.rowNum,MATCH(E2040,'glossaryterms-export'!C:C,0),
IF(AND(NOT(ISBLANK(INDEX('glossaryterms-export'!H:H,_xlpm.rowNum))),ISBLANK(INDEX('glossaryterms-export'!I:I,_xlpm.rowNum))),"Ready to Fix",""))</f>
        <v/>
      </c>
    </row>
    <row r="2041" spans="6:6">
      <c r="F2041" s="1" t="str" cm="1">
        <f t="array" ref="F2041">_xlfn.LET(_xlpm.rowNum,MATCH(E2041,'glossaryterms-export'!C:C,0),
IF(AND(NOT(ISBLANK(INDEX('glossaryterms-export'!H:H,_xlpm.rowNum))),ISBLANK(INDEX('glossaryterms-export'!I:I,_xlpm.rowNum))),"Ready to Fix",""))</f>
        <v/>
      </c>
    </row>
    <row r="2042" spans="6:6">
      <c r="F2042" s="1" t="str" cm="1">
        <f t="array" ref="F2042">_xlfn.LET(_xlpm.rowNum,MATCH(E2042,'glossaryterms-export'!C:C,0),
IF(AND(NOT(ISBLANK(INDEX('glossaryterms-export'!H:H,_xlpm.rowNum))),ISBLANK(INDEX('glossaryterms-export'!I:I,_xlpm.rowNum))),"Ready to Fix",""))</f>
        <v/>
      </c>
    </row>
    <row r="2043" spans="6:6">
      <c r="F2043" s="1" t="str" cm="1">
        <f t="array" ref="F2043">_xlfn.LET(_xlpm.rowNum,MATCH(E2043,'glossaryterms-export'!C:C,0),
IF(AND(NOT(ISBLANK(INDEX('glossaryterms-export'!H:H,_xlpm.rowNum))),ISBLANK(INDEX('glossaryterms-export'!I:I,_xlpm.rowNum))),"Ready to Fix",""))</f>
        <v/>
      </c>
    </row>
    <row r="2044" spans="6:6">
      <c r="F2044" s="1" t="str" cm="1">
        <f t="array" ref="F2044">_xlfn.LET(_xlpm.rowNum,MATCH(E2044,'glossaryterms-export'!C:C,0),
IF(AND(NOT(ISBLANK(INDEX('glossaryterms-export'!H:H,_xlpm.rowNum))),ISBLANK(INDEX('glossaryterms-export'!I:I,_xlpm.rowNum))),"Ready to Fix",""))</f>
        <v/>
      </c>
    </row>
    <row r="2045" spans="6:6">
      <c r="F2045" s="1" t="str" cm="1">
        <f t="array" ref="F2045">_xlfn.LET(_xlpm.rowNum,MATCH(E2045,'glossaryterms-export'!C:C,0),
IF(AND(NOT(ISBLANK(INDEX('glossaryterms-export'!H:H,_xlpm.rowNum))),ISBLANK(INDEX('glossaryterms-export'!I:I,_xlpm.rowNum))),"Ready to Fix",""))</f>
        <v/>
      </c>
    </row>
    <row r="2046" spans="6:6">
      <c r="F2046" s="1" t="str" cm="1">
        <f t="array" ref="F2046">_xlfn.LET(_xlpm.rowNum,MATCH(E2046,'glossaryterms-export'!C:C,0),
IF(AND(NOT(ISBLANK(INDEX('glossaryterms-export'!H:H,_xlpm.rowNum))),ISBLANK(INDEX('glossaryterms-export'!I:I,_xlpm.rowNum))),"Ready to Fix",""))</f>
        <v/>
      </c>
    </row>
    <row r="2047" spans="6:6">
      <c r="F2047" s="1" t="str" cm="1">
        <f t="array" ref="F2047">_xlfn.LET(_xlpm.rowNum,MATCH(E2047,'glossaryterms-export'!C:C,0),
IF(AND(NOT(ISBLANK(INDEX('glossaryterms-export'!H:H,_xlpm.rowNum))),ISBLANK(INDEX('glossaryterms-export'!I:I,_xlpm.rowNum))),"Ready to Fix",""))</f>
        <v/>
      </c>
    </row>
    <row r="2048" spans="6:6">
      <c r="F2048" s="1" t="str" cm="1">
        <f t="array" ref="F2048">_xlfn.LET(_xlpm.rowNum,MATCH(E2048,'glossaryterms-export'!C:C,0),
IF(AND(NOT(ISBLANK(INDEX('glossaryterms-export'!H:H,_xlpm.rowNum))),ISBLANK(INDEX('glossaryterms-export'!I:I,_xlpm.rowNum))),"Ready to Fix",""))</f>
        <v/>
      </c>
    </row>
    <row r="2049" spans="6:6">
      <c r="F2049" s="1" t="str" cm="1">
        <f t="array" ref="F2049">_xlfn.LET(_xlpm.rowNum,MATCH(E2049,'glossaryterms-export'!C:C,0),
IF(AND(NOT(ISBLANK(INDEX('glossaryterms-export'!H:H,_xlpm.rowNum))),ISBLANK(INDEX('glossaryterms-export'!I:I,_xlpm.rowNum))),"Ready to Fix",""))</f>
        <v/>
      </c>
    </row>
    <row r="2050" spans="6:6">
      <c r="F2050" s="1" t="str" cm="1">
        <f t="array" ref="F2050">_xlfn.LET(_xlpm.rowNum,MATCH(E2050,'glossaryterms-export'!C:C,0),
IF(AND(NOT(ISBLANK(INDEX('glossaryterms-export'!H:H,_xlpm.rowNum))),ISBLANK(INDEX('glossaryterms-export'!I:I,_xlpm.rowNum))),"Ready to Fix",""))</f>
        <v/>
      </c>
    </row>
    <row r="2051" spans="6:6">
      <c r="F2051" s="1" t="str" cm="1">
        <f t="array" ref="F2051">_xlfn.LET(_xlpm.rowNum,MATCH(E2051,'glossaryterms-export'!C:C,0),
IF(AND(NOT(ISBLANK(INDEX('glossaryterms-export'!H:H,_xlpm.rowNum))),ISBLANK(INDEX('glossaryterms-export'!I:I,_xlpm.rowNum))),"Ready to Fix",""))</f>
        <v/>
      </c>
    </row>
    <row r="2052" spans="6:6">
      <c r="F2052" s="1" t="str" cm="1">
        <f t="array" ref="F2052">_xlfn.LET(_xlpm.rowNum,MATCH(E2052,'glossaryterms-export'!C:C,0),
IF(AND(NOT(ISBLANK(INDEX('glossaryterms-export'!H:H,_xlpm.rowNum))),ISBLANK(INDEX('glossaryterms-export'!I:I,_xlpm.rowNum))),"Ready to Fix",""))</f>
        <v/>
      </c>
    </row>
    <row r="2053" spans="6:6">
      <c r="F2053" s="1" t="str" cm="1">
        <f t="array" ref="F2053">_xlfn.LET(_xlpm.rowNum,MATCH(E2053,'glossaryterms-export'!C:C,0),
IF(AND(NOT(ISBLANK(INDEX('glossaryterms-export'!H:H,_xlpm.rowNum))),ISBLANK(INDEX('glossaryterms-export'!I:I,_xlpm.rowNum))),"Ready to Fix",""))</f>
        <v/>
      </c>
    </row>
    <row r="2054" spans="6:6">
      <c r="F2054" s="1" t="str" cm="1">
        <f t="array" ref="F2054">_xlfn.LET(_xlpm.rowNum,MATCH(E2054,'glossaryterms-export'!C:C,0),
IF(AND(NOT(ISBLANK(INDEX('glossaryterms-export'!H:H,_xlpm.rowNum))),ISBLANK(INDEX('glossaryterms-export'!I:I,_xlpm.rowNum))),"Ready to Fix",""))</f>
        <v/>
      </c>
    </row>
    <row r="2055" spans="6:6">
      <c r="F2055" s="1" t="str" cm="1">
        <f t="array" ref="F2055">_xlfn.LET(_xlpm.rowNum,MATCH(E2055,'glossaryterms-export'!C:C,0),
IF(AND(NOT(ISBLANK(INDEX('glossaryterms-export'!H:H,_xlpm.rowNum))),ISBLANK(INDEX('glossaryterms-export'!I:I,_xlpm.rowNum))),"Ready to Fix",""))</f>
        <v/>
      </c>
    </row>
    <row r="2056" spans="6:6">
      <c r="F2056" s="1" t="str" cm="1">
        <f t="array" ref="F2056">_xlfn.LET(_xlpm.rowNum,MATCH(E2056,'glossaryterms-export'!C:C,0),
IF(AND(NOT(ISBLANK(INDEX('glossaryterms-export'!H:H,_xlpm.rowNum))),ISBLANK(INDEX('glossaryterms-export'!I:I,_xlpm.rowNum))),"Ready to Fix",""))</f>
        <v/>
      </c>
    </row>
    <row r="2057" spans="6:6">
      <c r="F2057" s="1" t="str" cm="1">
        <f t="array" ref="F2057">_xlfn.LET(_xlpm.rowNum,MATCH(E2057,'glossaryterms-export'!C:C,0),
IF(AND(NOT(ISBLANK(INDEX('glossaryterms-export'!H:H,_xlpm.rowNum))),ISBLANK(INDEX('glossaryterms-export'!I:I,_xlpm.rowNum))),"Ready to Fix",""))</f>
        <v/>
      </c>
    </row>
    <row r="2058" spans="6:6">
      <c r="F2058" s="1" t="str" cm="1">
        <f t="array" ref="F2058">_xlfn.LET(_xlpm.rowNum,MATCH(E2058,'glossaryterms-export'!C:C,0),
IF(AND(NOT(ISBLANK(INDEX('glossaryterms-export'!H:H,_xlpm.rowNum))),ISBLANK(INDEX('glossaryterms-export'!I:I,_xlpm.rowNum))),"Ready to Fix",""))</f>
        <v/>
      </c>
    </row>
    <row r="2059" spans="6:6">
      <c r="F2059" s="1" t="str" cm="1">
        <f t="array" ref="F2059">_xlfn.LET(_xlpm.rowNum,MATCH(E2059,'glossaryterms-export'!C:C,0),
IF(AND(NOT(ISBLANK(INDEX('glossaryterms-export'!H:H,_xlpm.rowNum))),ISBLANK(INDEX('glossaryterms-export'!I:I,_xlpm.rowNum))),"Ready to Fix",""))</f>
        <v/>
      </c>
    </row>
    <row r="2060" spans="6:6">
      <c r="F2060" s="1" t="str" cm="1">
        <f t="array" ref="F2060">_xlfn.LET(_xlpm.rowNum,MATCH(E2060,'glossaryterms-export'!C:C,0),
IF(AND(NOT(ISBLANK(INDEX('glossaryterms-export'!H:H,_xlpm.rowNum))),ISBLANK(INDEX('glossaryterms-export'!I:I,_xlpm.rowNum))),"Ready to Fix",""))</f>
        <v/>
      </c>
    </row>
    <row r="2061" spans="6:6">
      <c r="F2061" s="1" t="str" cm="1">
        <f t="array" ref="F2061">_xlfn.LET(_xlpm.rowNum,MATCH(E2061,'glossaryterms-export'!C:C,0),
IF(AND(NOT(ISBLANK(INDEX('glossaryterms-export'!H:H,_xlpm.rowNum))),ISBLANK(INDEX('glossaryterms-export'!I:I,_xlpm.rowNum))),"Ready to Fix",""))</f>
        <v/>
      </c>
    </row>
    <row r="2062" spans="6:6">
      <c r="F2062" s="1" t="str" cm="1">
        <f t="array" ref="F2062">_xlfn.LET(_xlpm.rowNum,MATCH(E2062,'glossaryterms-export'!C:C,0),
IF(AND(NOT(ISBLANK(INDEX('glossaryterms-export'!H:H,_xlpm.rowNum))),ISBLANK(INDEX('glossaryterms-export'!I:I,_xlpm.rowNum))),"Ready to Fix",""))</f>
        <v/>
      </c>
    </row>
    <row r="2063" spans="6:6">
      <c r="F2063" s="1" t="str" cm="1">
        <f t="array" ref="F2063">_xlfn.LET(_xlpm.rowNum,MATCH(E2063,'glossaryterms-export'!C:C,0),
IF(AND(NOT(ISBLANK(INDEX('glossaryterms-export'!H:H,_xlpm.rowNum))),ISBLANK(INDEX('glossaryterms-export'!I:I,_xlpm.rowNum))),"Ready to Fix",""))</f>
        <v/>
      </c>
    </row>
    <row r="2064" spans="6:6">
      <c r="F2064" s="1" t="str" cm="1">
        <f t="array" ref="F2064">_xlfn.LET(_xlpm.rowNum,MATCH(E2064,'glossaryterms-export'!C:C,0),
IF(AND(NOT(ISBLANK(INDEX('glossaryterms-export'!H:H,_xlpm.rowNum))),ISBLANK(INDEX('glossaryterms-export'!I:I,_xlpm.rowNum))),"Ready to Fix",""))</f>
        <v/>
      </c>
    </row>
    <row r="2065" spans="6:6">
      <c r="F2065" s="1" t="str" cm="1">
        <f t="array" ref="F2065">_xlfn.LET(_xlpm.rowNum,MATCH(E2065,'glossaryterms-export'!C:C,0),
IF(AND(NOT(ISBLANK(INDEX('glossaryterms-export'!H:H,_xlpm.rowNum))),ISBLANK(INDEX('glossaryterms-export'!I:I,_xlpm.rowNum))),"Ready to Fix",""))</f>
        <v/>
      </c>
    </row>
    <row r="2066" spans="6:6">
      <c r="F2066" s="1" t="str" cm="1">
        <f t="array" ref="F2066">_xlfn.LET(_xlpm.rowNum,MATCH(E2066,'glossaryterms-export'!C:C,0),
IF(AND(NOT(ISBLANK(INDEX('glossaryterms-export'!H:H,_xlpm.rowNum))),ISBLANK(INDEX('glossaryterms-export'!I:I,_xlpm.rowNum))),"Ready to Fix",""))</f>
        <v/>
      </c>
    </row>
    <row r="2067" spans="6:6">
      <c r="F2067" s="1" t="str" cm="1">
        <f t="array" ref="F2067">_xlfn.LET(_xlpm.rowNum,MATCH(E2067,'glossaryterms-export'!C:C,0),
IF(AND(NOT(ISBLANK(INDEX('glossaryterms-export'!H:H,_xlpm.rowNum))),ISBLANK(INDEX('glossaryterms-export'!I:I,_xlpm.rowNum))),"Ready to Fix",""))</f>
        <v/>
      </c>
    </row>
    <row r="2068" spans="6:6">
      <c r="F2068" s="1" t="str" cm="1">
        <f t="array" ref="F2068">_xlfn.LET(_xlpm.rowNum,MATCH(E2068,'glossaryterms-export'!C:C,0),
IF(AND(NOT(ISBLANK(INDEX('glossaryterms-export'!H:H,_xlpm.rowNum))),ISBLANK(INDEX('glossaryterms-export'!I:I,_xlpm.rowNum))),"Ready to Fix",""))</f>
        <v/>
      </c>
    </row>
    <row r="2069" spans="6:6">
      <c r="F2069" s="1" t="str" cm="1">
        <f t="array" ref="F2069">_xlfn.LET(_xlpm.rowNum,MATCH(E2069,'glossaryterms-export'!C:C,0),
IF(AND(NOT(ISBLANK(INDEX('glossaryterms-export'!H:H,_xlpm.rowNum))),ISBLANK(INDEX('glossaryterms-export'!I:I,_xlpm.rowNum))),"Ready to Fix",""))</f>
        <v/>
      </c>
    </row>
    <row r="2070" spans="6:6">
      <c r="F2070" s="1" t="str" cm="1">
        <f t="array" ref="F2070">_xlfn.LET(_xlpm.rowNum,MATCH(E2070,'glossaryterms-export'!C:C,0),
IF(AND(NOT(ISBLANK(INDEX('glossaryterms-export'!H:H,_xlpm.rowNum))),ISBLANK(INDEX('glossaryterms-export'!I:I,_xlpm.rowNum))),"Ready to Fix",""))</f>
        <v/>
      </c>
    </row>
    <row r="2071" spans="6:6">
      <c r="F2071" s="1" t="str" cm="1">
        <f t="array" ref="F2071">_xlfn.LET(_xlpm.rowNum,MATCH(E2071,'glossaryterms-export'!C:C,0),
IF(AND(NOT(ISBLANK(INDEX('glossaryterms-export'!H:H,_xlpm.rowNum))),ISBLANK(INDEX('glossaryterms-export'!I:I,_xlpm.rowNum))),"Ready to Fix",""))</f>
        <v/>
      </c>
    </row>
    <row r="2072" spans="6:6">
      <c r="F2072" s="1" t="str" cm="1">
        <f t="array" ref="F2072">_xlfn.LET(_xlpm.rowNum,MATCH(E2072,'glossaryterms-export'!C:C,0),
IF(AND(NOT(ISBLANK(INDEX('glossaryterms-export'!H:H,_xlpm.rowNum))),ISBLANK(INDEX('glossaryterms-export'!I:I,_xlpm.rowNum))),"Ready to Fix",""))</f>
        <v/>
      </c>
    </row>
    <row r="2073" spans="6:6">
      <c r="F2073" s="1" t="str" cm="1">
        <f t="array" ref="F2073">_xlfn.LET(_xlpm.rowNum,MATCH(E2073,'glossaryterms-export'!C:C,0),
IF(AND(NOT(ISBLANK(INDEX('glossaryterms-export'!H:H,_xlpm.rowNum))),ISBLANK(INDEX('glossaryterms-export'!I:I,_xlpm.rowNum))),"Ready to Fix",""))</f>
        <v/>
      </c>
    </row>
    <row r="2074" spans="6:6">
      <c r="F2074" s="1" t="str" cm="1">
        <f t="array" ref="F2074">_xlfn.LET(_xlpm.rowNum,MATCH(E2074,'glossaryterms-export'!C:C,0),
IF(AND(NOT(ISBLANK(INDEX('glossaryterms-export'!H:H,_xlpm.rowNum))),ISBLANK(INDEX('glossaryterms-export'!I:I,_xlpm.rowNum))),"Ready to Fix",""))</f>
        <v/>
      </c>
    </row>
    <row r="2075" spans="6:6">
      <c r="F2075" s="1" t="str" cm="1">
        <f t="array" ref="F2075">_xlfn.LET(_xlpm.rowNum,MATCH(E2075,'glossaryterms-export'!C:C,0),
IF(AND(NOT(ISBLANK(INDEX('glossaryterms-export'!H:H,_xlpm.rowNum))),ISBLANK(INDEX('glossaryterms-export'!I:I,_xlpm.rowNum))),"Ready to Fix",""))</f>
        <v/>
      </c>
    </row>
    <row r="2076" spans="6:6">
      <c r="F2076" s="1" t="str" cm="1">
        <f t="array" ref="F2076">_xlfn.LET(_xlpm.rowNum,MATCH(E2076,'glossaryterms-export'!C:C,0),
IF(AND(NOT(ISBLANK(INDEX('glossaryterms-export'!H:H,_xlpm.rowNum))),ISBLANK(INDEX('glossaryterms-export'!I:I,_xlpm.rowNum))),"Ready to Fix",""))</f>
        <v/>
      </c>
    </row>
    <row r="2077" spans="6:6">
      <c r="F2077" s="1" t="str" cm="1">
        <f t="array" ref="F2077">_xlfn.LET(_xlpm.rowNum,MATCH(E2077,'glossaryterms-export'!C:C,0),
IF(AND(NOT(ISBLANK(INDEX('glossaryterms-export'!H:H,_xlpm.rowNum))),ISBLANK(INDEX('glossaryterms-export'!I:I,_xlpm.rowNum))),"Ready to Fix",""))</f>
        <v/>
      </c>
    </row>
    <row r="2078" spans="6:6">
      <c r="F2078" s="1" t="str" cm="1">
        <f t="array" ref="F2078">_xlfn.LET(_xlpm.rowNum,MATCH(E2078,'glossaryterms-export'!C:C,0),
IF(AND(NOT(ISBLANK(INDEX('glossaryterms-export'!H:H,_xlpm.rowNum))),ISBLANK(INDEX('glossaryterms-export'!I:I,_xlpm.rowNum))),"Ready to Fix",""))</f>
        <v/>
      </c>
    </row>
    <row r="2079" spans="6:6">
      <c r="F2079" s="1" t="str" cm="1">
        <f t="array" ref="F2079">_xlfn.LET(_xlpm.rowNum,MATCH(E2079,'glossaryterms-export'!C:C,0),
IF(AND(NOT(ISBLANK(INDEX('glossaryterms-export'!H:H,_xlpm.rowNum))),ISBLANK(INDEX('glossaryterms-export'!I:I,_xlpm.rowNum))),"Ready to Fix",""))</f>
        <v/>
      </c>
    </row>
    <row r="2080" spans="6:6">
      <c r="F2080" s="1" t="str" cm="1">
        <f t="array" ref="F2080">_xlfn.LET(_xlpm.rowNum,MATCH(E2080,'glossaryterms-export'!C:C,0),
IF(AND(NOT(ISBLANK(INDEX('glossaryterms-export'!H:H,_xlpm.rowNum))),ISBLANK(INDEX('glossaryterms-export'!I:I,_xlpm.rowNum))),"Ready to Fix",""))</f>
        <v/>
      </c>
    </row>
    <row r="2081" spans="6:6">
      <c r="F2081" s="1" t="str" cm="1">
        <f t="array" ref="F2081">_xlfn.LET(_xlpm.rowNum,MATCH(E2081,'glossaryterms-export'!C:C,0),
IF(AND(NOT(ISBLANK(INDEX('glossaryterms-export'!H:H,_xlpm.rowNum))),ISBLANK(INDEX('glossaryterms-export'!I:I,_xlpm.rowNum))),"Ready to Fix",""))</f>
        <v/>
      </c>
    </row>
    <row r="2082" spans="6:6">
      <c r="F2082" s="1" t="str" cm="1">
        <f t="array" ref="F2082">_xlfn.LET(_xlpm.rowNum,MATCH(E2082,'glossaryterms-export'!C:C,0),
IF(AND(NOT(ISBLANK(INDEX('glossaryterms-export'!H:H,_xlpm.rowNum))),ISBLANK(INDEX('glossaryterms-export'!I:I,_xlpm.rowNum))),"Ready to Fix",""))</f>
        <v/>
      </c>
    </row>
    <row r="2083" spans="6:6">
      <c r="F2083" s="1" t="str" cm="1">
        <f t="array" ref="F2083">_xlfn.LET(_xlpm.rowNum,MATCH(E2083,'glossaryterms-export'!C:C,0),
IF(AND(NOT(ISBLANK(INDEX('glossaryterms-export'!H:H,_xlpm.rowNum))),ISBLANK(INDEX('glossaryterms-export'!I:I,_xlpm.rowNum))),"Ready to Fix",""))</f>
        <v/>
      </c>
    </row>
    <row r="2084" spans="6:6">
      <c r="F2084" s="1" t="str" cm="1">
        <f t="array" ref="F2084">_xlfn.LET(_xlpm.rowNum,MATCH(E2084,'glossaryterms-export'!C:C,0),
IF(AND(NOT(ISBLANK(INDEX('glossaryterms-export'!H:H,_xlpm.rowNum))),ISBLANK(INDEX('glossaryterms-export'!I:I,_xlpm.rowNum))),"Ready to Fix",""))</f>
        <v/>
      </c>
    </row>
    <row r="2085" spans="6:6">
      <c r="F2085" s="1" t="str" cm="1">
        <f t="array" ref="F2085">_xlfn.LET(_xlpm.rowNum,MATCH(E2085,'glossaryterms-export'!C:C,0),
IF(AND(NOT(ISBLANK(INDEX('glossaryterms-export'!H:H,_xlpm.rowNum))),ISBLANK(INDEX('glossaryterms-export'!I:I,_xlpm.rowNum))),"Ready to Fix",""))</f>
        <v/>
      </c>
    </row>
    <row r="2086" spans="6:6">
      <c r="F2086" s="1" t="str" cm="1">
        <f t="array" ref="F2086">_xlfn.LET(_xlpm.rowNum,MATCH(E2086,'glossaryterms-export'!C:C,0),
IF(AND(NOT(ISBLANK(INDEX('glossaryterms-export'!H:H,_xlpm.rowNum))),ISBLANK(INDEX('glossaryterms-export'!I:I,_xlpm.rowNum))),"Ready to Fix",""))</f>
        <v/>
      </c>
    </row>
    <row r="2087" spans="6:6">
      <c r="F2087" s="1" t="str" cm="1">
        <f t="array" ref="F2087">_xlfn.LET(_xlpm.rowNum,MATCH(E2087,'glossaryterms-export'!C:C,0),
IF(AND(NOT(ISBLANK(INDEX('glossaryterms-export'!H:H,_xlpm.rowNum))),ISBLANK(INDEX('glossaryterms-export'!I:I,_xlpm.rowNum))),"Ready to Fix",""))</f>
        <v/>
      </c>
    </row>
    <row r="2088" spans="6:6">
      <c r="F2088" s="1" t="str" cm="1">
        <f t="array" ref="F2088">_xlfn.LET(_xlpm.rowNum,MATCH(E2088,'glossaryterms-export'!C:C,0),
IF(AND(NOT(ISBLANK(INDEX('glossaryterms-export'!H:H,_xlpm.rowNum))),ISBLANK(INDEX('glossaryterms-export'!I:I,_xlpm.rowNum))),"Ready to Fix",""))</f>
        <v/>
      </c>
    </row>
    <row r="2089" spans="6:6">
      <c r="F2089" s="1" t="str" cm="1">
        <f t="array" ref="F2089">_xlfn.LET(_xlpm.rowNum,MATCH(E2089,'glossaryterms-export'!C:C,0),
IF(AND(NOT(ISBLANK(INDEX('glossaryterms-export'!H:H,_xlpm.rowNum))),ISBLANK(INDEX('glossaryterms-export'!I:I,_xlpm.rowNum))),"Ready to Fix",""))</f>
        <v/>
      </c>
    </row>
    <row r="2090" spans="6:6">
      <c r="F2090" s="1" t="str" cm="1">
        <f t="array" ref="F2090">_xlfn.LET(_xlpm.rowNum,MATCH(E2090,'glossaryterms-export'!C:C,0),
IF(AND(NOT(ISBLANK(INDEX('glossaryterms-export'!H:H,_xlpm.rowNum))),ISBLANK(INDEX('glossaryterms-export'!I:I,_xlpm.rowNum))),"Ready to Fix",""))</f>
        <v/>
      </c>
    </row>
    <row r="2091" spans="6:6">
      <c r="F2091" s="1" t="str" cm="1">
        <f t="array" ref="F2091">_xlfn.LET(_xlpm.rowNum,MATCH(E2091,'glossaryterms-export'!C:C,0),
IF(AND(NOT(ISBLANK(INDEX('glossaryterms-export'!H:H,_xlpm.rowNum))),ISBLANK(INDEX('glossaryterms-export'!I:I,_xlpm.rowNum))),"Ready to Fix",""))</f>
        <v/>
      </c>
    </row>
    <row r="2092" spans="6:6">
      <c r="F2092" s="1" t="str" cm="1">
        <f t="array" ref="F2092">_xlfn.LET(_xlpm.rowNum,MATCH(E2092,'glossaryterms-export'!C:C,0),
IF(AND(NOT(ISBLANK(INDEX('glossaryterms-export'!H:H,_xlpm.rowNum))),ISBLANK(INDEX('glossaryterms-export'!I:I,_xlpm.rowNum))),"Ready to Fix",""))</f>
        <v/>
      </c>
    </row>
    <row r="2093" spans="6:6">
      <c r="F2093" s="1" t="str" cm="1">
        <f t="array" ref="F2093">_xlfn.LET(_xlpm.rowNum,MATCH(E2093,'glossaryterms-export'!C:C,0),
IF(AND(NOT(ISBLANK(INDEX('glossaryterms-export'!H:H,_xlpm.rowNum))),ISBLANK(INDEX('glossaryterms-export'!I:I,_xlpm.rowNum))),"Ready to Fix",""))</f>
        <v/>
      </c>
    </row>
    <row r="2094" spans="6:6">
      <c r="F2094" s="1" t="str" cm="1">
        <f t="array" ref="F2094">_xlfn.LET(_xlpm.rowNum,MATCH(E2094,'glossaryterms-export'!C:C,0),
IF(AND(NOT(ISBLANK(INDEX('glossaryterms-export'!H:H,_xlpm.rowNum))),ISBLANK(INDEX('glossaryterms-export'!I:I,_xlpm.rowNum))),"Ready to Fix",""))</f>
        <v/>
      </c>
    </row>
    <row r="2095" spans="6:6">
      <c r="F2095" s="1" t="str" cm="1">
        <f t="array" ref="F2095">_xlfn.LET(_xlpm.rowNum,MATCH(E2095,'glossaryterms-export'!C:C,0),
IF(AND(NOT(ISBLANK(INDEX('glossaryterms-export'!H:H,_xlpm.rowNum))),ISBLANK(INDEX('glossaryterms-export'!I:I,_xlpm.rowNum))),"Ready to Fix",""))</f>
        <v/>
      </c>
    </row>
    <row r="2096" spans="6:6">
      <c r="F2096" s="1" t="str" cm="1">
        <f t="array" ref="F2096">_xlfn.LET(_xlpm.rowNum,MATCH(E2096,'glossaryterms-export'!C:C,0),
IF(AND(NOT(ISBLANK(INDEX('glossaryterms-export'!H:H,_xlpm.rowNum))),ISBLANK(INDEX('glossaryterms-export'!I:I,_xlpm.rowNum))),"Ready to Fix",""))</f>
        <v/>
      </c>
    </row>
    <row r="2097" spans="6:6">
      <c r="F2097" s="1" t="str" cm="1">
        <f t="array" ref="F2097">_xlfn.LET(_xlpm.rowNum,MATCH(E2097,'glossaryterms-export'!C:C,0),
IF(AND(NOT(ISBLANK(INDEX('glossaryterms-export'!H:H,_xlpm.rowNum))),ISBLANK(INDEX('glossaryterms-export'!I:I,_xlpm.rowNum))),"Ready to Fix",""))</f>
        <v/>
      </c>
    </row>
    <row r="2098" spans="6:6">
      <c r="F2098" s="1" t="str" cm="1">
        <f t="array" ref="F2098">_xlfn.LET(_xlpm.rowNum,MATCH(E2098,'glossaryterms-export'!C:C,0),
IF(AND(NOT(ISBLANK(INDEX('glossaryterms-export'!H:H,_xlpm.rowNum))),ISBLANK(INDEX('glossaryterms-export'!I:I,_xlpm.rowNum))),"Ready to Fix",""))</f>
        <v/>
      </c>
    </row>
    <row r="2099" spans="6:6">
      <c r="F2099" s="1" t="str" cm="1">
        <f t="array" ref="F2099">_xlfn.LET(_xlpm.rowNum,MATCH(E2099,'glossaryterms-export'!C:C,0),
IF(AND(NOT(ISBLANK(INDEX('glossaryterms-export'!H:H,_xlpm.rowNum))),ISBLANK(INDEX('glossaryterms-export'!I:I,_xlpm.rowNum))),"Ready to Fix",""))</f>
        <v/>
      </c>
    </row>
    <row r="2100" spans="6:6">
      <c r="F2100" s="1" t="str" cm="1">
        <f t="array" ref="F2100">_xlfn.LET(_xlpm.rowNum,MATCH(E2100,'glossaryterms-export'!C:C,0),
IF(AND(NOT(ISBLANK(INDEX('glossaryterms-export'!H:H,_xlpm.rowNum))),ISBLANK(INDEX('glossaryterms-export'!I:I,_xlpm.rowNum))),"Ready to Fix",""))</f>
        <v/>
      </c>
    </row>
    <row r="2101" spans="6:6">
      <c r="F2101" s="1" t="str" cm="1">
        <f t="array" ref="F2101">_xlfn.LET(_xlpm.rowNum,MATCH(E2101,'glossaryterms-export'!C:C,0),
IF(AND(NOT(ISBLANK(INDEX('glossaryterms-export'!H:H,_xlpm.rowNum))),ISBLANK(INDEX('glossaryterms-export'!I:I,_xlpm.rowNum))),"Ready to Fix",""))</f>
        <v/>
      </c>
    </row>
    <row r="2102" spans="6:6">
      <c r="F2102" s="1" t="str" cm="1">
        <f t="array" ref="F2102">_xlfn.LET(_xlpm.rowNum,MATCH(E2102,'glossaryterms-export'!C:C,0),
IF(AND(NOT(ISBLANK(INDEX('glossaryterms-export'!H:H,_xlpm.rowNum))),ISBLANK(INDEX('glossaryterms-export'!I:I,_xlpm.rowNum))),"Ready to Fix",""))</f>
        <v/>
      </c>
    </row>
    <row r="2103" spans="6:6">
      <c r="F2103" s="1" t="str" cm="1">
        <f t="array" ref="F2103">_xlfn.LET(_xlpm.rowNum,MATCH(E2103,'glossaryterms-export'!C:C,0),
IF(AND(NOT(ISBLANK(INDEX('glossaryterms-export'!H:H,_xlpm.rowNum))),ISBLANK(INDEX('glossaryterms-export'!I:I,_xlpm.rowNum))),"Ready to Fix",""))</f>
        <v/>
      </c>
    </row>
    <row r="2104" spans="6:6">
      <c r="F2104" s="1" t="str" cm="1">
        <f t="array" ref="F2104">_xlfn.LET(_xlpm.rowNum,MATCH(E2104,'glossaryterms-export'!C:C,0),
IF(AND(NOT(ISBLANK(INDEX('glossaryterms-export'!H:H,_xlpm.rowNum))),ISBLANK(INDEX('glossaryterms-export'!I:I,_xlpm.rowNum))),"Ready to Fix",""))</f>
        <v/>
      </c>
    </row>
    <row r="2105" spans="6:6">
      <c r="F2105" s="1" t="str" cm="1">
        <f t="array" ref="F2105">_xlfn.LET(_xlpm.rowNum,MATCH(E2105,'glossaryterms-export'!C:C,0),
IF(AND(NOT(ISBLANK(INDEX('glossaryterms-export'!H:H,_xlpm.rowNum))),ISBLANK(INDEX('glossaryterms-export'!I:I,_xlpm.rowNum))),"Ready to Fix",""))</f>
        <v/>
      </c>
    </row>
    <row r="2106" spans="6:6">
      <c r="F2106" s="1" t="str" cm="1">
        <f t="array" ref="F2106">_xlfn.LET(_xlpm.rowNum,MATCH(E2106,'glossaryterms-export'!C:C,0),
IF(AND(NOT(ISBLANK(INDEX('glossaryterms-export'!H:H,_xlpm.rowNum))),ISBLANK(INDEX('glossaryterms-export'!I:I,_xlpm.rowNum))),"Ready to Fix",""))</f>
        <v/>
      </c>
    </row>
    <row r="2107" spans="6:6">
      <c r="F2107" s="1" t="str" cm="1">
        <f t="array" ref="F2107">_xlfn.LET(_xlpm.rowNum,MATCH(E2107,'glossaryterms-export'!C:C,0),
IF(AND(NOT(ISBLANK(INDEX('glossaryterms-export'!H:H,_xlpm.rowNum))),ISBLANK(INDEX('glossaryterms-export'!I:I,_xlpm.rowNum))),"Ready to Fix",""))</f>
        <v/>
      </c>
    </row>
    <row r="2108" spans="6:6">
      <c r="F2108" s="1" t="str" cm="1">
        <f t="array" ref="F2108">_xlfn.LET(_xlpm.rowNum,MATCH(E2108,'glossaryterms-export'!C:C,0),
IF(AND(NOT(ISBLANK(INDEX('glossaryterms-export'!H:H,_xlpm.rowNum))),ISBLANK(INDEX('glossaryterms-export'!I:I,_xlpm.rowNum))),"Ready to Fix",""))</f>
        <v/>
      </c>
    </row>
    <row r="2109" spans="6:6">
      <c r="F2109" s="1" t="str" cm="1">
        <f t="array" ref="F2109">_xlfn.LET(_xlpm.rowNum,MATCH(E2109,'glossaryterms-export'!C:C,0),
IF(AND(NOT(ISBLANK(INDEX('glossaryterms-export'!H:H,_xlpm.rowNum))),ISBLANK(INDEX('glossaryterms-export'!I:I,_xlpm.rowNum))),"Ready to Fix",""))</f>
        <v/>
      </c>
    </row>
    <row r="2110" spans="6:6">
      <c r="F2110" s="1" t="str" cm="1">
        <f t="array" ref="F2110">_xlfn.LET(_xlpm.rowNum,MATCH(E2110,'glossaryterms-export'!C:C,0),
IF(AND(NOT(ISBLANK(INDEX('glossaryterms-export'!H:H,_xlpm.rowNum))),ISBLANK(INDEX('glossaryterms-export'!I:I,_xlpm.rowNum))),"Ready to Fix",""))</f>
        <v/>
      </c>
    </row>
    <row r="2111" spans="6:6">
      <c r="F2111" s="1" t="str" cm="1">
        <f t="array" ref="F2111">_xlfn.LET(_xlpm.rowNum,MATCH(E2111,'glossaryterms-export'!C:C,0),
IF(AND(NOT(ISBLANK(INDEX('glossaryterms-export'!H:H,_xlpm.rowNum))),ISBLANK(INDEX('glossaryterms-export'!I:I,_xlpm.rowNum))),"Ready to Fix",""))</f>
        <v/>
      </c>
    </row>
    <row r="2112" spans="6:6">
      <c r="F2112" s="1" t="str" cm="1">
        <f t="array" ref="F2112">_xlfn.LET(_xlpm.rowNum,MATCH(E2112,'glossaryterms-export'!C:C,0),
IF(AND(NOT(ISBLANK(INDEX('glossaryterms-export'!H:H,_xlpm.rowNum))),ISBLANK(INDEX('glossaryterms-export'!I:I,_xlpm.rowNum))),"Ready to Fix",""))</f>
        <v/>
      </c>
    </row>
    <row r="2113" spans="6:6">
      <c r="F2113" s="1" t="str" cm="1">
        <f t="array" ref="F2113">_xlfn.LET(_xlpm.rowNum,MATCH(E2113,'glossaryterms-export'!C:C,0),
IF(AND(NOT(ISBLANK(INDEX('glossaryterms-export'!H:H,_xlpm.rowNum))),ISBLANK(INDEX('glossaryterms-export'!I:I,_xlpm.rowNum))),"Ready to Fix",""))</f>
        <v/>
      </c>
    </row>
    <row r="2114" spans="6:6">
      <c r="F2114" s="1" t="str" cm="1">
        <f t="array" ref="F2114">_xlfn.LET(_xlpm.rowNum,MATCH(E2114,'glossaryterms-export'!C:C,0),
IF(AND(NOT(ISBLANK(INDEX('glossaryterms-export'!H:H,_xlpm.rowNum))),ISBLANK(INDEX('glossaryterms-export'!I:I,_xlpm.rowNum))),"Ready to Fix",""))</f>
        <v/>
      </c>
    </row>
    <row r="2115" spans="6:6">
      <c r="F2115" s="1" t="str" cm="1">
        <f t="array" ref="F2115">_xlfn.LET(_xlpm.rowNum,MATCH(E2115,'glossaryterms-export'!C:C,0),
IF(AND(NOT(ISBLANK(INDEX('glossaryterms-export'!H:H,_xlpm.rowNum))),ISBLANK(INDEX('glossaryterms-export'!I:I,_xlpm.rowNum))),"Ready to Fix",""))</f>
        <v/>
      </c>
    </row>
    <row r="2116" spans="6:6">
      <c r="F2116" s="1" t="str" cm="1">
        <f t="array" ref="F2116">_xlfn.LET(_xlpm.rowNum,MATCH(E2116,'glossaryterms-export'!C:C,0),
IF(AND(NOT(ISBLANK(INDEX('glossaryterms-export'!H:H,_xlpm.rowNum))),ISBLANK(INDEX('glossaryterms-export'!I:I,_xlpm.rowNum))),"Ready to Fix",""))</f>
        <v/>
      </c>
    </row>
    <row r="2117" spans="6:6">
      <c r="F2117" s="1" t="str" cm="1">
        <f t="array" ref="F2117">_xlfn.LET(_xlpm.rowNum,MATCH(E2117,'glossaryterms-export'!C:C,0),
IF(AND(NOT(ISBLANK(INDEX('glossaryterms-export'!H:H,_xlpm.rowNum))),ISBLANK(INDEX('glossaryterms-export'!I:I,_xlpm.rowNum))),"Ready to Fix",""))</f>
        <v/>
      </c>
    </row>
    <row r="2118" spans="6:6">
      <c r="F2118" s="1" t="str" cm="1">
        <f t="array" ref="F2118">_xlfn.LET(_xlpm.rowNum,MATCH(E2118,'glossaryterms-export'!C:C,0),
IF(AND(NOT(ISBLANK(INDEX('glossaryterms-export'!H:H,_xlpm.rowNum))),ISBLANK(INDEX('glossaryterms-export'!I:I,_xlpm.rowNum))),"Ready to Fix",""))</f>
        <v/>
      </c>
    </row>
    <row r="2119" spans="6:6">
      <c r="F2119" s="1" t="str" cm="1">
        <f t="array" ref="F2119">_xlfn.LET(_xlpm.rowNum,MATCH(E2119,'glossaryterms-export'!C:C,0),
IF(AND(NOT(ISBLANK(INDEX('glossaryterms-export'!H:H,_xlpm.rowNum))),ISBLANK(INDEX('glossaryterms-export'!I:I,_xlpm.rowNum))),"Ready to Fix",""))</f>
        <v/>
      </c>
    </row>
    <row r="2120" spans="6:6">
      <c r="F2120" s="1" t="str" cm="1">
        <f t="array" ref="F2120">_xlfn.LET(_xlpm.rowNum,MATCH(E2120,'glossaryterms-export'!C:C,0),
IF(AND(NOT(ISBLANK(INDEX('glossaryterms-export'!H:H,_xlpm.rowNum))),ISBLANK(INDEX('glossaryterms-export'!I:I,_xlpm.rowNum))),"Ready to Fix",""))</f>
        <v/>
      </c>
    </row>
    <row r="2121" spans="6:6">
      <c r="F2121" s="1" t="str" cm="1">
        <f t="array" ref="F2121">_xlfn.LET(_xlpm.rowNum,MATCH(E2121,'glossaryterms-export'!C:C,0),
IF(AND(NOT(ISBLANK(INDEX('glossaryterms-export'!H:H,_xlpm.rowNum))),ISBLANK(INDEX('glossaryterms-export'!I:I,_xlpm.rowNum))),"Ready to Fix",""))</f>
        <v/>
      </c>
    </row>
    <row r="2122" spans="6:6">
      <c r="F2122" s="1" t="str" cm="1">
        <f t="array" ref="F2122">_xlfn.LET(_xlpm.rowNum,MATCH(E2122,'glossaryterms-export'!C:C,0),
IF(AND(NOT(ISBLANK(INDEX('glossaryterms-export'!H:H,_xlpm.rowNum))),ISBLANK(INDEX('glossaryterms-export'!I:I,_xlpm.rowNum))),"Ready to Fix",""))</f>
        <v/>
      </c>
    </row>
    <row r="2123" spans="6:6">
      <c r="F2123" s="1" t="str" cm="1">
        <f t="array" ref="F2123">_xlfn.LET(_xlpm.rowNum,MATCH(E2123,'glossaryterms-export'!C:C,0),
IF(AND(NOT(ISBLANK(INDEX('glossaryterms-export'!H:H,_xlpm.rowNum))),ISBLANK(INDEX('glossaryterms-export'!I:I,_xlpm.rowNum))),"Ready to Fix",""))</f>
        <v/>
      </c>
    </row>
    <row r="2124" spans="6:6">
      <c r="F2124" s="1" t="str" cm="1">
        <f t="array" ref="F2124">_xlfn.LET(_xlpm.rowNum,MATCH(E2124,'glossaryterms-export'!C:C,0),
IF(AND(NOT(ISBLANK(INDEX('glossaryterms-export'!H:H,_xlpm.rowNum))),ISBLANK(INDEX('glossaryterms-export'!I:I,_xlpm.rowNum))),"Ready to Fix",""))</f>
        <v/>
      </c>
    </row>
    <row r="2125" spans="6:6">
      <c r="F2125" s="1" t="str" cm="1">
        <f t="array" ref="F2125">_xlfn.LET(_xlpm.rowNum,MATCH(E2125,'glossaryterms-export'!C:C,0),
IF(AND(NOT(ISBLANK(INDEX('glossaryterms-export'!H:H,_xlpm.rowNum))),ISBLANK(INDEX('glossaryterms-export'!I:I,_xlpm.rowNum))),"Ready to Fix",""))</f>
        <v/>
      </c>
    </row>
    <row r="2126" spans="6:6">
      <c r="F2126" s="1" t="str" cm="1">
        <f t="array" ref="F2126">_xlfn.LET(_xlpm.rowNum,MATCH(E2126,'glossaryterms-export'!C:C,0),
IF(AND(NOT(ISBLANK(INDEX('glossaryterms-export'!H:H,_xlpm.rowNum))),ISBLANK(INDEX('glossaryterms-export'!I:I,_xlpm.rowNum))),"Ready to Fix",""))</f>
        <v/>
      </c>
    </row>
    <row r="2127" spans="6:6">
      <c r="F2127" s="1" t="str" cm="1">
        <f t="array" ref="F2127">_xlfn.LET(_xlpm.rowNum,MATCH(E2127,'glossaryterms-export'!C:C,0),
IF(AND(NOT(ISBLANK(INDEX('glossaryterms-export'!H:H,_xlpm.rowNum))),ISBLANK(INDEX('glossaryterms-export'!I:I,_xlpm.rowNum))),"Ready to Fix",""))</f>
        <v/>
      </c>
    </row>
    <row r="2128" spans="6:6">
      <c r="F2128" s="1" t="str" cm="1">
        <f t="array" ref="F2128">_xlfn.LET(_xlpm.rowNum,MATCH(E2128,'glossaryterms-export'!C:C,0),
IF(AND(NOT(ISBLANK(INDEX('glossaryterms-export'!H:H,_xlpm.rowNum))),ISBLANK(INDEX('glossaryterms-export'!I:I,_xlpm.rowNum))),"Ready to Fix",""))</f>
        <v/>
      </c>
    </row>
    <row r="2129" spans="6:6">
      <c r="F2129" s="1" t="str" cm="1">
        <f t="array" ref="F2129">_xlfn.LET(_xlpm.rowNum,MATCH(E2129,'glossaryterms-export'!C:C,0),
IF(AND(NOT(ISBLANK(INDEX('glossaryterms-export'!H:H,_xlpm.rowNum))),ISBLANK(INDEX('glossaryterms-export'!I:I,_xlpm.rowNum))),"Ready to Fix",""))</f>
        <v/>
      </c>
    </row>
    <row r="2130" spans="6:6">
      <c r="F2130" s="1" t="str" cm="1">
        <f t="array" ref="F2130">_xlfn.LET(_xlpm.rowNum,MATCH(E2130,'glossaryterms-export'!C:C,0),
IF(AND(NOT(ISBLANK(INDEX('glossaryterms-export'!H:H,_xlpm.rowNum))),ISBLANK(INDEX('glossaryterms-export'!I:I,_xlpm.rowNum))),"Ready to Fix",""))</f>
        <v/>
      </c>
    </row>
    <row r="2131" spans="6:6">
      <c r="F2131" s="1" t="str" cm="1">
        <f t="array" ref="F2131">_xlfn.LET(_xlpm.rowNum,MATCH(E2131,'glossaryterms-export'!C:C,0),
IF(AND(NOT(ISBLANK(INDEX('glossaryterms-export'!H:H,_xlpm.rowNum))),ISBLANK(INDEX('glossaryterms-export'!I:I,_xlpm.rowNum))),"Ready to Fix",""))</f>
        <v/>
      </c>
    </row>
    <row r="2132" spans="6:6">
      <c r="F2132" s="1" t="str" cm="1">
        <f t="array" ref="F2132">_xlfn.LET(_xlpm.rowNum,MATCH(E2132,'glossaryterms-export'!C:C,0),
IF(AND(NOT(ISBLANK(INDEX('glossaryterms-export'!H:H,_xlpm.rowNum))),ISBLANK(INDEX('glossaryterms-export'!I:I,_xlpm.rowNum))),"Ready to Fix",""))</f>
        <v/>
      </c>
    </row>
    <row r="2133" spans="6:6">
      <c r="F2133" s="1" t="str" cm="1">
        <f t="array" ref="F2133">_xlfn.LET(_xlpm.rowNum,MATCH(E2133,'glossaryterms-export'!C:C,0),
IF(AND(NOT(ISBLANK(INDEX('glossaryterms-export'!H:H,_xlpm.rowNum))),ISBLANK(INDEX('glossaryterms-export'!I:I,_xlpm.rowNum))),"Ready to Fix",""))</f>
        <v/>
      </c>
    </row>
    <row r="2134" spans="6:6">
      <c r="F2134" s="1" t="str" cm="1">
        <f t="array" ref="F2134">_xlfn.LET(_xlpm.rowNum,MATCH(E2134,'glossaryterms-export'!C:C,0),
IF(AND(NOT(ISBLANK(INDEX('glossaryterms-export'!H:H,_xlpm.rowNum))),ISBLANK(INDEX('glossaryterms-export'!I:I,_xlpm.rowNum))),"Ready to Fix",""))</f>
        <v/>
      </c>
    </row>
    <row r="2135" spans="6:6">
      <c r="F2135" s="1" t="str" cm="1">
        <f t="array" ref="F2135">_xlfn.LET(_xlpm.rowNum,MATCH(E2135,'glossaryterms-export'!C:C,0),
IF(AND(NOT(ISBLANK(INDEX('glossaryterms-export'!H:H,_xlpm.rowNum))),ISBLANK(INDEX('glossaryterms-export'!I:I,_xlpm.rowNum))),"Ready to Fix",""))</f>
        <v/>
      </c>
    </row>
    <row r="2136" spans="6:6">
      <c r="F2136" s="1" t="str" cm="1">
        <f t="array" ref="F2136">_xlfn.LET(_xlpm.rowNum,MATCH(E2136,'glossaryterms-export'!C:C,0),
IF(AND(NOT(ISBLANK(INDEX('glossaryterms-export'!H:H,_xlpm.rowNum))),ISBLANK(INDEX('glossaryterms-export'!I:I,_xlpm.rowNum))),"Ready to Fix",""))</f>
        <v/>
      </c>
    </row>
    <row r="2137" spans="6:6">
      <c r="F2137" s="1" t="str" cm="1">
        <f t="array" ref="F2137">_xlfn.LET(_xlpm.rowNum,MATCH(E2137,'glossaryterms-export'!C:C,0),
IF(AND(NOT(ISBLANK(INDEX('glossaryterms-export'!H:H,_xlpm.rowNum))),ISBLANK(INDEX('glossaryterms-export'!I:I,_xlpm.rowNum))),"Ready to Fix",""))</f>
        <v/>
      </c>
    </row>
    <row r="2138" spans="6:6">
      <c r="F2138" s="1" t="str" cm="1">
        <f t="array" ref="F2138">_xlfn.LET(_xlpm.rowNum,MATCH(E2138,'glossaryterms-export'!C:C,0),
IF(AND(NOT(ISBLANK(INDEX('glossaryterms-export'!H:H,_xlpm.rowNum))),ISBLANK(INDEX('glossaryterms-export'!I:I,_xlpm.rowNum))),"Ready to Fix",""))</f>
        <v/>
      </c>
    </row>
    <row r="2139" spans="6:6">
      <c r="F2139" s="1" t="str" cm="1">
        <f t="array" ref="F2139">_xlfn.LET(_xlpm.rowNum,MATCH(E2139,'glossaryterms-export'!C:C,0),
IF(AND(NOT(ISBLANK(INDEX('glossaryterms-export'!H:H,_xlpm.rowNum))),ISBLANK(INDEX('glossaryterms-export'!I:I,_xlpm.rowNum))),"Ready to Fix",""))</f>
        <v/>
      </c>
    </row>
    <row r="2140" spans="6:6">
      <c r="F2140" s="1" t="str" cm="1">
        <f t="array" ref="F2140">_xlfn.LET(_xlpm.rowNum,MATCH(E2140,'glossaryterms-export'!C:C,0),
IF(AND(NOT(ISBLANK(INDEX('glossaryterms-export'!H:H,_xlpm.rowNum))),ISBLANK(INDEX('glossaryterms-export'!I:I,_xlpm.rowNum))),"Ready to Fix",""))</f>
        <v/>
      </c>
    </row>
    <row r="2141" spans="6:6">
      <c r="F2141" s="1" t="str" cm="1">
        <f t="array" ref="F2141">_xlfn.LET(_xlpm.rowNum,MATCH(E2141,'glossaryterms-export'!C:C,0),
IF(AND(NOT(ISBLANK(INDEX('glossaryterms-export'!H:H,_xlpm.rowNum))),ISBLANK(INDEX('glossaryterms-export'!I:I,_xlpm.rowNum))),"Ready to Fix",""))</f>
        <v/>
      </c>
    </row>
    <row r="2142" spans="6:6">
      <c r="F2142" s="1" t="str" cm="1">
        <f t="array" ref="F2142">_xlfn.LET(_xlpm.rowNum,MATCH(E2142,'glossaryterms-export'!C:C,0),
IF(AND(NOT(ISBLANK(INDEX('glossaryterms-export'!H:H,_xlpm.rowNum))),ISBLANK(INDEX('glossaryterms-export'!I:I,_xlpm.rowNum))),"Ready to Fix",""))</f>
        <v/>
      </c>
    </row>
    <row r="2143" spans="6:6">
      <c r="F2143" s="1" t="str" cm="1">
        <f t="array" ref="F2143">_xlfn.LET(_xlpm.rowNum,MATCH(E2143,'glossaryterms-export'!C:C,0),
IF(AND(NOT(ISBLANK(INDEX('glossaryterms-export'!H:H,_xlpm.rowNum))),ISBLANK(INDEX('glossaryterms-export'!I:I,_xlpm.rowNum))),"Ready to Fix",""))</f>
        <v/>
      </c>
    </row>
    <row r="2144" spans="6:6">
      <c r="F2144" s="1" t="str" cm="1">
        <f t="array" ref="F2144">_xlfn.LET(_xlpm.rowNum,MATCH(E2144,'glossaryterms-export'!C:C,0),
IF(AND(NOT(ISBLANK(INDEX('glossaryterms-export'!H:H,_xlpm.rowNum))),ISBLANK(INDEX('glossaryterms-export'!I:I,_xlpm.rowNum))),"Ready to Fix",""))</f>
        <v/>
      </c>
    </row>
    <row r="2145" spans="6:6">
      <c r="F2145" s="1" t="str" cm="1">
        <f t="array" ref="F2145">_xlfn.LET(_xlpm.rowNum,MATCH(E2145,'glossaryterms-export'!C:C,0),
IF(AND(NOT(ISBLANK(INDEX('glossaryterms-export'!H:H,_xlpm.rowNum))),ISBLANK(INDEX('glossaryterms-export'!I:I,_xlpm.rowNum))),"Ready to Fix",""))</f>
        <v/>
      </c>
    </row>
    <row r="2146" spans="6:6">
      <c r="F2146" s="1" t="str" cm="1">
        <f t="array" ref="F2146">_xlfn.LET(_xlpm.rowNum,MATCH(E2146,'glossaryterms-export'!C:C,0),
IF(AND(NOT(ISBLANK(INDEX('glossaryterms-export'!H:H,_xlpm.rowNum))),ISBLANK(INDEX('glossaryterms-export'!I:I,_xlpm.rowNum))),"Ready to Fix",""))</f>
        <v/>
      </c>
    </row>
    <row r="2147" spans="6:6">
      <c r="F2147" s="1" t="str" cm="1">
        <f t="array" ref="F2147">_xlfn.LET(_xlpm.rowNum,MATCH(E2147,'glossaryterms-export'!C:C,0),
IF(AND(NOT(ISBLANK(INDEX('glossaryterms-export'!H:H,_xlpm.rowNum))),ISBLANK(INDEX('glossaryterms-export'!I:I,_xlpm.rowNum))),"Ready to Fix",""))</f>
        <v/>
      </c>
    </row>
    <row r="2148" spans="6:6">
      <c r="F2148" s="1" t="str" cm="1">
        <f t="array" ref="F2148">_xlfn.LET(_xlpm.rowNum,MATCH(E2148,'glossaryterms-export'!C:C,0),
IF(AND(NOT(ISBLANK(INDEX('glossaryterms-export'!H:H,_xlpm.rowNum))),ISBLANK(INDEX('glossaryterms-export'!I:I,_xlpm.rowNum))),"Ready to Fix",""))</f>
        <v/>
      </c>
    </row>
    <row r="2149" spans="6:6">
      <c r="F2149" s="1" t="str" cm="1">
        <f t="array" ref="F2149">_xlfn.LET(_xlpm.rowNum,MATCH(E2149,'glossaryterms-export'!C:C,0),
IF(AND(NOT(ISBLANK(INDEX('glossaryterms-export'!H:H,_xlpm.rowNum))),ISBLANK(INDEX('glossaryterms-export'!I:I,_xlpm.rowNum))),"Ready to Fix",""))</f>
        <v/>
      </c>
    </row>
    <row r="2150" spans="6:6">
      <c r="F2150" s="1" t="str" cm="1">
        <f t="array" ref="F2150">_xlfn.LET(_xlpm.rowNum,MATCH(E2150,'glossaryterms-export'!C:C,0),
IF(AND(NOT(ISBLANK(INDEX('glossaryterms-export'!H:H,_xlpm.rowNum))),ISBLANK(INDEX('glossaryterms-export'!I:I,_xlpm.rowNum))),"Ready to Fix",""))</f>
        <v/>
      </c>
    </row>
    <row r="2151" spans="6:6">
      <c r="F2151" s="1" t="str" cm="1">
        <f t="array" ref="F2151">_xlfn.LET(_xlpm.rowNum,MATCH(E2151,'glossaryterms-export'!C:C,0),
IF(AND(NOT(ISBLANK(INDEX('glossaryterms-export'!H:H,_xlpm.rowNum))),ISBLANK(INDEX('glossaryterms-export'!I:I,_xlpm.rowNum))),"Ready to Fix",""))</f>
        <v/>
      </c>
    </row>
    <row r="2152" spans="6:6">
      <c r="F2152" s="1" t="str" cm="1">
        <f t="array" ref="F2152">_xlfn.LET(_xlpm.rowNum,MATCH(E2152,'glossaryterms-export'!C:C,0),
IF(AND(NOT(ISBLANK(INDEX('glossaryterms-export'!H:H,_xlpm.rowNum))),ISBLANK(INDEX('glossaryterms-export'!I:I,_xlpm.rowNum))),"Ready to Fix",""))</f>
        <v/>
      </c>
    </row>
    <row r="2153" spans="6:6">
      <c r="F2153" s="1" t="str" cm="1">
        <f t="array" ref="F2153">_xlfn.LET(_xlpm.rowNum,MATCH(E2153,'glossaryterms-export'!C:C,0),
IF(AND(NOT(ISBLANK(INDEX('glossaryterms-export'!H:H,_xlpm.rowNum))),ISBLANK(INDEX('glossaryterms-export'!I:I,_xlpm.rowNum))),"Ready to Fix",""))</f>
        <v/>
      </c>
    </row>
    <row r="2154" spans="6:6">
      <c r="F2154" s="1" t="str" cm="1">
        <f t="array" ref="F2154">_xlfn.LET(_xlpm.rowNum,MATCH(E2154,'glossaryterms-export'!C:C,0),
IF(AND(NOT(ISBLANK(INDEX('glossaryterms-export'!H:H,_xlpm.rowNum))),ISBLANK(INDEX('glossaryterms-export'!I:I,_xlpm.rowNum))),"Ready to Fix",""))</f>
        <v/>
      </c>
    </row>
    <row r="2155" spans="6:6">
      <c r="F2155" s="1" t="str" cm="1">
        <f t="array" ref="F2155">_xlfn.LET(_xlpm.rowNum,MATCH(E2155,'glossaryterms-export'!C:C,0),
IF(AND(NOT(ISBLANK(INDEX('glossaryterms-export'!H:H,_xlpm.rowNum))),ISBLANK(INDEX('glossaryterms-export'!I:I,_xlpm.rowNum))),"Ready to Fix",""))</f>
        <v/>
      </c>
    </row>
    <row r="2156" spans="6:6">
      <c r="F2156" s="1" t="str" cm="1">
        <f t="array" ref="F2156">_xlfn.LET(_xlpm.rowNum,MATCH(E2156,'glossaryterms-export'!C:C,0),
IF(AND(NOT(ISBLANK(INDEX('glossaryterms-export'!H:H,_xlpm.rowNum))),ISBLANK(INDEX('glossaryterms-export'!I:I,_xlpm.rowNum))),"Ready to Fix",""))</f>
        <v/>
      </c>
    </row>
    <row r="2157" spans="6:6">
      <c r="F2157" s="1" t="str" cm="1">
        <f t="array" ref="F2157">_xlfn.LET(_xlpm.rowNum,MATCH(E2157,'glossaryterms-export'!C:C,0),
IF(AND(NOT(ISBLANK(INDEX('glossaryterms-export'!H:H,_xlpm.rowNum))),ISBLANK(INDEX('glossaryterms-export'!I:I,_xlpm.rowNum))),"Ready to Fix",""))</f>
        <v/>
      </c>
    </row>
    <row r="2158" spans="6:6">
      <c r="F2158" s="1" t="str" cm="1">
        <f t="array" ref="F2158">_xlfn.LET(_xlpm.rowNum,MATCH(E2158,'glossaryterms-export'!C:C,0),
IF(AND(NOT(ISBLANK(INDEX('glossaryterms-export'!H:H,_xlpm.rowNum))),ISBLANK(INDEX('glossaryterms-export'!I:I,_xlpm.rowNum))),"Ready to Fix",""))</f>
        <v/>
      </c>
    </row>
    <row r="2159" spans="6:6">
      <c r="F2159" s="1" t="str" cm="1">
        <f t="array" ref="F2159">_xlfn.LET(_xlpm.rowNum,MATCH(E2159,'glossaryterms-export'!C:C,0),
IF(AND(NOT(ISBLANK(INDEX('glossaryterms-export'!H:H,_xlpm.rowNum))),ISBLANK(INDEX('glossaryterms-export'!I:I,_xlpm.rowNum))),"Ready to Fix",""))</f>
        <v/>
      </c>
    </row>
    <row r="2160" spans="6:6">
      <c r="F2160" s="1" t="str" cm="1">
        <f t="array" ref="F2160">_xlfn.LET(_xlpm.rowNum,MATCH(E2160,'glossaryterms-export'!C:C,0),
IF(AND(NOT(ISBLANK(INDEX('glossaryterms-export'!H:H,_xlpm.rowNum))),ISBLANK(INDEX('glossaryterms-export'!I:I,_xlpm.rowNum))),"Ready to Fix",""))</f>
        <v/>
      </c>
    </row>
    <row r="2161" spans="6:6">
      <c r="F2161" s="1" t="str" cm="1">
        <f t="array" ref="F2161">_xlfn.LET(_xlpm.rowNum,MATCH(E2161,'glossaryterms-export'!C:C,0),
IF(AND(NOT(ISBLANK(INDEX('glossaryterms-export'!H:H,_xlpm.rowNum))),ISBLANK(INDEX('glossaryterms-export'!I:I,_xlpm.rowNum))),"Ready to Fix",""))</f>
        <v/>
      </c>
    </row>
    <row r="2162" spans="6:6">
      <c r="F2162" s="1" t="str" cm="1">
        <f t="array" ref="F2162">_xlfn.LET(_xlpm.rowNum,MATCH(E2162,'glossaryterms-export'!C:C,0),
IF(AND(NOT(ISBLANK(INDEX('glossaryterms-export'!H:H,_xlpm.rowNum))),ISBLANK(INDEX('glossaryterms-export'!I:I,_xlpm.rowNum))),"Ready to Fix",""))</f>
        <v/>
      </c>
    </row>
    <row r="2163" spans="6:6">
      <c r="F2163" s="1" t="str" cm="1">
        <f t="array" ref="F2163">_xlfn.LET(_xlpm.rowNum,MATCH(E2163,'glossaryterms-export'!C:C,0),
IF(AND(NOT(ISBLANK(INDEX('glossaryterms-export'!H:H,_xlpm.rowNum))),ISBLANK(INDEX('glossaryterms-export'!I:I,_xlpm.rowNum))),"Ready to Fix",""))</f>
        <v/>
      </c>
    </row>
    <row r="2164" spans="6:6">
      <c r="F2164" s="1" t="str" cm="1">
        <f t="array" ref="F2164">_xlfn.LET(_xlpm.rowNum,MATCH(E2164,'glossaryterms-export'!C:C,0),
IF(AND(NOT(ISBLANK(INDEX('glossaryterms-export'!H:H,_xlpm.rowNum))),ISBLANK(INDEX('glossaryterms-export'!I:I,_xlpm.rowNum))),"Ready to Fix",""))</f>
        <v/>
      </c>
    </row>
    <row r="2165" spans="6:6">
      <c r="F2165" s="1" t="str" cm="1">
        <f t="array" ref="F2165">_xlfn.LET(_xlpm.rowNum,MATCH(E2165,'glossaryterms-export'!C:C,0),
IF(AND(NOT(ISBLANK(INDEX('glossaryterms-export'!H:H,_xlpm.rowNum))),ISBLANK(INDEX('glossaryterms-export'!I:I,_xlpm.rowNum))),"Ready to Fix",""))</f>
        <v/>
      </c>
    </row>
    <row r="2166" spans="6:6">
      <c r="F2166" s="1" t="str" cm="1">
        <f t="array" ref="F2166">_xlfn.LET(_xlpm.rowNum,MATCH(E2166,'glossaryterms-export'!C:C,0),
IF(AND(NOT(ISBLANK(INDEX('glossaryterms-export'!H:H,_xlpm.rowNum))),ISBLANK(INDEX('glossaryterms-export'!I:I,_xlpm.rowNum))),"Ready to Fix",""))</f>
        <v/>
      </c>
    </row>
    <row r="2167" spans="6:6">
      <c r="F2167" s="1" t="str" cm="1">
        <f t="array" ref="F2167">_xlfn.LET(_xlpm.rowNum,MATCH(E2167,'glossaryterms-export'!C:C,0),
IF(AND(NOT(ISBLANK(INDEX('glossaryterms-export'!H:H,_xlpm.rowNum))),ISBLANK(INDEX('glossaryterms-export'!I:I,_xlpm.rowNum))),"Ready to Fix",""))</f>
        <v/>
      </c>
    </row>
    <row r="2168" spans="6:6">
      <c r="F2168" s="1" t="str" cm="1">
        <f t="array" ref="F2168">_xlfn.LET(_xlpm.rowNum,MATCH(E2168,'glossaryterms-export'!C:C,0),
IF(AND(NOT(ISBLANK(INDEX('glossaryterms-export'!H:H,_xlpm.rowNum))),ISBLANK(INDEX('glossaryterms-export'!I:I,_xlpm.rowNum))),"Ready to Fix",""))</f>
        <v/>
      </c>
    </row>
    <row r="2169" spans="6:6">
      <c r="F2169" s="1" t="str" cm="1">
        <f t="array" ref="F2169">_xlfn.LET(_xlpm.rowNum,MATCH(E2169,'glossaryterms-export'!C:C,0),
IF(AND(NOT(ISBLANK(INDEX('glossaryterms-export'!H:H,_xlpm.rowNum))),ISBLANK(INDEX('glossaryterms-export'!I:I,_xlpm.rowNum))),"Ready to Fix",""))</f>
        <v/>
      </c>
    </row>
    <row r="2170" spans="6:6">
      <c r="F2170" s="1" t="str" cm="1">
        <f t="array" ref="F2170">_xlfn.LET(_xlpm.rowNum,MATCH(E2170,'glossaryterms-export'!C:C,0),
IF(AND(NOT(ISBLANK(INDEX('glossaryterms-export'!H:H,_xlpm.rowNum))),ISBLANK(INDEX('glossaryterms-export'!I:I,_xlpm.rowNum))),"Ready to Fix",""))</f>
        <v/>
      </c>
    </row>
    <row r="2171" spans="6:6">
      <c r="F2171" s="1" t="str" cm="1">
        <f t="array" ref="F2171">_xlfn.LET(_xlpm.rowNum,MATCH(E2171,'glossaryterms-export'!C:C,0),
IF(AND(NOT(ISBLANK(INDEX('glossaryterms-export'!H:H,_xlpm.rowNum))),ISBLANK(INDEX('glossaryterms-export'!I:I,_xlpm.rowNum))),"Ready to Fix",""))</f>
        <v/>
      </c>
    </row>
    <row r="2172" spans="6:6">
      <c r="F2172" s="1" t="str" cm="1">
        <f t="array" ref="F2172">_xlfn.LET(_xlpm.rowNum,MATCH(E2172,'glossaryterms-export'!C:C,0),
IF(AND(NOT(ISBLANK(INDEX('glossaryterms-export'!H:H,_xlpm.rowNum))),ISBLANK(INDEX('glossaryterms-export'!I:I,_xlpm.rowNum))),"Ready to Fix",""))</f>
        <v/>
      </c>
    </row>
    <row r="2173" spans="6:6">
      <c r="F2173" s="1" t="str" cm="1">
        <f t="array" ref="F2173">_xlfn.LET(_xlpm.rowNum,MATCH(E2173,'glossaryterms-export'!C:C,0),
IF(AND(NOT(ISBLANK(INDEX('glossaryterms-export'!H:H,_xlpm.rowNum))),ISBLANK(INDEX('glossaryterms-export'!I:I,_xlpm.rowNum))),"Ready to Fix",""))</f>
        <v/>
      </c>
    </row>
    <row r="2174" spans="6:6">
      <c r="F2174" s="1" t="str" cm="1">
        <f t="array" ref="F2174">_xlfn.LET(_xlpm.rowNum,MATCH(E2174,'glossaryterms-export'!C:C,0),
IF(AND(NOT(ISBLANK(INDEX('glossaryterms-export'!H:H,_xlpm.rowNum))),ISBLANK(INDEX('glossaryterms-export'!I:I,_xlpm.rowNum))),"Ready to Fix",""))</f>
        <v/>
      </c>
    </row>
    <row r="2175" spans="6:6">
      <c r="F2175" s="1" t="str" cm="1">
        <f t="array" ref="F2175">_xlfn.LET(_xlpm.rowNum,MATCH(E2175,'glossaryterms-export'!C:C,0),
IF(AND(NOT(ISBLANK(INDEX('glossaryterms-export'!H:H,_xlpm.rowNum))),ISBLANK(INDEX('glossaryterms-export'!I:I,_xlpm.rowNum))),"Ready to Fix",""))</f>
        <v/>
      </c>
    </row>
    <row r="2176" spans="6:6">
      <c r="F2176" s="1" t="str" cm="1">
        <f t="array" ref="F2176">_xlfn.LET(_xlpm.rowNum,MATCH(E2176,'glossaryterms-export'!C:C,0),
IF(AND(NOT(ISBLANK(INDEX('glossaryterms-export'!H:H,_xlpm.rowNum))),ISBLANK(INDEX('glossaryterms-export'!I:I,_xlpm.rowNum))),"Ready to Fix",""))</f>
        <v/>
      </c>
    </row>
    <row r="2177" spans="6:6">
      <c r="F2177" s="1" t="str" cm="1">
        <f t="array" ref="F2177">_xlfn.LET(_xlpm.rowNum,MATCH(E2177,'glossaryterms-export'!C:C,0),
IF(AND(NOT(ISBLANK(INDEX('glossaryterms-export'!H:H,_xlpm.rowNum))),ISBLANK(INDEX('glossaryterms-export'!I:I,_xlpm.rowNum))),"Ready to Fix",""))</f>
        <v/>
      </c>
    </row>
    <row r="2178" spans="6:6">
      <c r="F2178" s="1" t="str" cm="1">
        <f t="array" ref="F2178">_xlfn.LET(_xlpm.rowNum,MATCH(E2178,'glossaryterms-export'!C:C,0),
IF(AND(NOT(ISBLANK(INDEX('glossaryterms-export'!H:H,_xlpm.rowNum))),ISBLANK(INDEX('glossaryterms-export'!I:I,_xlpm.rowNum))),"Ready to Fix",""))</f>
        <v/>
      </c>
    </row>
    <row r="2179" spans="6:6">
      <c r="F2179" s="1" t="str" cm="1">
        <f t="array" ref="F2179">_xlfn.LET(_xlpm.rowNum,MATCH(E2179,'glossaryterms-export'!C:C,0),
IF(AND(NOT(ISBLANK(INDEX('glossaryterms-export'!H:H,_xlpm.rowNum))),ISBLANK(INDEX('glossaryterms-export'!I:I,_xlpm.rowNum))),"Ready to Fix",""))</f>
        <v/>
      </c>
    </row>
    <row r="2180" spans="6:6">
      <c r="F2180" s="1" t="str" cm="1">
        <f t="array" ref="F2180">_xlfn.LET(_xlpm.rowNum,MATCH(E2180,'glossaryterms-export'!C:C,0),
IF(AND(NOT(ISBLANK(INDEX('glossaryterms-export'!H:H,_xlpm.rowNum))),ISBLANK(INDEX('glossaryterms-export'!I:I,_xlpm.rowNum))),"Ready to Fix",""))</f>
        <v/>
      </c>
    </row>
    <row r="2181" spans="6:6">
      <c r="F2181" s="1" t="str" cm="1">
        <f t="array" ref="F2181">_xlfn.LET(_xlpm.rowNum,MATCH(E2181,'glossaryterms-export'!C:C,0),
IF(AND(NOT(ISBLANK(INDEX('glossaryterms-export'!H:H,_xlpm.rowNum))),ISBLANK(INDEX('glossaryterms-export'!I:I,_xlpm.rowNum))),"Ready to Fix",""))</f>
        <v/>
      </c>
    </row>
    <row r="2182" spans="6:6">
      <c r="F2182" s="1" t="str" cm="1">
        <f t="array" ref="F2182">_xlfn.LET(_xlpm.rowNum,MATCH(E2182,'glossaryterms-export'!C:C,0),
IF(AND(NOT(ISBLANK(INDEX('glossaryterms-export'!H:H,_xlpm.rowNum))),ISBLANK(INDEX('glossaryterms-export'!I:I,_xlpm.rowNum))),"Ready to Fix",""))</f>
        <v/>
      </c>
    </row>
    <row r="2183" spans="6:6">
      <c r="F2183" s="1" t="str" cm="1">
        <f t="array" ref="F2183">_xlfn.LET(_xlpm.rowNum,MATCH(E2183,'glossaryterms-export'!C:C,0),
IF(AND(NOT(ISBLANK(INDEX('glossaryterms-export'!H:H,_xlpm.rowNum))),ISBLANK(INDEX('glossaryterms-export'!I:I,_xlpm.rowNum))),"Ready to Fix",""))</f>
        <v/>
      </c>
    </row>
    <row r="2184" spans="6:6">
      <c r="F2184" s="1" t="str" cm="1">
        <f t="array" ref="F2184">_xlfn.LET(_xlpm.rowNum,MATCH(E2184,'glossaryterms-export'!C:C,0),
IF(AND(NOT(ISBLANK(INDEX('glossaryterms-export'!H:H,_xlpm.rowNum))),ISBLANK(INDEX('glossaryterms-export'!I:I,_xlpm.rowNum))),"Ready to Fix",""))</f>
        <v/>
      </c>
    </row>
    <row r="2185" spans="6:6">
      <c r="F2185" s="1" t="str" cm="1">
        <f t="array" ref="F2185">_xlfn.LET(_xlpm.rowNum,MATCH(E2185,'glossaryterms-export'!C:C,0),
IF(AND(NOT(ISBLANK(INDEX('glossaryterms-export'!H:H,_xlpm.rowNum))),ISBLANK(INDEX('glossaryterms-export'!I:I,_xlpm.rowNum))),"Ready to Fix",""))</f>
        <v/>
      </c>
    </row>
    <row r="2186" spans="6:6">
      <c r="F2186" s="1" t="str" cm="1">
        <f t="array" ref="F2186">_xlfn.LET(_xlpm.rowNum,MATCH(E2186,'glossaryterms-export'!C:C,0),
IF(AND(NOT(ISBLANK(INDEX('glossaryterms-export'!H:H,_xlpm.rowNum))),ISBLANK(INDEX('glossaryterms-export'!I:I,_xlpm.rowNum))),"Ready to Fix",""))</f>
        <v/>
      </c>
    </row>
    <row r="2187" spans="6:6">
      <c r="F2187" s="1" t="str" cm="1">
        <f t="array" ref="F2187">_xlfn.LET(_xlpm.rowNum,MATCH(E2187,'glossaryterms-export'!C:C,0),
IF(AND(NOT(ISBLANK(INDEX('glossaryterms-export'!H:H,_xlpm.rowNum))),ISBLANK(INDEX('glossaryterms-export'!I:I,_xlpm.rowNum))),"Ready to Fix",""))</f>
        <v/>
      </c>
    </row>
    <row r="2188" spans="6:6">
      <c r="F2188" s="1" t="str" cm="1">
        <f t="array" ref="F2188">_xlfn.LET(_xlpm.rowNum,MATCH(E2188,'glossaryterms-export'!C:C,0),
IF(AND(NOT(ISBLANK(INDEX('glossaryterms-export'!H:H,_xlpm.rowNum))),ISBLANK(INDEX('glossaryterms-export'!I:I,_xlpm.rowNum))),"Ready to Fix",""))</f>
        <v/>
      </c>
    </row>
    <row r="2189" spans="6:6">
      <c r="F2189" s="1" t="str" cm="1">
        <f t="array" ref="F2189">_xlfn.LET(_xlpm.rowNum,MATCH(E2189,'glossaryterms-export'!C:C,0),
IF(AND(NOT(ISBLANK(INDEX('glossaryterms-export'!H:H,_xlpm.rowNum))),ISBLANK(INDEX('glossaryterms-export'!I:I,_xlpm.rowNum))),"Ready to Fix",""))</f>
        <v/>
      </c>
    </row>
    <row r="2190" spans="6:6">
      <c r="F2190" s="1" t="str" cm="1">
        <f t="array" ref="F2190">_xlfn.LET(_xlpm.rowNum,MATCH(E2190,'glossaryterms-export'!C:C,0),
IF(AND(NOT(ISBLANK(INDEX('glossaryterms-export'!H:H,_xlpm.rowNum))),ISBLANK(INDEX('glossaryterms-export'!I:I,_xlpm.rowNum))),"Ready to Fix",""))</f>
        <v/>
      </c>
    </row>
    <row r="2191" spans="6:6">
      <c r="F2191" s="1" t="str" cm="1">
        <f t="array" ref="F2191">_xlfn.LET(_xlpm.rowNum,MATCH(E2191,'glossaryterms-export'!C:C,0),
IF(AND(NOT(ISBLANK(INDEX('glossaryterms-export'!H:H,_xlpm.rowNum))),ISBLANK(INDEX('glossaryterms-export'!I:I,_xlpm.rowNum))),"Ready to Fix",""))</f>
        <v/>
      </c>
    </row>
    <row r="2192" spans="6:6">
      <c r="F2192" s="1" t="str" cm="1">
        <f t="array" ref="F2192">_xlfn.LET(_xlpm.rowNum,MATCH(E2192,'glossaryterms-export'!C:C,0),
IF(AND(NOT(ISBLANK(INDEX('glossaryterms-export'!H:H,_xlpm.rowNum))),ISBLANK(INDEX('glossaryterms-export'!I:I,_xlpm.rowNum))),"Ready to Fix",""))</f>
        <v/>
      </c>
    </row>
    <row r="2193" spans="6:6">
      <c r="F2193" s="1" t="str" cm="1">
        <f t="array" ref="F2193">_xlfn.LET(_xlpm.rowNum,MATCH(E2193,'glossaryterms-export'!C:C,0),
IF(AND(NOT(ISBLANK(INDEX('glossaryterms-export'!H:H,_xlpm.rowNum))),ISBLANK(INDEX('glossaryterms-export'!I:I,_xlpm.rowNum))),"Ready to Fix",""))</f>
        <v/>
      </c>
    </row>
    <row r="2194" spans="6:6">
      <c r="F2194" s="1" t="str" cm="1">
        <f t="array" ref="F2194">_xlfn.LET(_xlpm.rowNum,MATCH(E2194,'glossaryterms-export'!C:C,0),
IF(AND(NOT(ISBLANK(INDEX('glossaryterms-export'!H:H,_xlpm.rowNum))),ISBLANK(INDEX('glossaryterms-export'!I:I,_xlpm.rowNum))),"Ready to Fix",""))</f>
        <v/>
      </c>
    </row>
    <row r="2195" spans="6:6">
      <c r="F2195" s="1" t="str" cm="1">
        <f t="array" ref="F2195">_xlfn.LET(_xlpm.rowNum,MATCH(E2195,'glossaryterms-export'!C:C,0),
IF(AND(NOT(ISBLANK(INDEX('glossaryterms-export'!H:H,_xlpm.rowNum))),ISBLANK(INDEX('glossaryterms-export'!I:I,_xlpm.rowNum))),"Ready to Fix",""))</f>
        <v/>
      </c>
    </row>
    <row r="2196" spans="6:6">
      <c r="F2196" s="1" t="str" cm="1">
        <f t="array" ref="F2196">_xlfn.LET(_xlpm.rowNum,MATCH(E2196,'glossaryterms-export'!C:C,0),
IF(AND(NOT(ISBLANK(INDEX('glossaryterms-export'!H:H,_xlpm.rowNum))),ISBLANK(INDEX('glossaryterms-export'!I:I,_xlpm.rowNum))),"Ready to Fix",""))</f>
        <v/>
      </c>
    </row>
    <row r="2197" spans="6:6">
      <c r="F2197" s="1" t="str" cm="1">
        <f t="array" ref="F2197">_xlfn.LET(_xlpm.rowNum,MATCH(E2197,'glossaryterms-export'!C:C,0),
IF(AND(NOT(ISBLANK(INDEX('glossaryterms-export'!H:H,_xlpm.rowNum))),ISBLANK(INDEX('glossaryterms-export'!I:I,_xlpm.rowNum))),"Ready to Fix",""))</f>
        <v/>
      </c>
    </row>
    <row r="2198" spans="6:6">
      <c r="F2198" s="1" t="str" cm="1">
        <f t="array" ref="F2198">_xlfn.LET(_xlpm.rowNum,MATCH(E2198,'glossaryterms-export'!C:C,0),
IF(AND(NOT(ISBLANK(INDEX('glossaryterms-export'!H:H,_xlpm.rowNum))),ISBLANK(INDEX('glossaryterms-export'!I:I,_xlpm.rowNum))),"Ready to Fix",""))</f>
        <v/>
      </c>
    </row>
    <row r="2199" spans="6:6">
      <c r="F2199" s="1" t="str" cm="1">
        <f t="array" ref="F2199">_xlfn.LET(_xlpm.rowNum,MATCH(E2199,'glossaryterms-export'!C:C,0),
IF(AND(NOT(ISBLANK(INDEX('glossaryterms-export'!H:H,_xlpm.rowNum))),ISBLANK(INDEX('glossaryterms-export'!I:I,_xlpm.rowNum))),"Ready to Fix",""))</f>
        <v/>
      </c>
    </row>
    <row r="2200" spans="6:6">
      <c r="F2200" s="1" t="str" cm="1">
        <f t="array" ref="F2200">_xlfn.LET(_xlpm.rowNum,MATCH(E2200,'glossaryterms-export'!C:C,0),
IF(AND(NOT(ISBLANK(INDEX('glossaryterms-export'!H:H,_xlpm.rowNum))),ISBLANK(INDEX('glossaryterms-export'!I:I,_xlpm.rowNum))),"Ready to Fix",""))</f>
        <v/>
      </c>
    </row>
    <row r="2201" spans="6:6">
      <c r="F2201" s="1" t="str" cm="1">
        <f t="array" ref="F2201">_xlfn.LET(_xlpm.rowNum,MATCH(E2201,'glossaryterms-export'!C:C,0),
IF(AND(NOT(ISBLANK(INDEX('glossaryterms-export'!H:H,_xlpm.rowNum))),ISBLANK(INDEX('glossaryterms-export'!I:I,_xlpm.rowNum))),"Ready to Fix",""))</f>
        <v/>
      </c>
    </row>
    <row r="2202" spans="6:6">
      <c r="F2202" s="1" t="str" cm="1">
        <f t="array" ref="F2202">_xlfn.LET(_xlpm.rowNum,MATCH(E2202,'glossaryterms-export'!C:C,0),
IF(AND(NOT(ISBLANK(INDEX('glossaryterms-export'!H:H,_xlpm.rowNum))),ISBLANK(INDEX('glossaryterms-export'!I:I,_xlpm.rowNum))),"Ready to Fix",""))</f>
        <v/>
      </c>
    </row>
    <row r="2203" spans="6:6">
      <c r="F2203" s="1" t="str" cm="1">
        <f t="array" ref="F2203">_xlfn.LET(_xlpm.rowNum,MATCH(E2203,'glossaryterms-export'!C:C,0),
IF(AND(NOT(ISBLANK(INDEX('glossaryterms-export'!H:H,_xlpm.rowNum))),ISBLANK(INDEX('glossaryterms-export'!I:I,_xlpm.rowNum))),"Ready to Fix",""))</f>
        <v/>
      </c>
    </row>
    <row r="2204" spans="6:6">
      <c r="F2204" s="1" t="str" cm="1">
        <f t="array" ref="F2204">_xlfn.LET(_xlpm.rowNum,MATCH(E2204,'glossaryterms-export'!C:C,0),
IF(AND(NOT(ISBLANK(INDEX('glossaryterms-export'!H:H,_xlpm.rowNum))),ISBLANK(INDEX('glossaryterms-export'!I:I,_xlpm.rowNum))),"Ready to Fix",""))</f>
        <v/>
      </c>
    </row>
    <row r="2205" spans="6:6">
      <c r="F2205" s="1" t="str" cm="1">
        <f t="array" ref="F2205">_xlfn.LET(_xlpm.rowNum,MATCH(E2205,'glossaryterms-export'!C:C,0),
IF(AND(NOT(ISBLANK(INDEX('glossaryterms-export'!H:H,_xlpm.rowNum))),ISBLANK(INDEX('glossaryterms-export'!I:I,_xlpm.rowNum))),"Ready to Fix",""))</f>
        <v/>
      </c>
    </row>
    <row r="2206" spans="6:6">
      <c r="F2206" s="1" t="str" cm="1">
        <f t="array" ref="F2206">_xlfn.LET(_xlpm.rowNum,MATCH(E2206,'glossaryterms-export'!C:C,0),
IF(AND(NOT(ISBLANK(INDEX('glossaryterms-export'!H:H,_xlpm.rowNum))),ISBLANK(INDEX('glossaryterms-export'!I:I,_xlpm.rowNum))),"Ready to Fix",""))</f>
        <v/>
      </c>
    </row>
    <row r="2207" spans="6:6">
      <c r="F2207" s="1" t="str" cm="1">
        <f t="array" ref="F2207">_xlfn.LET(_xlpm.rowNum,MATCH(E2207,'glossaryterms-export'!C:C,0),
IF(AND(NOT(ISBLANK(INDEX('glossaryterms-export'!H:H,_xlpm.rowNum))),ISBLANK(INDEX('glossaryterms-export'!I:I,_xlpm.rowNum))),"Ready to Fix",""))</f>
        <v/>
      </c>
    </row>
    <row r="2208" spans="6:6">
      <c r="F2208" s="1" t="str" cm="1">
        <f t="array" ref="F2208">_xlfn.LET(_xlpm.rowNum,MATCH(E2208,'glossaryterms-export'!C:C,0),
IF(AND(NOT(ISBLANK(INDEX('glossaryterms-export'!H:H,_xlpm.rowNum))),ISBLANK(INDEX('glossaryterms-export'!I:I,_xlpm.rowNum))),"Ready to Fix",""))</f>
        <v/>
      </c>
    </row>
    <row r="2209" spans="6:6">
      <c r="F2209" s="1" t="str" cm="1">
        <f t="array" ref="F2209">_xlfn.LET(_xlpm.rowNum,MATCH(E2209,'glossaryterms-export'!C:C,0),
IF(AND(NOT(ISBLANK(INDEX('glossaryterms-export'!H:H,_xlpm.rowNum))),ISBLANK(INDEX('glossaryterms-export'!I:I,_xlpm.rowNum))),"Ready to Fix",""))</f>
        <v/>
      </c>
    </row>
    <row r="2210" spans="6:6">
      <c r="F2210" s="1" t="str" cm="1">
        <f t="array" ref="F2210">_xlfn.LET(_xlpm.rowNum,MATCH(E2210,'glossaryterms-export'!C:C,0),
IF(AND(NOT(ISBLANK(INDEX('glossaryterms-export'!H:H,_xlpm.rowNum))),ISBLANK(INDEX('glossaryterms-export'!I:I,_xlpm.rowNum))),"Ready to Fix",""))</f>
        <v/>
      </c>
    </row>
    <row r="2211" spans="6:6">
      <c r="F2211" s="1" t="str" cm="1">
        <f t="array" ref="F2211">_xlfn.LET(_xlpm.rowNum,MATCH(E2211,'glossaryterms-export'!C:C,0),
IF(AND(NOT(ISBLANK(INDEX('glossaryterms-export'!H:H,_xlpm.rowNum))),ISBLANK(INDEX('glossaryterms-export'!I:I,_xlpm.rowNum))),"Ready to Fix",""))</f>
        <v/>
      </c>
    </row>
    <row r="2212" spans="6:6">
      <c r="F2212" s="1" t="str" cm="1">
        <f t="array" ref="F2212">_xlfn.LET(_xlpm.rowNum,MATCH(E2212,'glossaryterms-export'!C:C,0),
IF(AND(NOT(ISBLANK(INDEX('glossaryterms-export'!H:H,_xlpm.rowNum))),ISBLANK(INDEX('glossaryterms-export'!I:I,_xlpm.rowNum))),"Ready to Fix",""))</f>
        <v/>
      </c>
    </row>
    <row r="2213" spans="6:6">
      <c r="F2213" s="1" t="str" cm="1">
        <f t="array" ref="F2213">_xlfn.LET(_xlpm.rowNum,MATCH(E2213,'glossaryterms-export'!C:C,0),
IF(AND(NOT(ISBLANK(INDEX('glossaryterms-export'!H:H,_xlpm.rowNum))),ISBLANK(INDEX('glossaryterms-export'!I:I,_xlpm.rowNum))),"Ready to Fix",""))</f>
        <v/>
      </c>
    </row>
    <row r="2214" spans="6:6">
      <c r="F2214" s="1" t="str" cm="1">
        <f t="array" ref="F2214">_xlfn.LET(_xlpm.rowNum,MATCH(E2214,'glossaryterms-export'!C:C,0),
IF(AND(NOT(ISBLANK(INDEX('glossaryterms-export'!H:H,_xlpm.rowNum))),ISBLANK(INDEX('glossaryterms-export'!I:I,_xlpm.rowNum))),"Ready to Fix",""))</f>
        <v/>
      </c>
    </row>
    <row r="2215" spans="6:6">
      <c r="F2215" s="1" t="str" cm="1">
        <f t="array" ref="F2215">_xlfn.LET(_xlpm.rowNum,MATCH(E2215,'glossaryterms-export'!C:C,0),
IF(AND(NOT(ISBLANK(INDEX('glossaryterms-export'!H:H,_xlpm.rowNum))),ISBLANK(INDEX('glossaryterms-export'!I:I,_xlpm.rowNum))),"Ready to Fix",""))</f>
        <v/>
      </c>
    </row>
    <row r="2216" spans="6:6">
      <c r="F2216" s="1" t="str" cm="1">
        <f t="array" ref="F2216">_xlfn.LET(_xlpm.rowNum,MATCH(E2216,'glossaryterms-export'!C:C,0),
IF(AND(NOT(ISBLANK(INDEX('glossaryterms-export'!H:H,_xlpm.rowNum))),ISBLANK(INDEX('glossaryterms-export'!I:I,_xlpm.rowNum))),"Ready to Fix",""))</f>
        <v/>
      </c>
    </row>
    <row r="2217" spans="6:6">
      <c r="F2217" s="1" t="str" cm="1">
        <f t="array" ref="F2217">_xlfn.LET(_xlpm.rowNum,MATCH(E2217,'glossaryterms-export'!C:C,0),
IF(AND(NOT(ISBLANK(INDEX('glossaryterms-export'!H:H,_xlpm.rowNum))),ISBLANK(INDEX('glossaryterms-export'!I:I,_xlpm.rowNum))),"Ready to Fix",""))</f>
        <v/>
      </c>
    </row>
    <row r="2218" spans="6:6">
      <c r="F2218" s="1" t="str" cm="1">
        <f t="array" ref="F2218">_xlfn.LET(_xlpm.rowNum,MATCH(E2218,'glossaryterms-export'!C:C,0),
IF(AND(NOT(ISBLANK(INDEX('glossaryterms-export'!H:H,_xlpm.rowNum))),ISBLANK(INDEX('glossaryterms-export'!I:I,_xlpm.rowNum))),"Ready to Fix",""))</f>
        <v/>
      </c>
    </row>
    <row r="2219" spans="6:6">
      <c r="F2219" s="1" t="str" cm="1">
        <f t="array" ref="F2219">_xlfn.LET(_xlpm.rowNum,MATCH(E2219,'glossaryterms-export'!C:C,0),
IF(AND(NOT(ISBLANK(INDEX('glossaryterms-export'!H:H,_xlpm.rowNum))),ISBLANK(INDEX('glossaryterms-export'!I:I,_xlpm.rowNum))),"Ready to Fix",""))</f>
        <v/>
      </c>
    </row>
    <row r="2220" spans="6:6">
      <c r="F2220" s="1" t="str" cm="1">
        <f t="array" ref="F2220">_xlfn.LET(_xlpm.rowNum,MATCH(E2220,'glossaryterms-export'!C:C,0),
IF(AND(NOT(ISBLANK(INDEX('glossaryterms-export'!H:H,_xlpm.rowNum))),ISBLANK(INDEX('glossaryterms-export'!I:I,_xlpm.rowNum))),"Ready to Fix",""))</f>
        <v/>
      </c>
    </row>
    <row r="2221" spans="6:6">
      <c r="F2221" s="1" t="str" cm="1">
        <f t="array" ref="F2221">_xlfn.LET(_xlpm.rowNum,MATCH(E2221,'glossaryterms-export'!C:C,0),
IF(AND(NOT(ISBLANK(INDEX('glossaryterms-export'!H:H,_xlpm.rowNum))),ISBLANK(INDEX('glossaryterms-export'!I:I,_xlpm.rowNum))),"Ready to Fix",""))</f>
        <v/>
      </c>
    </row>
    <row r="2222" spans="6:6">
      <c r="F2222" s="1" t="str" cm="1">
        <f t="array" ref="F2222">_xlfn.LET(_xlpm.rowNum,MATCH(E2222,'glossaryterms-export'!C:C,0),
IF(AND(NOT(ISBLANK(INDEX('glossaryterms-export'!H:H,_xlpm.rowNum))),ISBLANK(INDEX('glossaryterms-export'!I:I,_xlpm.rowNum))),"Ready to Fix",""))</f>
        <v/>
      </c>
    </row>
    <row r="2223" spans="6:6">
      <c r="F2223" s="1" t="str" cm="1">
        <f t="array" ref="F2223">_xlfn.LET(_xlpm.rowNum,MATCH(E2223,'glossaryterms-export'!C:C,0),
IF(AND(NOT(ISBLANK(INDEX('glossaryterms-export'!H:H,_xlpm.rowNum))),ISBLANK(INDEX('glossaryterms-export'!I:I,_xlpm.rowNum))),"Ready to Fix",""))</f>
        <v/>
      </c>
    </row>
    <row r="2224" spans="6:6">
      <c r="F2224" s="1" t="str" cm="1">
        <f t="array" ref="F2224">_xlfn.LET(_xlpm.rowNum,MATCH(E2224,'glossaryterms-export'!C:C,0),
IF(AND(NOT(ISBLANK(INDEX('glossaryterms-export'!H:H,_xlpm.rowNum))),ISBLANK(INDEX('glossaryterms-export'!I:I,_xlpm.rowNum))),"Ready to Fix",""))</f>
        <v/>
      </c>
    </row>
    <row r="2225" spans="6:6">
      <c r="F2225" s="1" t="str" cm="1">
        <f t="array" ref="F2225">_xlfn.LET(_xlpm.rowNum,MATCH(E2225,'glossaryterms-export'!C:C,0),
IF(AND(NOT(ISBLANK(INDEX('glossaryterms-export'!H:H,_xlpm.rowNum))),ISBLANK(INDEX('glossaryterms-export'!I:I,_xlpm.rowNum))),"Ready to Fix",""))</f>
        <v/>
      </c>
    </row>
    <row r="2226" spans="6:6">
      <c r="F2226" s="1" t="str" cm="1">
        <f t="array" ref="F2226">_xlfn.LET(_xlpm.rowNum,MATCH(E2226,'glossaryterms-export'!C:C,0),
IF(AND(NOT(ISBLANK(INDEX('glossaryterms-export'!H:H,_xlpm.rowNum))),ISBLANK(INDEX('glossaryterms-export'!I:I,_xlpm.rowNum))),"Ready to Fix",""))</f>
        <v/>
      </c>
    </row>
    <row r="2227" spans="6:6">
      <c r="F2227" s="1" t="str" cm="1">
        <f t="array" ref="F2227">_xlfn.LET(_xlpm.rowNum,MATCH(E2227,'glossaryterms-export'!C:C,0),
IF(AND(NOT(ISBLANK(INDEX('glossaryterms-export'!H:H,_xlpm.rowNum))),ISBLANK(INDEX('glossaryterms-export'!I:I,_xlpm.rowNum))),"Ready to Fix",""))</f>
        <v/>
      </c>
    </row>
    <row r="2228" spans="6:6">
      <c r="F2228" s="1" t="str" cm="1">
        <f t="array" ref="F2228">_xlfn.LET(_xlpm.rowNum,MATCH(E2228,'glossaryterms-export'!C:C,0),
IF(AND(NOT(ISBLANK(INDEX('glossaryterms-export'!H:H,_xlpm.rowNum))),ISBLANK(INDEX('glossaryterms-export'!I:I,_xlpm.rowNum))),"Ready to Fix",""))</f>
        <v/>
      </c>
    </row>
    <row r="2229" spans="6:6">
      <c r="F2229" s="1" t="str" cm="1">
        <f t="array" ref="F2229">_xlfn.LET(_xlpm.rowNum,MATCH(E2229,'glossaryterms-export'!C:C,0),
IF(AND(NOT(ISBLANK(INDEX('glossaryterms-export'!H:H,_xlpm.rowNum))),ISBLANK(INDEX('glossaryterms-export'!I:I,_xlpm.rowNum))),"Ready to Fix",""))</f>
        <v/>
      </c>
    </row>
    <row r="2230" spans="6:6">
      <c r="F2230" s="1" t="str" cm="1">
        <f t="array" ref="F2230">_xlfn.LET(_xlpm.rowNum,MATCH(E2230,'glossaryterms-export'!C:C,0),
IF(AND(NOT(ISBLANK(INDEX('glossaryterms-export'!H:H,_xlpm.rowNum))),ISBLANK(INDEX('glossaryterms-export'!I:I,_xlpm.rowNum))),"Ready to Fix",""))</f>
        <v/>
      </c>
    </row>
    <row r="2231" spans="6:6">
      <c r="F2231" s="1" t="str" cm="1">
        <f t="array" ref="F2231">_xlfn.LET(_xlpm.rowNum,MATCH(E2231,'glossaryterms-export'!C:C,0),
IF(AND(NOT(ISBLANK(INDEX('glossaryterms-export'!H:H,_xlpm.rowNum))),ISBLANK(INDEX('glossaryterms-export'!I:I,_xlpm.rowNum))),"Ready to Fix",""))</f>
        <v/>
      </c>
    </row>
    <row r="2232" spans="6:6">
      <c r="F2232" s="1" t="str" cm="1">
        <f t="array" ref="F2232">_xlfn.LET(_xlpm.rowNum,MATCH(E2232,'glossaryterms-export'!C:C,0),
IF(AND(NOT(ISBLANK(INDEX('glossaryterms-export'!H:H,_xlpm.rowNum))),ISBLANK(INDEX('glossaryterms-export'!I:I,_xlpm.rowNum))),"Ready to Fix",""))</f>
        <v/>
      </c>
    </row>
    <row r="2233" spans="6:6">
      <c r="F2233" s="1" t="str" cm="1">
        <f t="array" ref="F2233">_xlfn.LET(_xlpm.rowNum,MATCH(E2233,'glossaryterms-export'!C:C,0),
IF(AND(NOT(ISBLANK(INDEX('glossaryterms-export'!H:H,_xlpm.rowNum))),ISBLANK(INDEX('glossaryterms-export'!I:I,_xlpm.rowNum))),"Ready to Fix",""))</f>
        <v/>
      </c>
    </row>
    <row r="2234" spans="6:6">
      <c r="F2234" s="1" t="str" cm="1">
        <f t="array" ref="F2234">_xlfn.LET(_xlpm.rowNum,MATCH(E2234,'glossaryterms-export'!C:C,0),
IF(AND(NOT(ISBLANK(INDEX('glossaryterms-export'!H:H,_xlpm.rowNum))),ISBLANK(INDEX('glossaryterms-export'!I:I,_xlpm.rowNum))),"Ready to Fix",""))</f>
        <v/>
      </c>
    </row>
    <row r="2235" spans="6:6">
      <c r="F2235" s="1" t="str" cm="1">
        <f t="array" ref="F2235">_xlfn.LET(_xlpm.rowNum,MATCH(E2235,'glossaryterms-export'!C:C,0),
IF(AND(NOT(ISBLANK(INDEX('glossaryterms-export'!H:H,_xlpm.rowNum))),ISBLANK(INDEX('glossaryterms-export'!I:I,_xlpm.rowNum))),"Ready to Fix",""))</f>
        <v/>
      </c>
    </row>
    <row r="2236" spans="6:6">
      <c r="F2236" s="1" t="str" cm="1">
        <f t="array" ref="F2236">_xlfn.LET(_xlpm.rowNum,MATCH(E2236,'glossaryterms-export'!C:C,0),
IF(AND(NOT(ISBLANK(INDEX('glossaryterms-export'!H:H,_xlpm.rowNum))),ISBLANK(INDEX('glossaryterms-export'!I:I,_xlpm.rowNum))),"Ready to Fix",""))</f>
        <v/>
      </c>
    </row>
    <row r="2237" spans="6:6">
      <c r="F2237" s="1" t="str" cm="1">
        <f t="array" ref="F2237">_xlfn.LET(_xlpm.rowNum,MATCH(E2237,'glossaryterms-export'!C:C,0),
IF(AND(NOT(ISBLANK(INDEX('glossaryterms-export'!H:H,_xlpm.rowNum))),ISBLANK(INDEX('glossaryterms-export'!I:I,_xlpm.rowNum))),"Ready to Fix",""))</f>
        <v/>
      </c>
    </row>
    <row r="2238" spans="6:6">
      <c r="F2238" s="1" t="str" cm="1">
        <f t="array" ref="F2238">_xlfn.LET(_xlpm.rowNum,MATCH(E2238,'glossaryterms-export'!C:C,0),
IF(AND(NOT(ISBLANK(INDEX('glossaryterms-export'!H:H,_xlpm.rowNum))),ISBLANK(INDEX('glossaryterms-export'!I:I,_xlpm.rowNum))),"Ready to Fix",""))</f>
        <v/>
      </c>
    </row>
    <row r="2239" spans="6:6">
      <c r="F2239" s="1" t="str" cm="1">
        <f t="array" ref="F2239">_xlfn.LET(_xlpm.rowNum,MATCH(E2239,'glossaryterms-export'!C:C,0),
IF(AND(NOT(ISBLANK(INDEX('glossaryterms-export'!H:H,_xlpm.rowNum))),ISBLANK(INDEX('glossaryterms-export'!I:I,_xlpm.rowNum))),"Ready to Fix",""))</f>
        <v/>
      </c>
    </row>
    <row r="2240" spans="6:6">
      <c r="F2240" s="1" t="str" cm="1">
        <f t="array" ref="F2240">_xlfn.LET(_xlpm.rowNum,MATCH(E2240,'glossaryterms-export'!C:C,0),
IF(AND(NOT(ISBLANK(INDEX('glossaryterms-export'!H:H,_xlpm.rowNum))),ISBLANK(INDEX('glossaryterms-export'!I:I,_xlpm.rowNum))),"Ready to Fix",""))</f>
        <v/>
      </c>
    </row>
    <row r="2241" spans="6:6">
      <c r="F2241" s="1" t="str" cm="1">
        <f t="array" ref="F2241">_xlfn.LET(_xlpm.rowNum,MATCH(E2241,'glossaryterms-export'!C:C,0),
IF(AND(NOT(ISBLANK(INDEX('glossaryterms-export'!H:H,_xlpm.rowNum))),ISBLANK(INDEX('glossaryterms-export'!I:I,_xlpm.rowNum))),"Ready to Fix",""))</f>
        <v/>
      </c>
    </row>
    <row r="2242" spans="6:6">
      <c r="F2242" s="1" t="str" cm="1">
        <f t="array" ref="F2242">_xlfn.LET(_xlpm.rowNum,MATCH(E2242,'glossaryterms-export'!C:C,0),
IF(AND(NOT(ISBLANK(INDEX('glossaryterms-export'!H:H,_xlpm.rowNum))),ISBLANK(INDEX('glossaryterms-export'!I:I,_xlpm.rowNum))),"Ready to Fix",""))</f>
        <v/>
      </c>
    </row>
    <row r="2243" spans="6:6">
      <c r="F2243" s="1" t="str" cm="1">
        <f t="array" ref="F2243">_xlfn.LET(_xlpm.rowNum,MATCH(E2243,'glossaryterms-export'!C:C,0),
IF(AND(NOT(ISBLANK(INDEX('glossaryterms-export'!H:H,_xlpm.rowNum))),ISBLANK(INDEX('glossaryterms-export'!I:I,_xlpm.rowNum))),"Ready to Fix",""))</f>
        <v/>
      </c>
    </row>
    <row r="2244" spans="6:6">
      <c r="F2244" s="1" t="str" cm="1">
        <f t="array" ref="F2244">_xlfn.LET(_xlpm.rowNum,MATCH(E2244,'glossaryterms-export'!C:C,0),
IF(AND(NOT(ISBLANK(INDEX('glossaryterms-export'!H:H,_xlpm.rowNum))),ISBLANK(INDEX('glossaryterms-export'!I:I,_xlpm.rowNum))),"Ready to Fix",""))</f>
        <v/>
      </c>
    </row>
    <row r="2245" spans="6:6">
      <c r="F2245" s="1" t="str" cm="1">
        <f t="array" ref="F2245">_xlfn.LET(_xlpm.rowNum,MATCH(E2245,'glossaryterms-export'!C:C,0),
IF(AND(NOT(ISBLANK(INDEX('glossaryterms-export'!H:H,_xlpm.rowNum))),ISBLANK(INDEX('glossaryterms-export'!I:I,_xlpm.rowNum))),"Ready to Fix",""))</f>
        <v/>
      </c>
    </row>
    <row r="2246" spans="6:6">
      <c r="F2246" s="1" t="str" cm="1">
        <f t="array" ref="F2246">_xlfn.LET(_xlpm.rowNum,MATCH(E2246,'glossaryterms-export'!C:C,0),
IF(AND(NOT(ISBLANK(INDEX('glossaryterms-export'!H:H,_xlpm.rowNum))),ISBLANK(INDEX('glossaryterms-export'!I:I,_xlpm.rowNum))),"Ready to Fix",""))</f>
        <v/>
      </c>
    </row>
    <row r="2247" spans="6:6">
      <c r="F2247" s="1" t="str" cm="1">
        <f t="array" ref="F2247">_xlfn.LET(_xlpm.rowNum,MATCH(E2247,'glossaryterms-export'!C:C,0),
IF(AND(NOT(ISBLANK(INDEX('glossaryterms-export'!H:H,_xlpm.rowNum))),ISBLANK(INDEX('glossaryterms-export'!I:I,_xlpm.rowNum))),"Ready to Fix",""))</f>
        <v/>
      </c>
    </row>
    <row r="2248" spans="6:6">
      <c r="F2248" s="1" t="str" cm="1">
        <f t="array" ref="F2248">_xlfn.LET(_xlpm.rowNum,MATCH(E2248,'glossaryterms-export'!C:C,0),
IF(AND(NOT(ISBLANK(INDEX('glossaryterms-export'!H:H,_xlpm.rowNum))),ISBLANK(INDEX('glossaryterms-export'!I:I,_xlpm.rowNum))),"Ready to Fix",""))</f>
        <v/>
      </c>
    </row>
    <row r="2249" spans="6:6">
      <c r="F2249" s="1" t="str" cm="1">
        <f t="array" ref="F2249">_xlfn.LET(_xlpm.rowNum,MATCH(E2249,'glossaryterms-export'!C:C,0),
IF(AND(NOT(ISBLANK(INDEX('glossaryterms-export'!H:H,_xlpm.rowNum))),ISBLANK(INDEX('glossaryterms-export'!I:I,_xlpm.rowNum))),"Ready to Fix",""))</f>
        <v/>
      </c>
    </row>
    <row r="2250" spans="6:6">
      <c r="F2250" s="1" t="str" cm="1">
        <f t="array" ref="F2250">_xlfn.LET(_xlpm.rowNum,MATCH(E2250,'glossaryterms-export'!C:C,0),
IF(AND(NOT(ISBLANK(INDEX('glossaryterms-export'!H:H,_xlpm.rowNum))),ISBLANK(INDEX('glossaryterms-export'!I:I,_xlpm.rowNum))),"Ready to Fix",""))</f>
        <v/>
      </c>
    </row>
    <row r="2251" spans="6:6">
      <c r="F2251" s="1" t="str" cm="1">
        <f t="array" ref="F2251">_xlfn.LET(_xlpm.rowNum,MATCH(E2251,'glossaryterms-export'!C:C,0),
IF(AND(NOT(ISBLANK(INDEX('glossaryterms-export'!H:H,_xlpm.rowNum))),ISBLANK(INDEX('glossaryterms-export'!I:I,_xlpm.rowNum))),"Ready to Fix",""))</f>
        <v/>
      </c>
    </row>
    <row r="2252" spans="6:6">
      <c r="F2252" s="1" t="str" cm="1">
        <f t="array" ref="F2252">_xlfn.LET(_xlpm.rowNum,MATCH(E2252,'glossaryterms-export'!C:C,0),
IF(AND(NOT(ISBLANK(INDEX('glossaryterms-export'!H:H,_xlpm.rowNum))),ISBLANK(INDEX('glossaryterms-export'!I:I,_xlpm.rowNum))),"Ready to Fix",""))</f>
        <v/>
      </c>
    </row>
    <row r="2253" spans="6:6">
      <c r="F2253" s="1" t="str" cm="1">
        <f t="array" ref="F2253">_xlfn.LET(_xlpm.rowNum,MATCH(E2253,'glossaryterms-export'!C:C,0),
IF(AND(NOT(ISBLANK(INDEX('glossaryterms-export'!H:H,_xlpm.rowNum))),ISBLANK(INDEX('glossaryterms-export'!I:I,_xlpm.rowNum))),"Ready to Fix",""))</f>
        <v/>
      </c>
    </row>
    <row r="2254" spans="6:6">
      <c r="F2254" s="1" t="str" cm="1">
        <f t="array" ref="F2254">_xlfn.LET(_xlpm.rowNum,MATCH(E2254,'glossaryterms-export'!C:C,0),
IF(AND(NOT(ISBLANK(INDEX('glossaryterms-export'!H:H,_xlpm.rowNum))),ISBLANK(INDEX('glossaryterms-export'!I:I,_xlpm.rowNum))),"Ready to Fix",""))</f>
        <v/>
      </c>
    </row>
    <row r="2255" spans="6:6">
      <c r="F2255" s="1" t="str" cm="1">
        <f t="array" ref="F2255">_xlfn.LET(_xlpm.rowNum,MATCH(E2255,'glossaryterms-export'!C:C,0),
IF(AND(NOT(ISBLANK(INDEX('glossaryterms-export'!H:H,_xlpm.rowNum))),ISBLANK(INDEX('glossaryterms-export'!I:I,_xlpm.rowNum))),"Ready to Fix",""))</f>
        <v/>
      </c>
    </row>
    <row r="2256" spans="6:6">
      <c r="F2256" s="1" t="str" cm="1">
        <f t="array" ref="F2256">_xlfn.LET(_xlpm.rowNum,MATCH(E2256,'glossaryterms-export'!C:C,0),
IF(AND(NOT(ISBLANK(INDEX('glossaryterms-export'!H:H,_xlpm.rowNum))),ISBLANK(INDEX('glossaryterms-export'!I:I,_xlpm.rowNum))),"Ready to Fix",""))</f>
        <v/>
      </c>
    </row>
    <row r="2257" spans="6:6">
      <c r="F2257" s="1" t="str" cm="1">
        <f t="array" ref="F2257">_xlfn.LET(_xlpm.rowNum,MATCH(E2257,'glossaryterms-export'!C:C,0),
IF(AND(NOT(ISBLANK(INDEX('glossaryterms-export'!H:H,_xlpm.rowNum))),ISBLANK(INDEX('glossaryterms-export'!I:I,_xlpm.rowNum))),"Ready to Fix",""))</f>
        <v/>
      </c>
    </row>
    <row r="2258" spans="6:6">
      <c r="F2258" s="1" t="str" cm="1">
        <f t="array" ref="F2258">_xlfn.LET(_xlpm.rowNum,MATCH(E2258,'glossaryterms-export'!C:C,0),
IF(AND(NOT(ISBLANK(INDEX('glossaryterms-export'!H:H,_xlpm.rowNum))),ISBLANK(INDEX('glossaryterms-export'!I:I,_xlpm.rowNum))),"Ready to Fix",""))</f>
        <v/>
      </c>
    </row>
    <row r="2259" spans="6:6">
      <c r="F2259" s="1" t="str" cm="1">
        <f t="array" ref="F2259">_xlfn.LET(_xlpm.rowNum,MATCH(E2259,'glossaryterms-export'!C:C,0),
IF(AND(NOT(ISBLANK(INDEX('glossaryterms-export'!H:H,_xlpm.rowNum))),ISBLANK(INDEX('glossaryterms-export'!I:I,_xlpm.rowNum))),"Ready to Fix",""))</f>
        <v/>
      </c>
    </row>
    <row r="2260" spans="6:6">
      <c r="F2260" s="1" t="str" cm="1">
        <f t="array" ref="F2260">_xlfn.LET(_xlpm.rowNum,MATCH(E2260,'glossaryterms-export'!C:C,0),
IF(AND(NOT(ISBLANK(INDEX('glossaryterms-export'!H:H,_xlpm.rowNum))),ISBLANK(INDEX('glossaryterms-export'!I:I,_xlpm.rowNum))),"Ready to Fix",""))</f>
        <v/>
      </c>
    </row>
    <row r="2261" spans="6:6">
      <c r="F2261" s="1" t="str" cm="1">
        <f t="array" ref="F2261">_xlfn.LET(_xlpm.rowNum,MATCH(E2261,'glossaryterms-export'!C:C,0),
IF(AND(NOT(ISBLANK(INDEX('glossaryterms-export'!H:H,_xlpm.rowNum))),ISBLANK(INDEX('glossaryterms-export'!I:I,_xlpm.rowNum))),"Ready to Fix",""))</f>
        <v/>
      </c>
    </row>
    <row r="2262" spans="6:6">
      <c r="F2262" s="1" t="str" cm="1">
        <f t="array" ref="F2262">_xlfn.LET(_xlpm.rowNum,MATCH(E2262,'glossaryterms-export'!C:C,0),
IF(AND(NOT(ISBLANK(INDEX('glossaryterms-export'!H:H,_xlpm.rowNum))),ISBLANK(INDEX('glossaryterms-export'!I:I,_xlpm.rowNum))),"Ready to Fix",""))</f>
        <v/>
      </c>
    </row>
    <row r="2263" spans="6:6">
      <c r="F2263" s="1" t="str" cm="1">
        <f t="array" ref="F2263">_xlfn.LET(_xlpm.rowNum,MATCH(E2263,'glossaryterms-export'!C:C,0),
IF(AND(NOT(ISBLANK(INDEX('glossaryterms-export'!H:H,_xlpm.rowNum))),ISBLANK(INDEX('glossaryterms-export'!I:I,_xlpm.rowNum))),"Ready to Fix",""))</f>
        <v/>
      </c>
    </row>
    <row r="2264" spans="6:6">
      <c r="F2264" s="1" t="str" cm="1">
        <f t="array" ref="F2264">_xlfn.LET(_xlpm.rowNum,MATCH(E2264,'glossaryterms-export'!C:C,0),
IF(AND(NOT(ISBLANK(INDEX('glossaryterms-export'!H:H,_xlpm.rowNum))),ISBLANK(INDEX('glossaryterms-export'!I:I,_xlpm.rowNum))),"Ready to Fix",""))</f>
        <v/>
      </c>
    </row>
    <row r="2265" spans="6:6">
      <c r="F2265" s="1" t="str" cm="1">
        <f t="array" ref="F2265">_xlfn.LET(_xlpm.rowNum,MATCH(E2265,'glossaryterms-export'!C:C,0),
IF(AND(NOT(ISBLANK(INDEX('glossaryterms-export'!H:H,_xlpm.rowNum))),ISBLANK(INDEX('glossaryterms-export'!I:I,_xlpm.rowNum))),"Ready to Fix",""))</f>
        <v/>
      </c>
    </row>
    <row r="2266" spans="6:6">
      <c r="F2266" s="1" t="str" cm="1">
        <f t="array" ref="F2266">_xlfn.LET(_xlpm.rowNum,MATCH(E2266,'glossaryterms-export'!C:C,0),
IF(AND(NOT(ISBLANK(INDEX('glossaryterms-export'!H:H,_xlpm.rowNum))),ISBLANK(INDEX('glossaryterms-export'!I:I,_xlpm.rowNum))),"Ready to Fix",""))</f>
        <v/>
      </c>
    </row>
    <row r="2267" spans="6:6">
      <c r="F2267" s="1" t="str" cm="1">
        <f t="array" ref="F2267">_xlfn.LET(_xlpm.rowNum,MATCH(E2267,'glossaryterms-export'!C:C,0),
IF(AND(NOT(ISBLANK(INDEX('glossaryterms-export'!H:H,_xlpm.rowNum))),ISBLANK(INDEX('glossaryterms-export'!I:I,_xlpm.rowNum))),"Ready to Fix",""))</f>
        <v/>
      </c>
    </row>
    <row r="2268" spans="6:6">
      <c r="F2268" s="1" t="str" cm="1">
        <f t="array" ref="F2268">_xlfn.LET(_xlpm.rowNum,MATCH(E2268,'glossaryterms-export'!C:C,0),
IF(AND(NOT(ISBLANK(INDEX('glossaryterms-export'!H:H,_xlpm.rowNum))),ISBLANK(INDEX('glossaryterms-export'!I:I,_xlpm.rowNum))),"Ready to Fix",""))</f>
        <v/>
      </c>
    </row>
    <row r="2269" spans="6:6">
      <c r="F2269" s="1" t="str" cm="1">
        <f t="array" ref="F2269">_xlfn.LET(_xlpm.rowNum,MATCH(E2269,'glossaryterms-export'!C:C,0),
IF(AND(NOT(ISBLANK(INDEX('glossaryterms-export'!H:H,_xlpm.rowNum))),ISBLANK(INDEX('glossaryterms-export'!I:I,_xlpm.rowNum))),"Ready to Fix",""))</f>
        <v/>
      </c>
    </row>
    <row r="2270" spans="6:6">
      <c r="F2270" s="1" t="str" cm="1">
        <f t="array" ref="F2270">_xlfn.LET(_xlpm.rowNum,MATCH(E2270,'glossaryterms-export'!C:C,0),
IF(AND(NOT(ISBLANK(INDEX('glossaryterms-export'!H:H,_xlpm.rowNum))),ISBLANK(INDEX('glossaryterms-export'!I:I,_xlpm.rowNum))),"Ready to Fix",""))</f>
        <v/>
      </c>
    </row>
    <row r="2271" spans="6:6">
      <c r="F2271" s="1" t="str" cm="1">
        <f t="array" ref="F2271">_xlfn.LET(_xlpm.rowNum,MATCH(E2271,'glossaryterms-export'!C:C,0),
IF(AND(NOT(ISBLANK(INDEX('glossaryterms-export'!H:H,_xlpm.rowNum))),ISBLANK(INDEX('glossaryterms-export'!I:I,_xlpm.rowNum))),"Ready to Fix",""))</f>
        <v/>
      </c>
    </row>
    <row r="2272" spans="6:6">
      <c r="F2272" s="1" t="str" cm="1">
        <f t="array" ref="F2272">_xlfn.LET(_xlpm.rowNum,MATCH(E2272,'glossaryterms-export'!C:C,0),
IF(AND(NOT(ISBLANK(INDEX('glossaryterms-export'!H:H,_xlpm.rowNum))),ISBLANK(INDEX('glossaryterms-export'!I:I,_xlpm.rowNum))),"Ready to Fix",""))</f>
        <v/>
      </c>
    </row>
    <row r="2273" spans="6:6">
      <c r="F2273" s="1" t="str" cm="1">
        <f t="array" ref="F2273">_xlfn.LET(_xlpm.rowNum,MATCH(E2273,'glossaryterms-export'!C:C,0),
IF(AND(NOT(ISBLANK(INDEX('glossaryterms-export'!H:H,_xlpm.rowNum))),ISBLANK(INDEX('glossaryterms-export'!I:I,_xlpm.rowNum))),"Ready to Fix",""))</f>
        <v/>
      </c>
    </row>
    <row r="2274" spans="6:6">
      <c r="F2274" s="1" t="str" cm="1">
        <f t="array" ref="F2274">_xlfn.LET(_xlpm.rowNum,MATCH(E2274,'glossaryterms-export'!C:C,0),
IF(AND(NOT(ISBLANK(INDEX('glossaryterms-export'!H:H,_xlpm.rowNum))),ISBLANK(INDEX('glossaryterms-export'!I:I,_xlpm.rowNum))),"Ready to Fix",""))</f>
        <v/>
      </c>
    </row>
    <row r="2275" spans="6:6">
      <c r="F2275" s="1" t="str" cm="1">
        <f t="array" ref="F2275">_xlfn.LET(_xlpm.rowNum,MATCH(E2275,'glossaryterms-export'!C:C,0),
IF(AND(NOT(ISBLANK(INDEX('glossaryterms-export'!H:H,_xlpm.rowNum))),ISBLANK(INDEX('glossaryterms-export'!I:I,_xlpm.rowNum))),"Ready to Fix",""))</f>
        <v/>
      </c>
    </row>
    <row r="2276" spans="6:6">
      <c r="F2276" s="1" t="str" cm="1">
        <f t="array" ref="F2276">_xlfn.LET(_xlpm.rowNum,MATCH(E2276,'glossaryterms-export'!C:C,0),
IF(AND(NOT(ISBLANK(INDEX('glossaryterms-export'!H:H,_xlpm.rowNum))),ISBLANK(INDEX('glossaryterms-export'!I:I,_xlpm.rowNum))),"Ready to Fix",""))</f>
        <v/>
      </c>
    </row>
    <row r="2277" spans="6:6">
      <c r="F2277" s="1" t="str" cm="1">
        <f t="array" ref="F2277">_xlfn.LET(_xlpm.rowNum,MATCH(E2277,'glossaryterms-export'!C:C,0),
IF(AND(NOT(ISBLANK(INDEX('glossaryterms-export'!H:H,_xlpm.rowNum))),ISBLANK(INDEX('glossaryterms-export'!I:I,_xlpm.rowNum))),"Ready to Fix",""))</f>
        <v/>
      </c>
    </row>
    <row r="2278" spans="6:6">
      <c r="F2278" s="1" t="str" cm="1">
        <f t="array" ref="F2278">_xlfn.LET(_xlpm.rowNum,MATCH(E2278,'glossaryterms-export'!C:C,0),
IF(AND(NOT(ISBLANK(INDEX('glossaryterms-export'!H:H,_xlpm.rowNum))),ISBLANK(INDEX('glossaryterms-export'!I:I,_xlpm.rowNum))),"Ready to Fix",""))</f>
        <v/>
      </c>
    </row>
    <row r="2279" spans="6:6">
      <c r="F2279" s="1" t="str" cm="1">
        <f t="array" ref="F2279">_xlfn.LET(_xlpm.rowNum,MATCH(E2279,'glossaryterms-export'!C:C,0),
IF(AND(NOT(ISBLANK(INDEX('glossaryterms-export'!H:H,_xlpm.rowNum))),ISBLANK(INDEX('glossaryterms-export'!I:I,_xlpm.rowNum))),"Ready to Fix",""))</f>
        <v/>
      </c>
    </row>
    <row r="2280" spans="6:6">
      <c r="F2280" s="1" t="str" cm="1">
        <f t="array" ref="F2280">_xlfn.LET(_xlpm.rowNum,MATCH(E2280,'glossaryterms-export'!C:C,0),
IF(AND(NOT(ISBLANK(INDEX('glossaryterms-export'!H:H,_xlpm.rowNum))),ISBLANK(INDEX('glossaryterms-export'!I:I,_xlpm.rowNum))),"Ready to Fix",""))</f>
        <v/>
      </c>
    </row>
    <row r="2281" spans="6:6">
      <c r="F2281" s="1" t="str" cm="1">
        <f t="array" ref="F2281">_xlfn.LET(_xlpm.rowNum,MATCH(E2281,'glossaryterms-export'!C:C,0),
IF(AND(NOT(ISBLANK(INDEX('glossaryterms-export'!H:H,_xlpm.rowNum))),ISBLANK(INDEX('glossaryterms-export'!I:I,_xlpm.rowNum))),"Ready to Fix",""))</f>
        <v/>
      </c>
    </row>
    <row r="2282" spans="6:6">
      <c r="F2282" s="1" t="str" cm="1">
        <f t="array" ref="F2282">_xlfn.LET(_xlpm.rowNum,MATCH(E2282,'glossaryterms-export'!C:C,0),
IF(AND(NOT(ISBLANK(INDEX('glossaryterms-export'!H:H,_xlpm.rowNum))),ISBLANK(INDEX('glossaryterms-export'!I:I,_xlpm.rowNum))),"Ready to Fix",""))</f>
        <v/>
      </c>
    </row>
    <row r="2283" spans="6:6">
      <c r="F2283" s="1" t="str" cm="1">
        <f t="array" ref="F2283">_xlfn.LET(_xlpm.rowNum,MATCH(E2283,'glossaryterms-export'!C:C,0),
IF(AND(NOT(ISBLANK(INDEX('glossaryterms-export'!H:H,_xlpm.rowNum))),ISBLANK(INDEX('glossaryterms-export'!I:I,_xlpm.rowNum))),"Ready to Fix",""))</f>
        <v/>
      </c>
    </row>
    <row r="2284" spans="6:6">
      <c r="F2284" s="1" t="str" cm="1">
        <f t="array" ref="F2284">_xlfn.LET(_xlpm.rowNum,MATCH(E2284,'glossaryterms-export'!C:C,0),
IF(AND(NOT(ISBLANK(INDEX('glossaryterms-export'!H:H,_xlpm.rowNum))),ISBLANK(INDEX('glossaryterms-export'!I:I,_xlpm.rowNum))),"Ready to Fix",""))</f>
        <v/>
      </c>
    </row>
    <row r="2285" spans="6:6">
      <c r="F2285" s="1" t="str" cm="1">
        <f t="array" ref="F2285">_xlfn.LET(_xlpm.rowNum,MATCH(E2285,'glossaryterms-export'!C:C,0),
IF(AND(NOT(ISBLANK(INDEX('glossaryterms-export'!H:H,_xlpm.rowNum))),ISBLANK(INDEX('glossaryterms-export'!I:I,_xlpm.rowNum))),"Ready to Fix",""))</f>
        <v/>
      </c>
    </row>
    <row r="2286" spans="6:6">
      <c r="F2286" s="1" t="str" cm="1">
        <f t="array" ref="F2286">_xlfn.LET(_xlpm.rowNum,MATCH(E2286,'glossaryterms-export'!C:C,0),
IF(AND(NOT(ISBLANK(INDEX('glossaryterms-export'!H:H,_xlpm.rowNum))),ISBLANK(INDEX('glossaryterms-export'!I:I,_xlpm.rowNum))),"Ready to Fix",""))</f>
        <v/>
      </c>
    </row>
    <row r="2287" spans="6:6">
      <c r="F2287" s="1" t="str" cm="1">
        <f t="array" ref="F2287">_xlfn.LET(_xlpm.rowNum,MATCH(E2287,'glossaryterms-export'!C:C,0),
IF(AND(NOT(ISBLANK(INDEX('glossaryterms-export'!H:H,_xlpm.rowNum))),ISBLANK(INDEX('glossaryterms-export'!I:I,_xlpm.rowNum))),"Ready to Fix",""))</f>
        <v/>
      </c>
    </row>
    <row r="2288" spans="6:6">
      <c r="F2288" s="1" t="str" cm="1">
        <f t="array" ref="F2288">_xlfn.LET(_xlpm.rowNum,MATCH(E2288,'glossaryterms-export'!C:C,0),
IF(AND(NOT(ISBLANK(INDEX('glossaryterms-export'!H:H,_xlpm.rowNum))),ISBLANK(INDEX('glossaryterms-export'!I:I,_xlpm.rowNum))),"Ready to Fix",""))</f>
        <v/>
      </c>
    </row>
    <row r="2289" spans="6:6">
      <c r="F2289" s="1" t="str" cm="1">
        <f t="array" ref="F2289">_xlfn.LET(_xlpm.rowNum,MATCH(E2289,'glossaryterms-export'!C:C,0),
IF(AND(NOT(ISBLANK(INDEX('glossaryterms-export'!H:H,_xlpm.rowNum))),ISBLANK(INDEX('glossaryterms-export'!I:I,_xlpm.rowNum))),"Ready to Fix",""))</f>
        <v/>
      </c>
    </row>
    <row r="2290" spans="6:6">
      <c r="F2290" s="1" t="str" cm="1">
        <f t="array" ref="F2290">_xlfn.LET(_xlpm.rowNum,MATCH(E2290,'glossaryterms-export'!C:C,0),
IF(AND(NOT(ISBLANK(INDEX('glossaryterms-export'!H:H,_xlpm.rowNum))),ISBLANK(INDEX('glossaryterms-export'!I:I,_xlpm.rowNum))),"Ready to Fix",""))</f>
        <v/>
      </c>
    </row>
    <row r="2291" spans="6:6">
      <c r="F2291" s="1" t="str" cm="1">
        <f t="array" ref="F2291">_xlfn.LET(_xlpm.rowNum,MATCH(E2291,'glossaryterms-export'!C:C,0),
IF(AND(NOT(ISBLANK(INDEX('glossaryterms-export'!H:H,_xlpm.rowNum))),ISBLANK(INDEX('glossaryterms-export'!I:I,_xlpm.rowNum))),"Ready to Fix",""))</f>
        <v/>
      </c>
    </row>
    <row r="2292" spans="6:6">
      <c r="F2292" s="1" t="str" cm="1">
        <f t="array" ref="F2292">_xlfn.LET(_xlpm.rowNum,MATCH(E2292,'glossaryterms-export'!C:C,0),
IF(AND(NOT(ISBLANK(INDEX('glossaryterms-export'!H:H,_xlpm.rowNum))),ISBLANK(INDEX('glossaryterms-export'!I:I,_xlpm.rowNum))),"Ready to Fix",""))</f>
        <v/>
      </c>
    </row>
    <row r="2293" spans="6:6">
      <c r="F2293" s="1" t="str" cm="1">
        <f t="array" ref="F2293">_xlfn.LET(_xlpm.rowNum,MATCH(E2293,'glossaryterms-export'!C:C,0),
IF(AND(NOT(ISBLANK(INDEX('glossaryterms-export'!H:H,_xlpm.rowNum))),ISBLANK(INDEX('glossaryterms-export'!I:I,_xlpm.rowNum))),"Ready to Fix",""))</f>
        <v/>
      </c>
    </row>
    <row r="2294" spans="6:6">
      <c r="F2294" s="1" t="str" cm="1">
        <f t="array" ref="F2294">_xlfn.LET(_xlpm.rowNum,MATCH(E2294,'glossaryterms-export'!C:C,0),
IF(AND(NOT(ISBLANK(INDEX('glossaryterms-export'!H:H,_xlpm.rowNum))),ISBLANK(INDEX('glossaryterms-export'!I:I,_xlpm.rowNum))),"Ready to Fix",""))</f>
        <v/>
      </c>
    </row>
    <row r="2295" spans="6:6">
      <c r="F2295" s="1" t="str" cm="1">
        <f t="array" ref="F2295">_xlfn.LET(_xlpm.rowNum,MATCH(E2295,'glossaryterms-export'!C:C,0),
IF(AND(NOT(ISBLANK(INDEX('glossaryterms-export'!H:H,_xlpm.rowNum))),ISBLANK(INDEX('glossaryterms-export'!I:I,_xlpm.rowNum))),"Ready to Fix",""))</f>
        <v/>
      </c>
    </row>
    <row r="2296" spans="6:6">
      <c r="F2296" s="1" t="str" cm="1">
        <f t="array" ref="F2296">_xlfn.LET(_xlpm.rowNum,MATCH(E2296,'glossaryterms-export'!C:C,0),
IF(AND(NOT(ISBLANK(INDEX('glossaryterms-export'!H:H,_xlpm.rowNum))),ISBLANK(INDEX('glossaryterms-export'!I:I,_xlpm.rowNum))),"Ready to Fix",""))</f>
        <v/>
      </c>
    </row>
    <row r="2297" spans="6:6">
      <c r="F2297" s="1" t="str" cm="1">
        <f t="array" ref="F2297">_xlfn.LET(_xlpm.rowNum,MATCH(E2297,'glossaryterms-export'!C:C,0),
IF(AND(NOT(ISBLANK(INDEX('glossaryterms-export'!H:H,_xlpm.rowNum))),ISBLANK(INDEX('glossaryterms-export'!I:I,_xlpm.rowNum))),"Ready to Fix",""))</f>
        <v/>
      </c>
    </row>
    <row r="2298" spans="6:6">
      <c r="F2298" s="1" t="str" cm="1">
        <f t="array" ref="F2298">_xlfn.LET(_xlpm.rowNum,MATCH(E2298,'glossaryterms-export'!C:C,0),
IF(AND(NOT(ISBLANK(INDEX('glossaryterms-export'!H:H,_xlpm.rowNum))),ISBLANK(INDEX('glossaryterms-export'!I:I,_xlpm.rowNum))),"Ready to Fix",""))</f>
        <v/>
      </c>
    </row>
    <row r="2299" spans="6:6">
      <c r="F2299" s="1" t="str" cm="1">
        <f t="array" ref="F2299">_xlfn.LET(_xlpm.rowNum,MATCH(E2299,'glossaryterms-export'!C:C,0),
IF(AND(NOT(ISBLANK(INDEX('glossaryterms-export'!H:H,_xlpm.rowNum))),ISBLANK(INDEX('glossaryterms-export'!I:I,_xlpm.rowNum))),"Ready to Fix",""))</f>
        <v/>
      </c>
    </row>
    <row r="2300" spans="6:6">
      <c r="F2300" s="1" t="str" cm="1">
        <f t="array" ref="F2300">_xlfn.LET(_xlpm.rowNum,MATCH(E2300,'glossaryterms-export'!C:C,0),
IF(AND(NOT(ISBLANK(INDEX('glossaryterms-export'!H:H,_xlpm.rowNum))),ISBLANK(INDEX('glossaryterms-export'!I:I,_xlpm.rowNum))),"Ready to Fix",""))</f>
        <v/>
      </c>
    </row>
    <row r="2301" spans="6:6">
      <c r="F2301" s="1" t="str" cm="1">
        <f t="array" ref="F2301">_xlfn.LET(_xlpm.rowNum,MATCH(E2301,'glossaryterms-export'!C:C,0),
IF(AND(NOT(ISBLANK(INDEX('glossaryterms-export'!H:H,_xlpm.rowNum))),ISBLANK(INDEX('glossaryterms-export'!I:I,_xlpm.rowNum))),"Ready to Fix",""))</f>
        <v/>
      </c>
    </row>
    <row r="2302" spans="6:6">
      <c r="F2302" s="1" t="str" cm="1">
        <f t="array" ref="F2302">_xlfn.LET(_xlpm.rowNum,MATCH(E2302,'glossaryterms-export'!C:C,0),
IF(AND(NOT(ISBLANK(INDEX('glossaryterms-export'!H:H,_xlpm.rowNum))),ISBLANK(INDEX('glossaryterms-export'!I:I,_xlpm.rowNum))),"Ready to Fix",""))</f>
        <v/>
      </c>
    </row>
    <row r="2303" spans="6:6">
      <c r="F2303" s="1" t="str" cm="1">
        <f t="array" ref="F2303">_xlfn.LET(_xlpm.rowNum,MATCH(E2303,'glossaryterms-export'!C:C,0),
IF(AND(NOT(ISBLANK(INDEX('glossaryterms-export'!H:H,_xlpm.rowNum))),ISBLANK(INDEX('glossaryterms-export'!I:I,_xlpm.rowNum))),"Ready to Fix",""))</f>
        <v/>
      </c>
    </row>
    <row r="2304" spans="6:6">
      <c r="F2304" s="1" t="str" cm="1">
        <f t="array" ref="F2304">_xlfn.LET(_xlpm.rowNum,MATCH(E2304,'glossaryterms-export'!C:C,0),
IF(AND(NOT(ISBLANK(INDEX('glossaryterms-export'!H:H,_xlpm.rowNum))),ISBLANK(INDEX('glossaryterms-export'!I:I,_xlpm.rowNum))),"Ready to Fix",""))</f>
        <v/>
      </c>
    </row>
    <row r="2305" spans="6:6">
      <c r="F2305" s="1" t="str" cm="1">
        <f t="array" ref="F2305">_xlfn.LET(_xlpm.rowNum,MATCH(E2305,'glossaryterms-export'!C:C,0),
IF(AND(NOT(ISBLANK(INDEX('glossaryterms-export'!H:H,_xlpm.rowNum))),ISBLANK(INDEX('glossaryterms-export'!I:I,_xlpm.rowNum))),"Ready to Fix",""))</f>
        <v/>
      </c>
    </row>
    <row r="2306" spans="6:6">
      <c r="F2306" s="1" t="str" cm="1">
        <f t="array" ref="F2306">_xlfn.LET(_xlpm.rowNum,MATCH(E2306,'glossaryterms-export'!C:C,0),
IF(AND(NOT(ISBLANK(INDEX('glossaryterms-export'!H:H,_xlpm.rowNum))),ISBLANK(INDEX('glossaryterms-export'!I:I,_xlpm.rowNum))),"Ready to Fix",""))</f>
        <v/>
      </c>
    </row>
    <row r="2307" spans="6:6">
      <c r="F2307" s="1" t="str" cm="1">
        <f t="array" ref="F2307">_xlfn.LET(_xlpm.rowNum,MATCH(E2307,'glossaryterms-export'!C:C,0),
IF(AND(NOT(ISBLANK(INDEX('glossaryterms-export'!H:H,_xlpm.rowNum))),ISBLANK(INDEX('glossaryterms-export'!I:I,_xlpm.rowNum))),"Ready to Fix",""))</f>
        <v/>
      </c>
    </row>
    <row r="2308" spans="6:6">
      <c r="F2308" s="1" t="str" cm="1">
        <f t="array" ref="F2308">_xlfn.LET(_xlpm.rowNum,MATCH(E2308,'glossaryterms-export'!C:C,0),
IF(AND(NOT(ISBLANK(INDEX('glossaryterms-export'!H:H,_xlpm.rowNum))),ISBLANK(INDEX('glossaryterms-export'!I:I,_xlpm.rowNum))),"Ready to Fix",""))</f>
        <v/>
      </c>
    </row>
    <row r="2309" spans="6:6">
      <c r="F2309" s="1" t="str" cm="1">
        <f t="array" ref="F2309">_xlfn.LET(_xlpm.rowNum,MATCH(E2309,'glossaryterms-export'!C:C,0),
IF(AND(NOT(ISBLANK(INDEX('glossaryterms-export'!H:H,_xlpm.rowNum))),ISBLANK(INDEX('glossaryterms-export'!I:I,_xlpm.rowNum))),"Ready to Fix",""))</f>
        <v/>
      </c>
    </row>
    <row r="2310" spans="6:6">
      <c r="F2310" s="1" t="str" cm="1">
        <f t="array" ref="F2310">_xlfn.LET(_xlpm.rowNum,MATCH(E2310,'glossaryterms-export'!C:C,0),
IF(AND(NOT(ISBLANK(INDEX('glossaryterms-export'!H:H,_xlpm.rowNum))),ISBLANK(INDEX('glossaryterms-export'!I:I,_xlpm.rowNum))),"Ready to Fix",""))</f>
        <v/>
      </c>
    </row>
    <row r="2311" spans="6:6">
      <c r="F2311" s="1" t="str" cm="1">
        <f t="array" ref="F2311">_xlfn.LET(_xlpm.rowNum,MATCH(E2311,'glossaryterms-export'!C:C,0),
IF(AND(NOT(ISBLANK(INDEX('glossaryterms-export'!H:H,_xlpm.rowNum))),ISBLANK(INDEX('glossaryterms-export'!I:I,_xlpm.rowNum))),"Ready to Fix",""))</f>
        <v/>
      </c>
    </row>
    <row r="2312" spans="6:6">
      <c r="F2312" s="1" t="str" cm="1">
        <f t="array" ref="F2312">_xlfn.LET(_xlpm.rowNum,MATCH(E2312,'glossaryterms-export'!C:C,0),
IF(AND(NOT(ISBLANK(INDEX('glossaryterms-export'!H:H,_xlpm.rowNum))),ISBLANK(INDEX('glossaryterms-export'!I:I,_xlpm.rowNum))),"Ready to Fix",""))</f>
        <v/>
      </c>
    </row>
    <row r="2313" spans="6:6">
      <c r="F2313" s="1" t="str" cm="1">
        <f t="array" ref="F2313">_xlfn.LET(_xlpm.rowNum,MATCH(E2313,'glossaryterms-export'!C:C,0),
IF(AND(NOT(ISBLANK(INDEX('glossaryterms-export'!H:H,_xlpm.rowNum))),ISBLANK(INDEX('glossaryterms-export'!I:I,_xlpm.rowNum))),"Ready to Fix",""))</f>
        <v/>
      </c>
    </row>
    <row r="2314" spans="6:6">
      <c r="F2314" s="1" t="str" cm="1">
        <f t="array" ref="F2314">_xlfn.LET(_xlpm.rowNum,MATCH(E2314,'glossaryterms-export'!C:C,0),
IF(AND(NOT(ISBLANK(INDEX('glossaryterms-export'!H:H,_xlpm.rowNum))),ISBLANK(INDEX('glossaryterms-export'!I:I,_xlpm.rowNum))),"Ready to Fix",""))</f>
        <v/>
      </c>
    </row>
    <row r="2315" spans="6:6">
      <c r="F2315" s="1" t="str" cm="1">
        <f t="array" ref="F2315">_xlfn.LET(_xlpm.rowNum,MATCH(E2315,'glossaryterms-export'!C:C,0),
IF(AND(NOT(ISBLANK(INDEX('glossaryterms-export'!H:H,_xlpm.rowNum))),ISBLANK(INDEX('glossaryterms-export'!I:I,_xlpm.rowNum))),"Ready to Fix",""))</f>
        <v/>
      </c>
    </row>
    <row r="2316" spans="6:6">
      <c r="F2316" s="1" t="str" cm="1">
        <f t="array" ref="F2316">_xlfn.LET(_xlpm.rowNum,MATCH(E2316,'glossaryterms-export'!C:C,0),
IF(AND(NOT(ISBLANK(INDEX('glossaryterms-export'!H:H,_xlpm.rowNum))),ISBLANK(INDEX('glossaryterms-export'!I:I,_xlpm.rowNum))),"Ready to Fix",""))</f>
        <v/>
      </c>
    </row>
    <row r="2317" spans="6:6">
      <c r="F2317" s="1" t="str" cm="1">
        <f t="array" ref="F2317">_xlfn.LET(_xlpm.rowNum,MATCH(E2317,'glossaryterms-export'!C:C,0),
IF(AND(NOT(ISBLANK(INDEX('glossaryterms-export'!H:H,_xlpm.rowNum))),ISBLANK(INDEX('glossaryterms-export'!I:I,_xlpm.rowNum))),"Ready to Fix",""))</f>
        <v/>
      </c>
    </row>
    <row r="2318" spans="6:6">
      <c r="F2318" s="1" t="str" cm="1">
        <f t="array" ref="F2318">_xlfn.LET(_xlpm.rowNum,MATCH(E2318,'glossaryterms-export'!C:C,0),
IF(AND(NOT(ISBLANK(INDEX('glossaryterms-export'!H:H,_xlpm.rowNum))),ISBLANK(INDEX('glossaryterms-export'!I:I,_xlpm.rowNum))),"Ready to Fix",""))</f>
        <v/>
      </c>
    </row>
    <row r="2319" spans="6:6">
      <c r="F2319" s="1" t="str" cm="1">
        <f t="array" ref="F2319">_xlfn.LET(_xlpm.rowNum,MATCH(E2319,'glossaryterms-export'!C:C,0),
IF(AND(NOT(ISBLANK(INDEX('glossaryterms-export'!H:H,_xlpm.rowNum))),ISBLANK(INDEX('glossaryterms-export'!I:I,_xlpm.rowNum))),"Ready to Fix",""))</f>
        <v/>
      </c>
    </row>
    <row r="2320" spans="6:6">
      <c r="F2320" s="1" t="str" cm="1">
        <f t="array" ref="F2320">_xlfn.LET(_xlpm.rowNum,MATCH(E2320,'glossaryterms-export'!C:C,0),
IF(AND(NOT(ISBLANK(INDEX('glossaryterms-export'!H:H,_xlpm.rowNum))),ISBLANK(INDEX('glossaryterms-export'!I:I,_xlpm.rowNum))),"Ready to Fix",""))</f>
        <v/>
      </c>
    </row>
    <row r="2321" spans="6:6">
      <c r="F2321" s="1" t="str" cm="1">
        <f t="array" ref="F2321">_xlfn.LET(_xlpm.rowNum,MATCH(E2321,'glossaryterms-export'!C:C,0),
IF(AND(NOT(ISBLANK(INDEX('glossaryterms-export'!H:H,_xlpm.rowNum))),ISBLANK(INDEX('glossaryterms-export'!I:I,_xlpm.rowNum))),"Ready to Fix",""))</f>
        <v/>
      </c>
    </row>
    <row r="2322" spans="6:6">
      <c r="F2322" s="1" t="str" cm="1">
        <f t="array" ref="F2322">_xlfn.LET(_xlpm.rowNum,MATCH(E2322,'glossaryterms-export'!C:C,0),
IF(AND(NOT(ISBLANK(INDEX('glossaryterms-export'!H:H,_xlpm.rowNum))),ISBLANK(INDEX('glossaryterms-export'!I:I,_xlpm.rowNum))),"Ready to Fix",""))</f>
        <v/>
      </c>
    </row>
    <row r="2323" spans="6:6">
      <c r="F2323" s="1" t="str" cm="1">
        <f t="array" ref="F2323">_xlfn.LET(_xlpm.rowNum,MATCH(E2323,'glossaryterms-export'!C:C,0),
IF(AND(NOT(ISBLANK(INDEX('glossaryterms-export'!H:H,_xlpm.rowNum))),ISBLANK(INDEX('glossaryterms-export'!I:I,_xlpm.rowNum))),"Ready to Fix",""))</f>
        <v/>
      </c>
    </row>
    <row r="2324" spans="6:6">
      <c r="F2324" s="1" t="str" cm="1">
        <f t="array" ref="F2324">_xlfn.LET(_xlpm.rowNum,MATCH(E2324,'glossaryterms-export'!C:C,0),
IF(AND(NOT(ISBLANK(INDEX('glossaryterms-export'!H:H,_xlpm.rowNum))),ISBLANK(INDEX('glossaryterms-export'!I:I,_xlpm.rowNum))),"Ready to Fix",""))</f>
        <v/>
      </c>
    </row>
    <row r="2325" spans="6:6">
      <c r="F2325" s="1" t="str" cm="1">
        <f t="array" ref="F2325">_xlfn.LET(_xlpm.rowNum,MATCH(E2325,'glossaryterms-export'!C:C,0),
IF(AND(NOT(ISBLANK(INDEX('glossaryterms-export'!H:H,_xlpm.rowNum))),ISBLANK(INDEX('glossaryterms-export'!I:I,_xlpm.rowNum))),"Ready to Fix",""))</f>
        <v/>
      </c>
    </row>
    <row r="2326" spans="6:6">
      <c r="F2326" s="1" t="str" cm="1">
        <f t="array" ref="F2326">_xlfn.LET(_xlpm.rowNum,MATCH(E2326,'glossaryterms-export'!C:C,0),
IF(AND(NOT(ISBLANK(INDEX('glossaryterms-export'!H:H,_xlpm.rowNum))),ISBLANK(INDEX('glossaryterms-export'!I:I,_xlpm.rowNum))),"Ready to Fix",""))</f>
        <v/>
      </c>
    </row>
    <row r="2327" spans="6:6">
      <c r="F2327" s="1" t="str" cm="1">
        <f t="array" ref="F2327">_xlfn.LET(_xlpm.rowNum,MATCH(E2327,'glossaryterms-export'!C:C,0),
IF(AND(NOT(ISBLANK(INDEX('glossaryterms-export'!H:H,_xlpm.rowNum))),ISBLANK(INDEX('glossaryterms-export'!I:I,_xlpm.rowNum))),"Ready to Fix",""))</f>
        <v/>
      </c>
    </row>
    <row r="2328" spans="6:6">
      <c r="F2328" s="1" t="str" cm="1">
        <f t="array" ref="F2328">_xlfn.LET(_xlpm.rowNum,MATCH(E2328,'glossaryterms-export'!C:C,0),
IF(AND(NOT(ISBLANK(INDEX('glossaryterms-export'!H:H,_xlpm.rowNum))),ISBLANK(INDEX('glossaryterms-export'!I:I,_xlpm.rowNum))),"Ready to Fix",""))</f>
        <v/>
      </c>
    </row>
    <row r="2329" spans="6:6">
      <c r="F2329" s="1" t="str" cm="1">
        <f t="array" ref="F2329">_xlfn.LET(_xlpm.rowNum,MATCH(E2329,'glossaryterms-export'!C:C,0),
IF(AND(NOT(ISBLANK(INDEX('glossaryterms-export'!H:H,_xlpm.rowNum))),ISBLANK(INDEX('glossaryterms-export'!I:I,_xlpm.rowNum))),"Ready to Fix",""))</f>
        <v/>
      </c>
    </row>
    <row r="2330" spans="6:6">
      <c r="F2330" s="1" t="str" cm="1">
        <f t="array" ref="F2330">_xlfn.LET(_xlpm.rowNum,MATCH(E2330,'glossaryterms-export'!C:C,0),
IF(AND(NOT(ISBLANK(INDEX('glossaryterms-export'!H:H,_xlpm.rowNum))),ISBLANK(INDEX('glossaryterms-export'!I:I,_xlpm.rowNum))),"Ready to Fix",""))</f>
        <v/>
      </c>
    </row>
    <row r="2331" spans="6:6">
      <c r="F2331" s="1" t="str" cm="1">
        <f t="array" ref="F2331">_xlfn.LET(_xlpm.rowNum,MATCH(E2331,'glossaryterms-export'!C:C,0),
IF(AND(NOT(ISBLANK(INDEX('glossaryterms-export'!H:H,_xlpm.rowNum))),ISBLANK(INDEX('glossaryterms-export'!I:I,_xlpm.rowNum))),"Ready to Fix",""))</f>
        <v/>
      </c>
    </row>
    <row r="2332" spans="6:6">
      <c r="F2332" s="1" t="str" cm="1">
        <f t="array" ref="F2332">_xlfn.LET(_xlpm.rowNum,MATCH(E2332,'glossaryterms-export'!C:C,0),
IF(AND(NOT(ISBLANK(INDEX('glossaryterms-export'!H:H,_xlpm.rowNum))),ISBLANK(INDEX('glossaryterms-export'!I:I,_xlpm.rowNum))),"Ready to Fix",""))</f>
        <v/>
      </c>
    </row>
    <row r="2333" spans="6:6">
      <c r="F2333" s="1" t="str" cm="1">
        <f t="array" ref="F2333">_xlfn.LET(_xlpm.rowNum,MATCH(E2333,'glossaryterms-export'!C:C,0),
IF(AND(NOT(ISBLANK(INDEX('glossaryterms-export'!H:H,_xlpm.rowNum))),ISBLANK(INDEX('glossaryterms-export'!I:I,_xlpm.rowNum))),"Ready to Fix",""))</f>
        <v/>
      </c>
    </row>
    <row r="2334" spans="6:6">
      <c r="F2334" s="1" t="str" cm="1">
        <f t="array" ref="F2334">_xlfn.LET(_xlpm.rowNum,MATCH(E2334,'glossaryterms-export'!C:C,0),
IF(AND(NOT(ISBLANK(INDEX('glossaryterms-export'!H:H,_xlpm.rowNum))),ISBLANK(INDEX('glossaryterms-export'!I:I,_xlpm.rowNum))),"Ready to Fix",""))</f>
        <v/>
      </c>
    </row>
    <row r="2335" spans="6:6">
      <c r="F2335" s="1" t="str" cm="1">
        <f t="array" ref="F2335">_xlfn.LET(_xlpm.rowNum,MATCH(E2335,'glossaryterms-export'!C:C,0),
IF(AND(NOT(ISBLANK(INDEX('glossaryterms-export'!H:H,_xlpm.rowNum))),ISBLANK(INDEX('glossaryterms-export'!I:I,_xlpm.rowNum))),"Ready to Fix",""))</f>
        <v/>
      </c>
    </row>
    <row r="2336" spans="6:6">
      <c r="F2336" s="1" t="str" cm="1">
        <f t="array" ref="F2336">_xlfn.LET(_xlpm.rowNum,MATCH(E2336,'glossaryterms-export'!C:C,0),
IF(AND(NOT(ISBLANK(INDEX('glossaryterms-export'!H:H,_xlpm.rowNum))),ISBLANK(INDEX('glossaryterms-export'!I:I,_xlpm.rowNum))),"Ready to Fix",""))</f>
        <v/>
      </c>
    </row>
    <row r="2337" spans="6:6">
      <c r="F2337" s="1" t="str" cm="1">
        <f t="array" ref="F2337">_xlfn.LET(_xlpm.rowNum,MATCH(E2337,'glossaryterms-export'!C:C,0),
IF(AND(NOT(ISBLANK(INDEX('glossaryterms-export'!H:H,_xlpm.rowNum))),ISBLANK(INDEX('glossaryterms-export'!I:I,_xlpm.rowNum))),"Ready to Fix",""))</f>
        <v/>
      </c>
    </row>
    <row r="2338" spans="6:6">
      <c r="F2338" s="1" t="str" cm="1">
        <f t="array" ref="F2338">_xlfn.LET(_xlpm.rowNum,MATCH(E2338,'glossaryterms-export'!C:C,0),
IF(AND(NOT(ISBLANK(INDEX('glossaryterms-export'!H:H,_xlpm.rowNum))),ISBLANK(INDEX('glossaryterms-export'!I:I,_xlpm.rowNum))),"Ready to Fix",""))</f>
        <v/>
      </c>
    </row>
    <row r="2339" spans="6:6">
      <c r="F2339" s="1" t="str" cm="1">
        <f t="array" ref="F2339">_xlfn.LET(_xlpm.rowNum,MATCH(E2339,'glossaryterms-export'!C:C,0),
IF(AND(NOT(ISBLANK(INDEX('glossaryterms-export'!H:H,_xlpm.rowNum))),ISBLANK(INDEX('glossaryterms-export'!I:I,_xlpm.rowNum))),"Ready to Fix",""))</f>
        <v/>
      </c>
    </row>
    <row r="2340" spans="6:6">
      <c r="F2340" s="1" t="str" cm="1">
        <f t="array" ref="F2340">_xlfn.LET(_xlpm.rowNum,MATCH(E2340,'glossaryterms-export'!C:C,0),
IF(AND(NOT(ISBLANK(INDEX('glossaryterms-export'!H:H,_xlpm.rowNum))),ISBLANK(INDEX('glossaryterms-export'!I:I,_xlpm.rowNum))),"Ready to Fix",""))</f>
        <v/>
      </c>
    </row>
    <row r="2341" spans="6:6">
      <c r="F2341" s="1" t="str" cm="1">
        <f t="array" ref="F2341">_xlfn.LET(_xlpm.rowNum,MATCH(E2341,'glossaryterms-export'!C:C,0),
IF(AND(NOT(ISBLANK(INDEX('glossaryterms-export'!H:H,_xlpm.rowNum))),ISBLANK(INDEX('glossaryterms-export'!I:I,_xlpm.rowNum))),"Ready to Fix",""))</f>
        <v/>
      </c>
    </row>
    <row r="2342" spans="6:6">
      <c r="F2342" s="1" t="str" cm="1">
        <f t="array" ref="F2342">_xlfn.LET(_xlpm.rowNum,MATCH(E2342,'glossaryterms-export'!C:C,0),
IF(AND(NOT(ISBLANK(INDEX('glossaryterms-export'!H:H,_xlpm.rowNum))),ISBLANK(INDEX('glossaryterms-export'!I:I,_xlpm.rowNum))),"Ready to Fix",""))</f>
        <v/>
      </c>
    </row>
    <row r="2343" spans="6:6">
      <c r="F2343" s="1" t="str" cm="1">
        <f t="array" ref="F2343">_xlfn.LET(_xlpm.rowNum,MATCH(E2343,'glossaryterms-export'!C:C,0),
IF(AND(NOT(ISBLANK(INDEX('glossaryterms-export'!H:H,_xlpm.rowNum))),ISBLANK(INDEX('glossaryterms-export'!I:I,_xlpm.rowNum))),"Ready to Fix",""))</f>
        <v/>
      </c>
    </row>
    <row r="2344" spans="6:6">
      <c r="F2344" s="1" t="str" cm="1">
        <f t="array" ref="F2344">_xlfn.LET(_xlpm.rowNum,MATCH(E2344,'glossaryterms-export'!C:C,0),
IF(AND(NOT(ISBLANK(INDEX('glossaryterms-export'!H:H,_xlpm.rowNum))),ISBLANK(INDEX('glossaryterms-export'!I:I,_xlpm.rowNum))),"Ready to Fix",""))</f>
        <v/>
      </c>
    </row>
    <row r="2345" spans="6:6">
      <c r="F2345" s="1" t="str" cm="1">
        <f t="array" ref="F2345">_xlfn.LET(_xlpm.rowNum,MATCH(E2345,'glossaryterms-export'!C:C,0),
IF(AND(NOT(ISBLANK(INDEX('glossaryterms-export'!H:H,_xlpm.rowNum))),ISBLANK(INDEX('glossaryterms-export'!I:I,_xlpm.rowNum))),"Ready to Fix",""))</f>
        <v/>
      </c>
    </row>
    <row r="2346" spans="6:6">
      <c r="F2346" s="1" t="str" cm="1">
        <f t="array" ref="F2346">_xlfn.LET(_xlpm.rowNum,MATCH(E2346,'glossaryterms-export'!C:C,0),
IF(AND(NOT(ISBLANK(INDEX('glossaryterms-export'!H:H,_xlpm.rowNum))),ISBLANK(INDEX('glossaryterms-export'!I:I,_xlpm.rowNum))),"Ready to Fix",""))</f>
        <v/>
      </c>
    </row>
    <row r="2347" spans="6:6">
      <c r="F2347" s="1" t="str" cm="1">
        <f t="array" ref="F2347">_xlfn.LET(_xlpm.rowNum,MATCH(E2347,'glossaryterms-export'!C:C,0),
IF(AND(NOT(ISBLANK(INDEX('glossaryterms-export'!H:H,_xlpm.rowNum))),ISBLANK(INDEX('glossaryterms-export'!I:I,_xlpm.rowNum))),"Ready to Fix",""))</f>
        <v/>
      </c>
    </row>
    <row r="2348" spans="6:6">
      <c r="F2348" s="1" t="str" cm="1">
        <f t="array" ref="F2348">_xlfn.LET(_xlpm.rowNum,MATCH(E2348,'glossaryterms-export'!C:C,0),
IF(AND(NOT(ISBLANK(INDEX('glossaryterms-export'!H:H,_xlpm.rowNum))),ISBLANK(INDEX('glossaryterms-export'!I:I,_xlpm.rowNum))),"Ready to Fix",""))</f>
        <v/>
      </c>
    </row>
    <row r="2349" spans="6:6">
      <c r="F2349" s="1" t="str" cm="1">
        <f t="array" ref="F2349">_xlfn.LET(_xlpm.rowNum,MATCH(E2349,'glossaryterms-export'!C:C,0),
IF(AND(NOT(ISBLANK(INDEX('glossaryterms-export'!H:H,_xlpm.rowNum))),ISBLANK(INDEX('glossaryterms-export'!I:I,_xlpm.rowNum))),"Ready to Fix",""))</f>
        <v/>
      </c>
    </row>
    <row r="2350" spans="6:6">
      <c r="F2350" s="1" t="str" cm="1">
        <f t="array" ref="F2350">_xlfn.LET(_xlpm.rowNum,MATCH(E2350,'glossaryterms-export'!C:C,0),
IF(AND(NOT(ISBLANK(INDEX('glossaryterms-export'!H:H,_xlpm.rowNum))),ISBLANK(INDEX('glossaryterms-export'!I:I,_xlpm.rowNum))),"Ready to Fix",""))</f>
        <v/>
      </c>
    </row>
    <row r="2351" spans="6:6">
      <c r="F2351" s="1" t="str" cm="1">
        <f t="array" ref="F2351">_xlfn.LET(_xlpm.rowNum,MATCH(E2351,'glossaryterms-export'!C:C,0),
IF(AND(NOT(ISBLANK(INDEX('glossaryterms-export'!H:H,_xlpm.rowNum))),ISBLANK(INDEX('glossaryterms-export'!I:I,_xlpm.rowNum))),"Ready to Fix",""))</f>
        <v/>
      </c>
    </row>
    <row r="2352" spans="6:6">
      <c r="F2352" s="1" t="str" cm="1">
        <f t="array" ref="F2352">_xlfn.LET(_xlpm.rowNum,MATCH(E2352,'glossaryterms-export'!C:C,0),
IF(AND(NOT(ISBLANK(INDEX('glossaryterms-export'!H:H,_xlpm.rowNum))),ISBLANK(INDEX('glossaryterms-export'!I:I,_xlpm.rowNum))),"Ready to Fix",""))</f>
        <v/>
      </c>
    </row>
    <row r="2353" spans="6:6">
      <c r="F2353" s="1" t="str" cm="1">
        <f t="array" ref="F2353">_xlfn.LET(_xlpm.rowNum,MATCH(E2353,'glossaryterms-export'!C:C,0),
IF(AND(NOT(ISBLANK(INDEX('glossaryterms-export'!H:H,_xlpm.rowNum))),ISBLANK(INDEX('glossaryterms-export'!I:I,_xlpm.rowNum))),"Ready to Fix",""))</f>
        <v/>
      </c>
    </row>
    <row r="2354" spans="6:6">
      <c r="F2354" s="1" t="str" cm="1">
        <f t="array" ref="F2354">_xlfn.LET(_xlpm.rowNum,MATCH(E2354,'glossaryterms-export'!C:C,0),
IF(AND(NOT(ISBLANK(INDEX('glossaryterms-export'!H:H,_xlpm.rowNum))),ISBLANK(INDEX('glossaryterms-export'!I:I,_xlpm.rowNum))),"Ready to Fix",""))</f>
        <v/>
      </c>
    </row>
    <row r="2355" spans="6:6">
      <c r="F2355" s="1" t="str" cm="1">
        <f t="array" ref="F2355">_xlfn.LET(_xlpm.rowNum,MATCH(E2355,'glossaryterms-export'!C:C,0),
IF(AND(NOT(ISBLANK(INDEX('glossaryterms-export'!H:H,_xlpm.rowNum))),ISBLANK(INDEX('glossaryterms-export'!I:I,_xlpm.rowNum))),"Ready to Fix",""))</f>
        <v/>
      </c>
    </row>
    <row r="2356" spans="6:6">
      <c r="F2356" s="1" t="str" cm="1">
        <f t="array" ref="F2356">_xlfn.LET(_xlpm.rowNum,MATCH(E2356,'glossaryterms-export'!C:C,0),
IF(AND(NOT(ISBLANK(INDEX('glossaryterms-export'!H:H,_xlpm.rowNum))),ISBLANK(INDEX('glossaryterms-export'!I:I,_xlpm.rowNum))),"Ready to Fix",""))</f>
        <v/>
      </c>
    </row>
    <row r="2357" spans="6:6">
      <c r="F2357" s="1" t="str" cm="1">
        <f t="array" ref="F2357">_xlfn.LET(_xlpm.rowNum,MATCH(E2357,'glossaryterms-export'!C:C,0),
IF(AND(NOT(ISBLANK(INDEX('glossaryterms-export'!H:H,_xlpm.rowNum))),ISBLANK(INDEX('glossaryterms-export'!I:I,_xlpm.rowNum))),"Ready to Fix",""))</f>
        <v/>
      </c>
    </row>
    <row r="2358" spans="6:6">
      <c r="F2358" s="1" t="str" cm="1">
        <f t="array" ref="F2358">_xlfn.LET(_xlpm.rowNum,MATCH(E2358,'glossaryterms-export'!C:C,0),
IF(AND(NOT(ISBLANK(INDEX('glossaryterms-export'!H:H,_xlpm.rowNum))),ISBLANK(INDEX('glossaryterms-export'!I:I,_xlpm.rowNum))),"Ready to Fix",""))</f>
        <v/>
      </c>
    </row>
    <row r="2359" spans="6:6">
      <c r="F2359" s="1" t="str" cm="1">
        <f t="array" ref="F2359">_xlfn.LET(_xlpm.rowNum,MATCH(E2359,'glossaryterms-export'!C:C,0),
IF(AND(NOT(ISBLANK(INDEX('glossaryterms-export'!H:H,_xlpm.rowNum))),ISBLANK(INDEX('glossaryterms-export'!I:I,_xlpm.rowNum))),"Ready to Fix",""))</f>
        <v/>
      </c>
    </row>
    <row r="2360" spans="6:6">
      <c r="F2360" s="1" t="str" cm="1">
        <f t="array" ref="F2360">_xlfn.LET(_xlpm.rowNum,MATCH(E2360,'glossaryterms-export'!C:C,0),
IF(AND(NOT(ISBLANK(INDEX('glossaryterms-export'!H:H,_xlpm.rowNum))),ISBLANK(INDEX('glossaryterms-export'!I:I,_xlpm.rowNum))),"Ready to Fix",""))</f>
        <v/>
      </c>
    </row>
    <row r="2361" spans="6:6">
      <c r="F2361" s="1" t="str" cm="1">
        <f t="array" ref="F2361">_xlfn.LET(_xlpm.rowNum,MATCH(E2361,'glossaryterms-export'!C:C,0),
IF(AND(NOT(ISBLANK(INDEX('glossaryterms-export'!H:H,_xlpm.rowNum))),ISBLANK(INDEX('glossaryterms-export'!I:I,_xlpm.rowNum))),"Ready to Fix",""))</f>
        <v/>
      </c>
    </row>
    <row r="2362" spans="6:6">
      <c r="F2362" s="1" t="str" cm="1">
        <f t="array" ref="F2362">_xlfn.LET(_xlpm.rowNum,MATCH(E2362,'glossaryterms-export'!C:C,0),
IF(AND(NOT(ISBLANK(INDEX('glossaryterms-export'!H:H,_xlpm.rowNum))),ISBLANK(INDEX('glossaryterms-export'!I:I,_xlpm.rowNum))),"Ready to Fix",""))</f>
        <v/>
      </c>
    </row>
    <row r="2363" spans="6:6">
      <c r="F2363" s="1" t="str" cm="1">
        <f t="array" ref="F2363">_xlfn.LET(_xlpm.rowNum,MATCH(E2363,'glossaryterms-export'!C:C,0),
IF(AND(NOT(ISBLANK(INDEX('glossaryterms-export'!H:H,_xlpm.rowNum))),ISBLANK(INDEX('glossaryterms-export'!I:I,_xlpm.rowNum))),"Ready to Fix",""))</f>
        <v/>
      </c>
    </row>
    <row r="2364" spans="6:6">
      <c r="F2364" s="1" t="str" cm="1">
        <f t="array" ref="F2364">_xlfn.LET(_xlpm.rowNum,MATCH(E2364,'glossaryterms-export'!C:C,0),
IF(AND(NOT(ISBLANK(INDEX('glossaryterms-export'!H:H,_xlpm.rowNum))),ISBLANK(INDEX('glossaryterms-export'!I:I,_xlpm.rowNum))),"Ready to Fix",""))</f>
        <v/>
      </c>
    </row>
    <row r="2365" spans="6:6">
      <c r="F2365" s="1" t="str" cm="1">
        <f t="array" ref="F2365">_xlfn.LET(_xlpm.rowNum,MATCH(E2365,'glossaryterms-export'!C:C,0),
IF(AND(NOT(ISBLANK(INDEX('glossaryterms-export'!H:H,_xlpm.rowNum))),ISBLANK(INDEX('glossaryterms-export'!I:I,_xlpm.rowNum))),"Ready to Fix",""))</f>
        <v/>
      </c>
    </row>
    <row r="2366" spans="6:6">
      <c r="F2366" s="1" t="str" cm="1">
        <f t="array" ref="F2366">_xlfn.LET(_xlpm.rowNum,MATCH(E2366,'glossaryterms-export'!C:C,0),
IF(AND(NOT(ISBLANK(INDEX('glossaryterms-export'!H:H,_xlpm.rowNum))),ISBLANK(INDEX('glossaryterms-export'!I:I,_xlpm.rowNum))),"Ready to Fix",""))</f>
        <v/>
      </c>
    </row>
    <row r="2367" spans="6:6">
      <c r="F2367" s="1" t="str" cm="1">
        <f t="array" ref="F2367">_xlfn.LET(_xlpm.rowNum,MATCH(E2367,'glossaryterms-export'!C:C,0),
IF(AND(NOT(ISBLANK(INDEX('glossaryterms-export'!H:H,_xlpm.rowNum))),ISBLANK(INDEX('glossaryterms-export'!I:I,_xlpm.rowNum))),"Ready to Fix",""))</f>
        <v/>
      </c>
    </row>
    <row r="2368" spans="6:6">
      <c r="F2368" s="1" t="str" cm="1">
        <f t="array" ref="F2368">_xlfn.LET(_xlpm.rowNum,MATCH(E2368,'glossaryterms-export'!C:C,0),
IF(AND(NOT(ISBLANK(INDEX('glossaryterms-export'!H:H,_xlpm.rowNum))),ISBLANK(INDEX('glossaryterms-export'!I:I,_xlpm.rowNum))),"Ready to Fix",""))</f>
        <v/>
      </c>
    </row>
    <row r="2369" spans="6:6">
      <c r="F2369" s="1" t="str" cm="1">
        <f t="array" ref="F2369">_xlfn.LET(_xlpm.rowNum,MATCH(E2369,'glossaryterms-export'!C:C,0),
IF(AND(NOT(ISBLANK(INDEX('glossaryterms-export'!H:H,_xlpm.rowNum))),ISBLANK(INDEX('glossaryterms-export'!I:I,_xlpm.rowNum))),"Ready to Fix",""))</f>
        <v/>
      </c>
    </row>
    <row r="2370" spans="6:6">
      <c r="F2370" s="1" t="str" cm="1">
        <f t="array" ref="F2370">_xlfn.LET(_xlpm.rowNum,MATCH(E2370,'glossaryterms-export'!C:C,0),
IF(AND(NOT(ISBLANK(INDEX('glossaryterms-export'!H:H,_xlpm.rowNum))),ISBLANK(INDEX('glossaryterms-export'!I:I,_xlpm.rowNum))),"Ready to Fix",""))</f>
        <v/>
      </c>
    </row>
    <row r="2371" spans="6:6">
      <c r="F2371" s="1" t="str" cm="1">
        <f t="array" ref="F2371">_xlfn.LET(_xlpm.rowNum,MATCH(E2371,'glossaryterms-export'!C:C,0),
IF(AND(NOT(ISBLANK(INDEX('glossaryterms-export'!H:H,_xlpm.rowNum))),ISBLANK(INDEX('glossaryterms-export'!I:I,_xlpm.rowNum))),"Ready to Fix",""))</f>
        <v/>
      </c>
    </row>
    <row r="2372" spans="6:6">
      <c r="F2372" s="1" t="str" cm="1">
        <f t="array" ref="F2372">_xlfn.LET(_xlpm.rowNum,MATCH(E2372,'glossaryterms-export'!C:C,0),
IF(AND(NOT(ISBLANK(INDEX('glossaryterms-export'!H:H,_xlpm.rowNum))),ISBLANK(INDEX('glossaryterms-export'!I:I,_xlpm.rowNum))),"Ready to Fix",""))</f>
        <v/>
      </c>
    </row>
    <row r="2373" spans="6:6">
      <c r="F2373" s="1" t="str" cm="1">
        <f t="array" ref="F2373">_xlfn.LET(_xlpm.rowNum,MATCH(E2373,'glossaryterms-export'!C:C,0),
IF(AND(NOT(ISBLANK(INDEX('glossaryterms-export'!H:H,_xlpm.rowNum))),ISBLANK(INDEX('glossaryterms-export'!I:I,_xlpm.rowNum))),"Ready to Fix",""))</f>
        <v/>
      </c>
    </row>
    <row r="2374" spans="6:6">
      <c r="F2374" s="1" t="str" cm="1">
        <f t="array" ref="F2374">_xlfn.LET(_xlpm.rowNum,MATCH(E2374,'glossaryterms-export'!C:C,0),
IF(AND(NOT(ISBLANK(INDEX('glossaryterms-export'!H:H,_xlpm.rowNum))),ISBLANK(INDEX('glossaryterms-export'!I:I,_xlpm.rowNum))),"Ready to Fix",""))</f>
        <v/>
      </c>
    </row>
    <row r="2375" spans="6:6">
      <c r="F2375" s="1" t="str" cm="1">
        <f t="array" ref="F2375">_xlfn.LET(_xlpm.rowNum,MATCH(E2375,'glossaryterms-export'!C:C,0),
IF(AND(NOT(ISBLANK(INDEX('glossaryterms-export'!H:H,_xlpm.rowNum))),ISBLANK(INDEX('glossaryterms-export'!I:I,_xlpm.rowNum))),"Ready to Fix",""))</f>
        <v/>
      </c>
    </row>
    <row r="2376" spans="6:6">
      <c r="F2376" s="1" t="str" cm="1">
        <f t="array" ref="F2376">_xlfn.LET(_xlpm.rowNum,MATCH(E2376,'glossaryterms-export'!C:C,0),
IF(AND(NOT(ISBLANK(INDEX('glossaryterms-export'!H:H,_xlpm.rowNum))),ISBLANK(INDEX('glossaryterms-export'!I:I,_xlpm.rowNum))),"Ready to Fix",""))</f>
        <v/>
      </c>
    </row>
    <row r="2377" spans="6:6">
      <c r="F2377" s="1" t="str" cm="1">
        <f t="array" ref="F2377">_xlfn.LET(_xlpm.rowNum,MATCH(E2377,'glossaryterms-export'!C:C,0),
IF(AND(NOT(ISBLANK(INDEX('glossaryterms-export'!H:H,_xlpm.rowNum))),ISBLANK(INDEX('glossaryterms-export'!I:I,_xlpm.rowNum))),"Ready to Fix",""))</f>
        <v/>
      </c>
    </row>
    <row r="2378" spans="6:6">
      <c r="F2378" s="1" t="str" cm="1">
        <f t="array" ref="F2378">_xlfn.LET(_xlpm.rowNum,MATCH(E2378,'glossaryterms-export'!C:C,0),
IF(AND(NOT(ISBLANK(INDEX('glossaryterms-export'!H:H,_xlpm.rowNum))),ISBLANK(INDEX('glossaryterms-export'!I:I,_xlpm.rowNum))),"Ready to Fix",""))</f>
        <v/>
      </c>
    </row>
    <row r="2379" spans="6:6">
      <c r="F2379" s="1" t="str" cm="1">
        <f t="array" ref="F2379">_xlfn.LET(_xlpm.rowNum,MATCH(E2379,'glossaryterms-export'!C:C,0),
IF(AND(NOT(ISBLANK(INDEX('glossaryterms-export'!H:H,_xlpm.rowNum))),ISBLANK(INDEX('glossaryterms-export'!I:I,_xlpm.rowNum))),"Ready to Fix",""))</f>
        <v/>
      </c>
    </row>
    <row r="2380" spans="6:6">
      <c r="F2380" s="1" t="str" cm="1">
        <f t="array" ref="F2380">_xlfn.LET(_xlpm.rowNum,MATCH(E2380,'glossaryterms-export'!C:C,0),
IF(AND(NOT(ISBLANK(INDEX('glossaryterms-export'!H:H,_xlpm.rowNum))),ISBLANK(INDEX('glossaryterms-export'!I:I,_xlpm.rowNum))),"Ready to Fix",""))</f>
        <v/>
      </c>
    </row>
    <row r="2381" spans="6:6">
      <c r="F2381" s="1" t="str" cm="1">
        <f t="array" ref="F2381">_xlfn.LET(_xlpm.rowNum,MATCH(E2381,'glossaryterms-export'!C:C,0),
IF(AND(NOT(ISBLANK(INDEX('glossaryterms-export'!H:H,_xlpm.rowNum))),ISBLANK(INDEX('glossaryterms-export'!I:I,_xlpm.rowNum))),"Ready to Fix",""))</f>
        <v/>
      </c>
    </row>
    <row r="2382" spans="6:6">
      <c r="F2382" s="1" t="str" cm="1">
        <f t="array" ref="F2382">_xlfn.LET(_xlpm.rowNum,MATCH(E2382,'glossaryterms-export'!C:C,0),
IF(AND(NOT(ISBLANK(INDEX('glossaryterms-export'!H:H,_xlpm.rowNum))),ISBLANK(INDEX('glossaryterms-export'!I:I,_xlpm.rowNum))),"Ready to Fix",""))</f>
        <v/>
      </c>
    </row>
    <row r="2383" spans="6:6">
      <c r="F2383" s="1" t="str" cm="1">
        <f t="array" ref="F2383">_xlfn.LET(_xlpm.rowNum,MATCH(E2383,'glossaryterms-export'!C:C,0),
IF(AND(NOT(ISBLANK(INDEX('glossaryterms-export'!H:H,_xlpm.rowNum))),ISBLANK(INDEX('glossaryterms-export'!I:I,_xlpm.rowNum))),"Ready to Fix",""))</f>
        <v/>
      </c>
    </row>
    <row r="2384" spans="6:6">
      <c r="F2384" s="1" t="str" cm="1">
        <f t="array" ref="F2384">_xlfn.LET(_xlpm.rowNum,MATCH(E2384,'glossaryterms-export'!C:C,0),
IF(AND(NOT(ISBLANK(INDEX('glossaryterms-export'!H:H,_xlpm.rowNum))),ISBLANK(INDEX('glossaryterms-export'!I:I,_xlpm.rowNum))),"Ready to Fix",""))</f>
        <v/>
      </c>
    </row>
    <row r="2385" spans="6:6">
      <c r="F2385" s="1" t="str" cm="1">
        <f t="array" ref="F2385">_xlfn.LET(_xlpm.rowNum,MATCH(E2385,'glossaryterms-export'!C:C,0),
IF(AND(NOT(ISBLANK(INDEX('glossaryterms-export'!H:H,_xlpm.rowNum))),ISBLANK(INDEX('glossaryterms-export'!I:I,_xlpm.rowNum))),"Ready to Fix",""))</f>
        <v/>
      </c>
    </row>
    <row r="2386" spans="6:6">
      <c r="F2386" s="1" t="str" cm="1">
        <f t="array" ref="F2386">_xlfn.LET(_xlpm.rowNum,MATCH(E2386,'glossaryterms-export'!C:C,0),
IF(AND(NOT(ISBLANK(INDEX('glossaryterms-export'!H:H,_xlpm.rowNum))),ISBLANK(INDEX('glossaryterms-export'!I:I,_xlpm.rowNum))),"Ready to Fix",""))</f>
        <v/>
      </c>
    </row>
    <row r="2387" spans="6:6">
      <c r="F2387" s="1" t="str" cm="1">
        <f t="array" ref="F2387">_xlfn.LET(_xlpm.rowNum,MATCH(E2387,'glossaryterms-export'!C:C,0),
IF(AND(NOT(ISBLANK(INDEX('glossaryterms-export'!H:H,_xlpm.rowNum))),ISBLANK(INDEX('glossaryterms-export'!I:I,_xlpm.rowNum))),"Ready to Fix",""))</f>
        <v/>
      </c>
    </row>
    <row r="2388" spans="6:6">
      <c r="F2388" s="1" t="str" cm="1">
        <f t="array" ref="F2388">_xlfn.LET(_xlpm.rowNum,MATCH(E2388,'glossaryterms-export'!C:C,0),
IF(AND(NOT(ISBLANK(INDEX('glossaryterms-export'!H:H,_xlpm.rowNum))),ISBLANK(INDEX('glossaryterms-export'!I:I,_xlpm.rowNum))),"Ready to Fix",""))</f>
        <v/>
      </c>
    </row>
    <row r="2389" spans="6:6">
      <c r="F2389" s="1" t="str" cm="1">
        <f t="array" ref="F2389">_xlfn.LET(_xlpm.rowNum,MATCH(E2389,'glossaryterms-export'!C:C,0),
IF(AND(NOT(ISBLANK(INDEX('glossaryterms-export'!H:H,_xlpm.rowNum))),ISBLANK(INDEX('glossaryterms-export'!I:I,_xlpm.rowNum))),"Ready to Fix",""))</f>
        <v/>
      </c>
    </row>
    <row r="2390" spans="6:6">
      <c r="F2390" s="1" t="str" cm="1">
        <f t="array" ref="F2390">_xlfn.LET(_xlpm.rowNum,MATCH(E2390,'glossaryterms-export'!C:C,0),
IF(AND(NOT(ISBLANK(INDEX('glossaryterms-export'!H:H,_xlpm.rowNum))),ISBLANK(INDEX('glossaryterms-export'!I:I,_xlpm.rowNum))),"Ready to Fix",""))</f>
        <v/>
      </c>
    </row>
    <row r="2391" spans="6:6">
      <c r="F2391" s="1" t="str" cm="1">
        <f t="array" ref="F2391">_xlfn.LET(_xlpm.rowNum,MATCH(E2391,'glossaryterms-export'!C:C,0),
IF(AND(NOT(ISBLANK(INDEX('glossaryterms-export'!H:H,_xlpm.rowNum))),ISBLANK(INDEX('glossaryterms-export'!I:I,_xlpm.rowNum))),"Ready to Fix",""))</f>
        <v/>
      </c>
    </row>
    <row r="2392" spans="6:6">
      <c r="F2392" s="1" t="str" cm="1">
        <f t="array" ref="F2392">_xlfn.LET(_xlpm.rowNum,MATCH(E2392,'glossaryterms-export'!C:C,0),
IF(AND(NOT(ISBLANK(INDEX('glossaryterms-export'!H:H,_xlpm.rowNum))),ISBLANK(INDEX('glossaryterms-export'!I:I,_xlpm.rowNum))),"Ready to Fix",""))</f>
        <v/>
      </c>
    </row>
    <row r="2393" spans="6:6">
      <c r="F2393" s="1" t="str" cm="1">
        <f t="array" ref="F2393">_xlfn.LET(_xlpm.rowNum,MATCH(E2393,'glossaryterms-export'!C:C,0),
IF(AND(NOT(ISBLANK(INDEX('glossaryterms-export'!H:H,_xlpm.rowNum))),ISBLANK(INDEX('glossaryterms-export'!I:I,_xlpm.rowNum))),"Ready to Fix",""))</f>
        <v/>
      </c>
    </row>
    <row r="2394" spans="6:6">
      <c r="F2394" s="1" t="str" cm="1">
        <f t="array" ref="F2394">_xlfn.LET(_xlpm.rowNum,MATCH(E2394,'glossaryterms-export'!C:C,0),
IF(AND(NOT(ISBLANK(INDEX('glossaryterms-export'!H:H,_xlpm.rowNum))),ISBLANK(INDEX('glossaryterms-export'!I:I,_xlpm.rowNum))),"Ready to Fix",""))</f>
        <v/>
      </c>
    </row>
    <row r="2395" spans="6:6">
      <c r="F2395" s="1" t="str" cm="1">
        <f t="array" ref="F2395">_xlfn.LET(_xlpm.rowNum,MATCH(E2395,'glossaryterms-export'!C:C,0),
IF(AND(NOT(ISBLANK(INDEX('glossaryterms-export'!H:H,_xlpm.rowNum))),ISBLANK(INDEX('glossaryterms-export'!I:I,_xlpm.rowNum))),"Ready to Fix",""))</f>
        <v/>
      </c>
    </row>
    <row r="2396" spans="6:6">
      <c r="F2396" s="1" t="str" cm="1">
        <f t="array" ref="F2396">_xlfn.LET(_xlpm.rowNum,MATCH(E2396,'glossaryterms-export'!C:C,0),
IF(AND(NOT(ISBLANK(INDEX('glossaryterms-export'!H:H,_xlpm.rowNum))),ISBLANK(INDEX('glossaryterms-export'!I:I,_xlpm.rowNum))),"Ready to Fix",""))</f>
        <v/>
      </c>
    </row>
    <row r="2397" spans="6:6">
      <c r="F2397" s="1" t="str" cm="1">
        <f t="array" ref="F2397">_xlfn.LET(_xlpm.rowNum,MATCH(E2397,'glossaryterms-export'!C:C,0),
IF(AND(NOT(ISBLANK(INDEX('glossaryterms-export'!H:H,_xlpm.rowNum))),ISBLANK(INDEX('glossaryterms-export'!I:I,_xlpm.rowNum))),"Ready to Fix",""))</f>
        <v/>
      </c>
    </row>
    <row r="2398" spans="6:6">
      <c r="F2398" s="1" t="str" cm="1">
        <f t="array" ref="F2398">_xlfn.LET(_xlpm.rowNum,MATCH(E2398,'glossaryterms-export'!C:C,0),
IF(AND(NOT(ISBLANK(INDEX('glossaryterms-export'!H:H,_xlpm.rowNum))),ISBLANK(INDEX('glossaryterms-export'!I:I,_xlpm.rowNum))),"Ready to Fix",""))</f>
        <v/>
      </c>
    </row>
    <row r="2399" spans="6:6">
      <c r="F2399" s="1" t="str" cm="1">
        <f t="array" ref="F2399">_xlfn.LET(_xlpm.rowNum,MATCH(E2399,'glossaryterms-export'!C:C,0),
IF(AND(NOT(ISBLANK(INDEX('glossaryterms-export'!H:H,_xlpm.rowNum))),ISBLANK(INDEX('glossaryterms-export'!I:I,_xlpm.rowNum))),"Ready to Fix",""))</f>
        <v/>
      </c>
    </row>
    <row r="2400" spans="6:6">
      <c r="F2400" s="1" t="str" cm="1">
        <f t="array" ref="F2400">_xlfn.LET(_xlpm.rowNum,MATCH(E2400,'glossaryterms-export'!C:C,0),
IF(AND(NOT(ISBLANK(INDEX('glossaryterms-export'!H:H,_xlpm.rowNum))),ISBLANK(INDEX('glossaryterms-export'!I:I,_xlpm.rowNum))),"Ready to Fix",""))</f>
        <v/>
      </c>
    </row>
    <row r="2401" spans="6:6">
      <c r="F2401" s="1" t="str" cm="1">
        <f t="array" ref="F2401">_xlfn.LET(_xlpm.rowNum,MATCH(E2401,'glossaryterms-export'!C:C,0),
IF(AND(NOT(ISBLANK(INDEX('glossaryterms-export'!H:H,_xlpm.rowNum))),ISBLANK(INDEX('glossaryterms-export'!I:I,_xlpm.rowNum))),"Ready to Fix",""))</f>
        <v/>
      </c>
    </row>
    <row r="2402" spans="6:6">
      <c r="F2402" s="1" t="str" cm="1">
        <f t="array" ref="F2402">_xlfn.LET(_xlpm.rowNum,MATCH(E2402,'glossaryterms-export'!C:C,0),
IF(AND(NOT(ISBLANK(INDEX('glossaryterms-export'!H:H,_xlpm.rowNum))),ISBLANK(INDEX('glossaryterms-export'!I:I,_xlpm.rowNum))),"Ready to Fix",""))</f>
        <v/>
      </c>
    </row>
    <row r="2403" spans="6:6">
      <c r="F2403" s="1" t="str" cm="1">
        <f t="array" ref="F2403">_xlfn.LET(_xlpm.rowNum,MATCH(E2403,'glossaryterms-export'!C:C,0),
IF(AND(NOT(ISBLANK(INDEX('glossaryterms-export'!H:H,_xlpm.rowNum))),ISBLANK(INDEX('glossaryterms-export'!I:I,_xlpm.rowNum))),"Ready to Fix",""))</f>
        <v/>
      </c>
    </row>
    <row r="2404" spans="6:6">
      <c r="F2404" s="1" t="str" cm="1">
        <f t="array" ref="F2404">_xlfn.LET(_xlpm.rowNum,MATCH(E2404,'glossaryterms-export'!C:C,0),
IF(AND(NOT(ISBLANK(INDEX('glossaryterms-export'!H:H,_xlpm.rowNum))),ISBLANK(INDEX('glossaryterms-export'!I:I,_xlpm.rowNum))),"Ready to Fix",""))</f>
        <v/>
      </c>
    </row>
    <row r="2405" spans="6:6">
      <c r="F2405" s="1" t="str" cm="1">
        <f t="array" ref="F2405">_xlfn.LET(_xlpm.rowNum,MATCH(E2405,'glossaryterms-export'!C:C,0),
IF(AND(NOT(ISBLANK(INDEX('glossaryterms-export'!H:H,_xlpm.rowNum))),ISBLANK(INDEX('glossaryterms-export'!I:I,_xlpm.rowNum))),"Ready to Fix",""))</f>
        <v/>
      </c>
    </row>
    <row r="2406" spans="6:6">
      <c r="F2406" s="1" t="str" cm="1">
        <f t="array" ref="F2406">_xlfn.LET(_xlpm.rowNum,MATCH(E2406,'glossaryterms-export'!C:C,0),
IF(AND(NOT(ISBLANK(INDEX('glossaryterms-export'!H:H,_xlpm.rowNum))),ISBLANK(INDEX('glossaryterms-export'!I:I,_xlpm.rowNum))),"Ready to Fix",""))</f>
        <v/>
      </c>
    </row>
    <row r="2407" spans="6:6">
      <c r="F2407" s="1" t="str" cm="1">
        <f t="array" ref="F2407">_xlfn.LET(_xlpm.rowNum,MATCH(E2407,'glossaryterms-export'!C:C,0),
IF(AND(NOT(ISBLANK(INDEX('glossaryterms-export'!H:H,_xlpm.rowNum))),ISBLANK(INDEX('glossaryterms-export'!I:I,_xlpm.rowNum))),"Ready to Fix",""))</f>
        <v/>
      </c>
    </row>
    <row r="2408" spans="6:6">
      <c r="F2408" s="1" t="str" cm="1">
        <f t="array" ref="F2408">_xlfn.LET(_xlpm.rowNum,MATCH(E2408,'glossaryterms-export'!C:C,0),
IF(AND(NOT(ISBLANK(INDEX('glossaryterms-export'!H:H,_xlpm.rowNum))),ISBLANK(INDEX('glossaryterms-export'!I:I,_xlpm.rowNum))),"Ready to Fix",""))</f>
        <v/>
      </c>
    </row>
    <row r="2409" spans="6:6">
      <c r="F2409" s="1" t="str" cm="1">
        <f t="array" ref="F2409">_xlfn.LET(_xlpm.rowNum,MATCH(E2409,'glossaryterms-export'!C:C,0),
IF(AND(NOT(ISBLANK(INDEX('glossaryterms-export'!H:H,_xlpm.rowNum))),ISBLANK(INDEX('glossaryterms-export'!I:I,_xlpm.rowNum))),"Ready to Fix",""))</f>
        <v/>
      </c>
    </row>
    <row r="2410" spans="6:6">
      <c r="F2410" s="1" t="str" cm="1">
        <f t="array" ref="F2410">_xlfn.LET(_xlpm.rowNum,MATCH(E2410,'glossaryterms-export'!C:C,0),
IF(AND(NOT(ISBLANK(INDEX('glossaryterms-export'!H:H,_xlpm.rowNum))),ISBLANK(INDEX('glossaryterms-export'!I:I,_xlpm.rowNum))),"Ready to Fix",""))</f>
        <v/>
      </c>
    </row>
    <row r="2411" spans="6:6">
      <c r="F2411" s="1" t="str" cm="1">
        <f t="array" ref="F2411">_xlfn.LET(_xlpm.rowNum,MATCH(E2411,'glossaryterms-export'!C:C,0),
IF(AND(NOT(ISBLANK(INDEX('glossaryterms-export'!H:H,_xlpm.rowNum))),ISBLANK(INDEX('glossaryterms-export'!I:I,_xlpm.rowNum))),"Ready to Fix",""))</f>
        <v/>
      </c>
    </row>
    <row r="2412" spans="6:6">
      <c r="F2412" s="1" t="str" cm="1">
        <f t="array" ref="F2412">_xlfn.LET(_xlpm.rowNum,MATCH(E2412,'glossaryterms-export'!C:C,0),
IF(AND(NOT(ISBLANK(INDEX('glossaryterms-export'!H:H,_xlpm.rowNum))),ISBLANK(INDEX('glossaryterms-export'!I:I,_xlpm.rowNum))),"Ready to Fix",""))</f>
        <v/>
      </c>
    </row>
    <row r="2413" spans="6:6">
      <c r="F2413" s="1" t="str" cm="1">
        <f t="array" ref="F2413">_xlfn.LET(_xlpm.rowNum,MATCH(E2413,'glossaryterms-export'!C:C,0),
IF(AND(NOT(ISBLANK(INDEX('glossaryterms-export'!H:H,_xlpm.rowNum))),ISBLANK(INDEX('glossaryterms-export'!I:I,_xlpm.rowNum))),"Ready to Fix",""))</f>
        <v/>
      </c>
    </row>
    <row r="2414" spans="6:6">
      <c r="F2414" s="1" t="str" cm="1">
        <f t="array" ref="F2414">_xlfn.LET(_xlpm.rowNum,MATCH(E2414,'glossaryterms-export'!C:C,0),
IF(AND(NOT(ISBLANK(INDEX('glossaryterms-export'!H:H,_xlpm.rowNum))),ISBLANK(INDEX('glossaryterms-export'!I:I,_xlpm.rowNum))),"Ready to Fix",""))</f>
        <v/>
      </c>
    </row>
    <row r="2415" spans="6:6">
      <c r="F2415" s="1" t="str" cm="1">
        <f t="array" ref="F2415">_xlfn.LET(_xlpm.rowNum,MATCH(E2415,'glossaryterms-export'!C:C,0),
IF(AND(NOT(ISBLANK(INDEX('glossaryterms-export'!H:H,_xlpm.rowNum))),ISBLANK(INDEX('glossaryterms-export'!I:I,_xlpm.rowNum))),"Ready to Fix",""))</f>
        <v/>
      </c>
    </row>
    <row r="2416" spans="6:6">
      <c r="F2416" s="1" t="str" cm="1">
        <f t="array" ref="F2416">_xlfn.LET(_xlpm.rowNum,MATCH(E2416,'glossaryterms-export'!C:C,0),
IF(AND(NOT(ISBLANK(INDEX('glossaryterms-export'!H:H,_xlpm.rowNum))),ISBLANK(INDEX('glossaryterms-export'!I:I,_xlpm.rowNum))),"Ready to Fix",""))</f>
        <v/>
      </c>
    </row>
    <row r="2417" spans="6:6">
      <c r="F2417" s="1" t="str" cm="1">
        <f t="array" ref="F2417">_xlfn.LET(_xlpm.rowNum,MATCH(E2417,'glossaryterms-export'!C:C,0),
IF(AND(NOT(ISBLANK(INDEX('glossaryterms-export'!H:H,_xlpm.rowNum))),ISBLANK(INDEX('glossaryterms-export'!I:I,_xlpm.rowNum))),"Ready to Fix",""))</f>
        <v/>
      </c>
    </row>
    <row r="2418" spans="6:6">
      <c r="F2418" s="1" t="str" cm="1">
        <f t="array" ref="F2418">_xlfn.LET(_xlpm.rowNum,MATCH(E2418,'glossaryterms-export'!C:C,0),
IF(AND(NOT(ISBLANK(INDEX('glossaryterms-export'!H:H,_xlpm.rowNum))),ISBLANK(INDEX('glossaryterms-export'!I:I,_xlpm.rowNum))),"Ready to Fix",""))</f>
        <v/>
      </c>
    </row>
    <row r="2419" spans="6:6">
      <c r="F2419" s="1" t="str" cm="1">
        <f t="array" ref="F2419">_xlfn.LET(_xlpm.rowNum,MATCH(E2419,'glossaryterms-export'!C:C,0),
IF(AND(NOT(ISBLANK(INDEX('glossaryterms-export'!H:H,_xlpm.rowNum))),ISBLANK(INDEX('glossaryterms-export'!I:I,_xlpm.rowNum))),"Ready to Fix",""))</f>
        <v/>
      </c>
    </row>
    <row r="2420" spans="6:6">
      <c r="F2420" s="1" t="str" cm="1">
        <f t="array" ref="F2420">_xlfn.LET(_xlpm.rowNum,MATCH(E2420,'glossaryterms-export'!C:C,0),
IF(AND(NOT(ISBLANK(INDEX('glossaryterms-export'!H:H,_xlpm.rowNum))),ISBLANK(INDEX('glossaryterms-export'!I:I,_xlpm.rowNum))),"Ready to Fix",""))</f>
        <v/>
      </c>
    </row>
    <row r="2421" spans="6:6">
      <c r="F2421" s="1" t="str" cm="1">
        <f t="array" ref="F2421">_xlfn.LET(_xlpm.rowNum,MATCH(E2421,'glossaryterms-export'!C:C,0),
IF(AND(NOT(ISBLANK(INDEX('glossaryterms-export'!H:H,_xlpm.rowNum))),ISBLANK(INDEX('glossaryterms-export'!I:I,_xlpm.rowNum))),"Ready to Fix",""))</f>
        <v/>
      </c>
    </row>
    <row r="2422" spans="6:6">
      <c r="F2422" s="1" t="str" cm="1">
        <f t="array" ref="F2422">_xlfn.LET(_xlpm.rowNum,MATCH(E2422,'glossaryterms-export'!C:C,0),
IF(AND(NOT(ISBLANK(INDEX('glossaryterms-export'!H:H,_xlpm.rowNum))),ISBLANK(INDEX('glossaryterms-export'!I:I,_xlpm.rowNum))),"Ready to Fix",""))</f>
        <v/>
      </c>
    </row>
    <row r="2423" spans="6:6">
      <c r="F2423" s="1" t="str" cm="1">
        <f t="array" ref="F2423">_xlfn.LET(_xlpm.rowNum,MATCH(E2423,'glossaryterms-export'!C:C,0),
IF(AND(NOT(ISBLANK(INDEX('glossaryterms-export'!H:H,_xlpm.rowNum))),ISBLANK(INDEX('glossaryterms-export'!I:I,_xlpm.rowNum))),"Ready to Fix",""))</f>
        <v/>
      </c>
    </row>
    <row r="2424" spans="6:6">
      <c r="F2424" s="1" t="str" cm="1">
        <f t="array" ref="F2424">_xlfn.LET(_xlpm.rowNum,MATCH(E2424,'glossaryterms-export'!C:C,0),
IF(AND(NOT(ISBLANK(INDEX('glossaryterms-export'!H:H,_xlpm.rowNum))),ISBLANK(INDEX('glossaryterms-export'!I:I,_xlpm.rowNum))),"Ready to Fix",""))</f>
        <v/>
      </c>
    </row>
    <row r="2425" spans="6:6">
      <c r="F2425" s="1" t="str" cm="1">
        <f t="array" ref="F2425">_xlfn.LET(_xlpm.rowNum,MATCH(E2425,'glossaryterms-export'!C:C,0),
IF(AND(NOT(ISBLANK(INDEX('glossaryterms-export'!H:H,_xlpm.rowNum))),ISBLANK(INDEX('glossaryterms-export'!I:I,_xlpm.rowNum))),"Ready to Fix",""))</f>
        <v/>
      </c>
    </row>
    <row r="2426" spans="6:6">
      <c r="F2426" s="1" t="str" cm="1">
        <f t="array" ref="F2426">_xlfn.LET(_xlpm.rowNum,MATCH(E2426,'glossaryterms-export'!C:C,0),
IF(AND(NOT(ISBLANK(INDEX('glossaryterms-export'!H:H,_xlpm.rowNum))),ISBLANK(INDEX('glossaryterms-export'!I:I,_xlpm.rowNum))),"Ready to Fix",""))</f>
        <v/>
      </c>
    </row>
    <row r="2427" spans="6:6">
      <c r="F2427" s="1" t="str" cm="1">
        <f t="array" ref="F2427">_xlfn.LET(_xlpm.rowNum,MATCH(E2427,'glossaryterms-export'!C:C,0),
IF(AND(NOT(ISBLANK(INDEX('glossaryterms-export'!H:H,_xlpm.rowNum))),ISBLANK(INDEX('glossaryterms-export'!I:I,_xlpm.rowNum))),"Ready to Fix",""))</f>
        <v/>
      </c>
    </row>
    <row r="2428" spans="6:6">
      <c r="F2428" s="1" t="str" cm="1">
        <f t="array" ref="F2428">_xlfn.LET(_xlpm.rowNum,MATCH(E2428,'glossaryterms-export'!C:C,0),
IF(AND(NOT(ISBLANK(INDEX('glossaryterms-export'!H:H,_xlpm.rowNum))),ISBLANK(INDEX('glossaryterms-export'!I:I,_xlpm.rowNum))),"Ready to Fix",""))</f>
        <v/>
      </c>
    </row>
    <row r="2429" spans="6:6">
      <c r="F2429" s="1" t="str" cm="1">
        <f t="array" ref="F2429">_xlfn.LET(_xlpm.rowNum,MATCH(E2429,'glossaryterms-export'!C:C,0),
IF(AND(NOT(ISBLANK(INDEX('glossaryterms-export'!H:H,_xlpm.rowNum))),ISBLANK(INDEX('glossaryterms-export'!I:I,_xlpm.rowNum))),"Ready to Fix",""))</f>
        <v/>
      </c>
    </row>
    <row r="2430" spans="6:6">
      <c r="F2430" s="1" t="str" cm="1">
        <f t="array" ref="F2430">_xlfn.LET(_xlpm.rowNum,MATCH(E2430,'glossaryterms-export'!C:C,0),
IF(AND(NOT(ISBLANK(INDEX('glossaryterms-export'!H:H,_xlpm.rowNum))),ISBLANK(INDEX('glossaryterms-export'!I:I,_xlpm.rowNum))),"Ready to Fix",""))</f>
        <v/>
      </c>
    </row>
    <row r="2431" spans="6:6">
      <c r="F2431" s="1" t="str" cm="1">
        <f t="array" ref="F2431">_xlfn.LET(_xlpm.rowNum,MATCH(E2431,'glossaryterms-export'!C:C,0),
IF(AND(NOT(ISBLANK(INDEX('glossaryterms-export'!H:H,_xlpm.rowNum))),ISBLANK(INDEX('glossaryterms-export'!I:I,_xlpm.rowNum))),"Ready to Fix",""))</f>
        <v/>
      </c>
    </row>
    <row r="2432" spans="6:6">
      <c r="F2432" s="1" t="str" cm="1">
        <f t="array" ref="F2432">_xlfn.LET(_xlpm.rowNum,MATCH(E2432,'glossaryterms-export'!C:C,0),
IF(AND(NOT(ISBLANK(INDEX('glossaryterms-export'!H:H,_xlpm.rowNum))),ISBLANK(INDEX('glossaryterms-export'!I:I,_xlpm.rowNum))),"Ready to Fix",""))</f>
        <v/>
      </c>
    </row>
    <row r="2433" spans="6:6">
      <c r="F2433" s="1" t="str" cm="1">
        <f t="array" ref="F2433">_xlfn.LET(_xlpm.rowNum,MATCH(E2433,'glossaryterms-export'!C:C,0),
IF(AND(NOT(ISBLANK(INDEX('glossaryterms-export'!H:H,_xlpm.rowNum))),ISBLANK(INDEX('glossaryterms-export'!I:I,_xlpm.rowNum))),"Ready to Fix",""))</f>
        <v/>
      </c>
    </row>
    <row r="2434" spans="6:6">
      <c r="F2434" s="1" t="str" cm="1">
        <f t="array" ref="F2434">_xlfn.LET(_xlpm.rowNum,MATCH(E2434,'glossaryterms-export'!C:C,0),
IF(AND(NOT(ISBLANK(INDEX('glossaryterms-export'!H:H,_xlpm.rowNum))),ISBLANK(INDEX('glossaryterms-export'!I:I,_xlpm.rowNum))),"Ready to Fix",""))</f>
        <v/>
      </c>
    </row>
    <row r="2435" spans="6:6">
      <c r="F2435" s="1" t="str" cm="1">
        <f t="array" ref="F2435">_xlfn.LET(_xlpm.rowNum,MATCH(E2435,'glossaryterms-export'!C:C,0),
IF(AND(NOT(ISBLANK(INDEX('glossaryterms-export'!H:H,_xlpm.rowNum))),ISBLANK(INDEX('glossaryterms-export'!I:I,_xlpm.rowNum))),"Ready to Fix",""))</f>
        <v/>
      </c>
    </row>
    <row r="2436" spans="6:6">
      <c r="F2436" s="1" t="str" cm="1">
        <f t="array" ref="F2436">_xlfn.LET(_xlpm.rowNum,MATCH(E2436,'glossaryterms-export'!C:C,0),
IF(AND(NOT(ISBLANK(INDEX('glossaryterms-export'!H:H,_xlpm.rowNum))),ISBLANK(INDEX('glossaryterms-export'!I:I,_xlpm.rowNum))),"Ready to Fix",""))</f>
        <v/>
      </c>
    </row>
    <row r="2437" spans="6:6">
      <c r="F2437" s="1" t="str" cm="1">
        <f t="array" ref="F2437">_xlfn.LET(_xlpm.rowNum,MATCH(E2437,'glossaryterms-export'!C:C,0),
IF(AND(NOT(ISBLANK(INDEX('glossaryterms-export'!H:H,_xlpm.rowNum))),ISBLANK(INDEX('glossaryterms-export'!I:I,_xlpm.rowNum))),"Ready to Fix",""))</f>
        <v/>
      </c>
    </row>
    <row r="2438" spans="6:6">
      <c r="F2438" s="1" t="str" cm="1">
        <f t="array" ref="F2438">_xlfn.LET(_xlpm.rowNum,MATCH(E2438,'glossaryterms-export'!C:C,0),
IF(AND(NOT(ISBLANK(INDEX('glossaryterms-export'!H:H,_xlpm.rowNum))),ISBLANK(INDEX('glossaryterms-export'!I:I,_xlpm.rowNum))),"Ready to Fix",""))</f>
        <v/>
      </c>
    </row>
    <row r="2439" spans="6:6">
      <c r="F2439" s="1" t="str" cm="1">
        <f t="array" ref="F2439">_xlfn.LET(_xlpm.rowNum,MATCH(E2439,'glossaryterms-export'!C:C,0),
IF(AND(NOT(ISBLANK(INDEX('glossaryterms-export'!H:H,_xlpm.rowNum))),ISBLANK(INDEX('glossaryterms-export'!I:I,_xlpm.rowNum))),"Ready to Fix",""))</f>
        <v/>
      </c>
    </row>
    <row r="2440" spans="6:6">
      <c r="F2440" s="1" t="str" cm="1">
        <f t="array" ref="F2440">_xlfn.LET(_xlpm.rowNum,MATCH(E2440,'glossaryterms-export'!C:C,0),
IF(AND(NOT(ISBLANK(INDEX('glossaryterms-export'!H:H,_xlpm.rowNum))),ISBLANK(INDEX('glossaryterms-export'!I:I,_xlpm.rowNum))),"Ready to Fix",""))</f>
        <v/>
      </c>
    </row>
    <row r="2441" spans="6:6">
      <c r="F2441" s="1" t="str" cm="1">
        <f t="array" ref="F2441">_xlfn.LET(_xlpm.rowNum,MATCH(E2441,'glossaryterms-export'!C:C,0),
IF(AND(NOT(ISBLANK(INDEX('glossaryterms-export'!H:H,_xlpm.rowNum))),ISBLANK(INDEX('glossaryterms-export'!I:I,_xlpm.rowNum))),"Ready to Fix",""))</f>
        <v/>
      </c>
    </row>
    <row r="2442" spans="6:6">
      <c r="F2442" s="1" t="str" cm="1">
        <f t="array" ref="F2442">_xlfn.LET(_xlpm.rowNum,MATCH(E2442,'glossaryterms-export'!C:C,0),
IF(AND(NOT(ISBLANK(INDEX('glossaryterms-export'!H:H,_xlpm.rowNum))),ISBLANK(INDEX('glossaryterms-export'!I:I,_xlpm.rowNum))),"Ready to Fix",""))</f>
        <v/>
      </c>
    </row>
    <row r="2443" spans="6:6">
      <c r="F2443" s="1" t="str" cm="1">
        <f t="array" ref="F2443">_xlfn.LET(_xlpm.rowNum,MATCH(E2443,'glossaryterms-export'!C:C,0),
IF(AND(NOT(ISBLANK(INDEX('glossaryterms-export'!H:H,_xlpm.rowNum))),ISBLANK(INDEX('glossaryterms-export'!I:I,_xlpm.rowNum))),"Ready to Fix",""))</f>
        <v/>
      </c>
    </row>
    <row r="2444" spans="6:6">
      <c r="F2444" s="1" t="str" cm="1">
        <f t="array" ref="F2444">_xlfn.LET(_xlpm.rowNum,MATCH(E2444,'glossaryterms-export'!C:C,0),
IF(AND(NOT(ISBLANK(INDEX('glossaryterms-export'!H:H,_xlpm.rowNum))),ISBLANK(INDEX('glossaryterms-export'!I:I,_xlpm.rowNum))),"Ready to Fix",""))</f>
        <v/>
      </c>
    </row>
    <row r="2445" spans="6:6">
      <c r="F2445" s="1" t="str" cm="1">
        <f t="array" ref="F2445">_xlfn.LET(_xlpm.rowNum,MATCH(E2445,'glossaryterms-export'!C:C,0),
IF(AND(NOT(ISBLANK(INDEX('glossaryterms-export'!H:H,_xlpm.rowNum))),ISBLANK(INDEX('glossaryterms-export'!I:I,_xlpm.rowNum))),"Ready to Fix",""))</f>
        <v/>
      </c>
    </row>
    <row r="2446" spans="6:6">
      <c r="F2446" s="1" t="str" cm="1">
        <f t="array" ref="F2446">_xlfn.LET(_xlpm.rowNum,MATCH(E2446,'glossaryterms-export'!C:C,0),
IF(AND(NOT(ISBLANK(INDEX('glossaryterms-export'!H:H,_xlpm.rowNum))),ISBLANK(INDEX('glossaryterms-export'!I:I,_xlpm.rowNum))),"Ready to Fix",""))</f>
        <v/>
      </c>
    </row>
    <row r="2447" spans="6:6">
      <c r="F2447" s="1" t="str" cm="1">
        <f t="array" ref="F2447">_xlfn.LET(_xlpm.rowNum,MATCH(E2447,'glossaryterms-export'!C:C,0),
IF(AND(NOT(ISBLANK(INDEX('glossaryterms-export'!H:H,_xlpm.rowNum))),ISBLANK(INDEX('glossaryterms-export'!I:I,_xlpm.rowNum))),"Ready to Fix",""))</f>
        <v/>
      </c>
    </row>
    <row r="2448" spans="6:6">
      <c r="F2448" s="1" t="str" cm="1">
        <f t="array" ref="F2448">_xlfn.LET(_xlpm.rowNum,MATCH(E2448,'glossaryterms-export'!C:C,0),
IF(AND(NOT(ISBLANK(INDEX('glossaryterms-export'!H:H,_xlpm.rowNum))),ISBLANK(INDEX('glossaryterms-export'!I:I,_xlpm.rowNum))),"Ready to Fix",""))</f>
        <v/>
      </c>
    </row>
    <row r="2449" spans="6:6">
      <c r="F2449" s="1" t="str" cm="1">
        <f t="array" ref="F2449">_xlfn.LET(_xlpm.rowNum,MATCH(E2449,'glossaryterms-export'!C:C,0),
IF(AND(NOT(ISBLANK(INDEX('glossaryterms-export'!H:H,_xlpm.rowNum))),ISBLANK(INDEX('glossaryterms-export'!I:I,_xlpm.rowNum))),"Ready to Fix",""))</f>
        <v/>
      </c>
    </row>
    <row r="2450" spans="6:6">
      <c r="F2450" s="1" t="str" cm="1">
        <f t="array" ref="F2450">_xlfn.LET(_xlpm.rowNum,MATCH(E2450,'glossaryterms-export'!C:C,0),
IF(AND(NOT(ISBLANK(INDEX('glossaryterms-export'!H:H,_xlpm.rowNum))),ISBLANK(INDEX('glossaryterms-export'!I:I,_xlpm.rowNum))),"Ready to Fix",""))</f>
        <v/>
      </c>
    </row>
    <row r="2451" spans="6:6">
      <c r="F2451" s="1" t="str" cm="1">
        <f t="array" ref="F2451">_xlfn.LET(_xlpm.rowNum,MATCH(E2451,'glossaryterms-export'!C:C,0),
IF(AND(NOT(ISBLANK(INDEX('glossaryterms-export'!H:H,_xlpm.rowNum))),ISBLANK(INDEX('glossaryterms-export'!I:I,_xlpm.rowNum))),"Ready to Fix",""))</f>
        <v/>
      </c>
    </row>
    <row r="2452" spans="6:6">
      <c r="F2452" s="1" t="str" cm="1">
        <f t="array" ref="F2452">_xlfn.LET(_xlpm.rowNum,MATCH(E2452,'glossaryterms-export'!C:C,0),
IF(AND(NOT(ISBLANK(INDEX('glossaryterms-export'!H:H,_xlpm.rowNum))),ISBLANK(INDEX('glossaryterms-export'!I:I,_xlpm.rowNum))),"Ready to Fix",""))</f>
        <v/>
      </c>
    </row>
    <row r="2453" spans="6:6">
      <c r="F2453" s="1" t="str" cm="1">
        <f t="array" ref="F2453">_xlfn.LET(_xlpm.rowNum,MATCH(E2453,'glossaryterms-export'!C:C,0),
IF(AND(NOT(ISBLANK(INDEX('glossaryterms-export'!H:H,_xlpm.rowNum))),ISBLANK(INDEX('glossaryterms-export'!I:I,_xlpm.rowNum))),"Ready to Fix",""))</f>
        <v/>
      </c>
    </row>
    <row r="2454" spans="6:6">
      <c r="F2454" s="1" t="str" cm="1">
        <f t="array" ref="F2454">_xlfn.LET(_xlpm.rowNum,MATCH(E2454,'glossaryterms-export'!C:C,0),
IF(AND(NOT(ISBLANK(INDEX('glossaryterms-export'!H:H,_xlpm.rowNum))),ISBLANK(INDEX('glossaryterms-export'!I:I,_xlpm.rowNum))),"Ready to Fix",""))</f>
        <v/>
      </c>
    </row>
    <row r="2455" spans="6:6">
      <c r="F2455" s="1" t="str" cm="1">
        <f t="array" ref="F2455">_xlfn.LET(_xlpm.rowNum,MATCH(E2455,'glossaryterms-export'!C:C,0),
IF(AND(NOT(ISBLANK(INDEX('glossaryterms-export'!H:H,_xlpm.rowNum))),ISBLANK(INDEX('glossaryterms-export'!I:I,_xlpm.rowNum))),"Ready to Fix",""))</f>
        <v/>
      </c>
    </row>
    <row r="2456" spans="6:6">
      <c r="F2456" s="1" t="str" cm="1">
        <f t="array" ref="F2456">_xlfn.LET(_xlpm.rowNum,MATCH(E2456,'glossaryterms-export'!C:C,0),
IF(AND(NOT(ISBLANK(INDEX('glossaryterms-export'!H:H,_xlpm.rowNum))),ISBLANK(INDEX('glossaryterms-export'!I:I,_xlpm.rowNum))),"Ready to Fix",""))</f>
        <v/>
      </c>
    </row>
    <row r="2457" spans="6:6">
      <c r="F2457" s="1" t="str" cm="1">
        <f t="array" ref="F2457">_xlfn.LET(_xlpm.rowNum,MATCH(E2457,'glossaryterms-export'!C:C,0),
IF(AND(NOT(ISBLANK(INDEX('glossaryterms-export'!H:H,_xlpm.rowNum))),ISBLANK(INDEX('glossaryterms-export'!I:I,_xlpm.rowNum))),"Ready to Fix",""))</f>
        <v/>
      </c>
    </row>
    <row r="2458" spans="6:6">
      <c r="F2458" s="1" t="str" cm="1">
        <f t="array" ref="F2458">_xlfn.LET(_xlpm.rowNum,MATCH(E2458,'glossaryterms-export'!C:C,0),
IF(AND(NOT(ISBLANK(INDEX('glossaryterms-export'!H:H,_xlpm.rowNum))),ISBLANK(INDEX('glossaryterms-export'!I:I,_xlpm.rowNum))),"Ready to Fix",""))</f>
        <v/>
      </c>
    </row>
    <row r="2459" spans="6:6">
      <c r="F2459" s="1" t="str" cm="1">
        <f t="array" ref="F2459">_xlfn.LET(_xlpm.rowNum,MATCH(E2459,'glossaryterms-export'!C:C,0),
IF(AND(NOT(ISBLANK(INDEX('glossaryterms-export'!H:H,_xlpm.rowNum))),ISBLANK(INDEX('glossaryterms-export'!I:I,_xlpm.rowNum))),"Ready to Fix",""))</f>
        <v/>
      </c>
    </row>
    <row r="2460" spans="6:6">
      <c r="F2460" s="1" t="str" cm="1">
        <f t="array" ref="F2460">_xlfn.LET(_xlpm.rowNum,MATCH(E2460,'glossaryterms-export'!C:C,0),
IF(AND(NOT(ISBLANK(INDEX('glossaryterms-export'!H:H,_xlpm.rowNum))),ISBLANK(INDEX('glossaryterms-export'!I:I,_xlpm.rowNum))),"Ready to Fix",""))</f>
        <v/>
      </c>
    </row>
    <row r="2461" spans="6:6">
      <c r="F2461" s="1" t="str" cm="1">
        <f t="array" ref="F2461">_xlfn.LET(_xlpm.rowNum,MATCH(E2461,'glossaryterms-export'!C:C,0),
IF(AND(NOT(ISBLANK(INDEX('glossaryterms-export'!H:H,_xlpm.rowNum))),ISBLANK(INDEX('glossaryterms-export'!I:I,_xlpm.rowNum))),"Ready to Fix",""))</f>
        <v/>
      </c>
    </row>
    <row r="2462" spans="6:6">
      <c r="F2462" s="1" t="str" cm="1">
        <f t="array" ref="F2462">_xlfn.LET(_xlpm.rowNum,MATCH(E2462,'glossaryterms-export'!C:C,0),
IF(AND(NOT(ISBLANK(INDEX('glossaryterms-export'!H:H,_xlpm.rowNum))),ISBLANK(INDEX('glossaryterms-export'!I:I,_xlpm.rowNum))),"Ready to Fix",""))</f>
        <v/>
      </c>
    </row>
    <row r="2463" spans="6:6">
      <c r="F2463" s="1" t="str" cm="1">
        <f t="array" ref="F2463">_xlfn.LET(_xlpm.rowNum,MATCH(E2463,'glossaryterms-export'!C:C,0),
IF(AND(NOT(ISBLANK(INDEX('glossaryterms-export'!H:H,_xlpm.rowNum))),ISBLANK(INDEX('glossaryterms-export'!I:I,_xlpm.rowNum))),"Ready to Fix",""))</f>
        <v/>
      </c>
    </row>
    <row r="2464" spans="6:6">
      <c r="F2464" s="1" t="str" cm="1">
        <f t="array" ref="F2464">_xlfn.LET(_xlpm.rowNum,MATCH(E2464,'glossaryterms-export'!C:C,0),
IF(AND(NOT(ISBLANK(INDEX('glossaryterms-export'!H:H,_xlpm.rowNum))),ISBLANK(INDEX('glossaryterms-export'!I:I,_xlpm.rowNum))),"Ready to Fix",""))</f>
        <v/>
      </c>
    </row>
    <row r="2465" spans="6:6">
      <c r="F2465" s="1" t="str" cm="1">
        <f t="array" ref="F2465">_xlfn.LET(_xlpm.rowNum,MATCH(E2465,'glossaryterms-export'!C:C,0),
IF(AND(NOT(ISBLANK(INDEX('glossaryterms-export'!H:H,_xlpm.rowNum))),ISBLANK(INDEX('glossaryterms-export'!I:I,_xlpm.rowNum))),"Ready to Fix",""))</f>
        <v/>
      </c>
    </row>
    <row r="2466" spans="6:6">
      <c r="F2466" s="1" t="str" cm="1">
        <f t="array" ref="F2466">_xlfn.LET(_xlpm.rowNum,MATCH(E2466,'glossaryterms-export'!C:C,0),
IF(AND(NOT(ISBLANK(INDEX('glossaryterms-export'!H:H,_xlpm.rowNum))),ISBLANK(INDEX('glossaryterms-export'!I:I,_xlpm.rowNum))),"Ready to Fix",""))</f>
        <v/>
      </c>
    </row>
    <row r="2467" spans="6:6">
      <c r="F2467" s="1" t="str" cm="1">
        <f t="array" ref="F2467">_xlfn.LET(_xlpm.rowNum,MATCH(E2467,'glossaryterms-export'!C:C,0),
IF(AND(NOT(ISBLANK(INDEX('glossaryterms-export'!H:H,_xlpm.rowNum))),ISBLANK(INDEX('glossaryterms-export'!I:I,_xlpm.rowNum))),"Ready to Fix",""))</f>
        <v/>
      </c>
    </row>
    <row r="2468" spans="6:6">
      <c r="F2468" s="1" t="str" cm="1">
        <f t="array" ref="F2468">_xlfn.LET(_xlpm.rowNum,MATCH(E2468,'glossaryterms-export'!C:C,0),
IF(AND(NOT(ISBLANK(INDEX('glossaryterms-export'!H:H,_xlpm.rowNum))),ISBLANK(INDEX('glossaryterms-export'!I:I,_xlpm.rowNum))),"Ready to Fix",""))</f>
        <v/>
      </c>
    </row>
    <row r="2469" spans="6:6">
      <c r="F2469" s="1" t="str" cm="1">
        <f t="array" ref="F2469">_xlfn.LET(_xlpm.rowNum,MATCH(E2469,'glossaryterms-export'!C:C,0),
IF(AND(NOT(ISBLANK(INDEX('glossaryterms-export'!H:H,_xlpm.rowNum))),ISBLANK(INDEX('glossaryterms-export'!I:I,_xlpm.rowNum))),"Ready to Fix",""))</f>
        <v/>
      </c>
    </row>
    <row r="2470" spans="6:6">
      <c r="F2470" s="1" t="str" cm="1">
        <f t="array" ref="F2470">_xlfn.LET(_xlpm.rowNum,MATCH(E2470,'glossaryterms-export'!C:C,0),
IF(AND(NOT(ISBLANK(INDEX('glossaryterms-export'!H:H,_xlpm.rowNum))),ISBLANK(INDEX('glossaryterms-export'!I:I,_xlpm.rowNum))),"Ready to Fix",""))</f>
        <v/>
      </c>
    </row>
    <row r="2471" spans="6:6">
      <c r="F2471" s="1" t="str" cm="1">
        <f t="array" ref="F2471">_xlfn.LET(_xlpm.rowNum,MATCH(E2471,'glossaryterms-export'!C:C,0),
IF(AND(NOT(ISBLANK(INDEX('glossaryterms-export'!H:H,_xlpm.rowNum))),ISBLANK(INDEX('glossaryterms-export'!I:I,_xlpm.rowNum))),"Ready to Fix",""))</f>
        <v/>
      </c>
    </row>
    <row r="2472" spans="6:6">
      <c r="F2472" s="1" t="str" cm="1">
        <f t="array" ref="F2472">_xlfn.LET(_xlpm.rowNum,MATCH(E2472,'glossaryterms-export'!C:C,0),
IF(AND(NOT(ISBLANK(INDEX('glossaryterms-export'!H:H,_xlpm.rowNum))),ISBLANK(INDEX('glossaryterms-export'!I:I,_xlpm.rowNum))),"Ready to Fix",""))</f>
        <v/>
      </c>
    </row>
    <row r="2473" spans="6:6">
      <c r="F2473" s="1" t="str" cm="1">
        <f t="array" ref="F2473">_xlfn.LET(_xlpm.rowNum,MATCH(E2473,'glossaryterms-export'!C:C,0),
IF(AND(NOT(ISBLANK(INDEX('glossaryterms-export'!H:H,_xlpm.rowNum))),ISBLANK(INDEX('glossaryterms-export'!I:I,_xlpm.rowNum))),"Ready to Fix",""))</f>
        <v/>
      </c>
    </row>
    <row r="2474" spans="6:6">
      <c r="F2474" s="1" t="str" cm="1">
        <f t="array" ref="F2474">_xlfn.LET(_xlpm.rowNum,MATCH(E2474,'glossaryterms-export'!C:C,0),
IF(AND(NOT(ISBLANK(INDEX('glossaryterms-export'!H:H,_xlpm.rowNum))),ISBLANK(INDEX('glossaryterms-export'!I:I,_xlpm.rowNum))),"Ready to Fix",""))</f>
        <v/>
      </c>
    </row>
    <row r="2475" spans="6:6">
      <c r="F2475" s="1" t="str" cm="1">
        <f t="array" ref="F2475">_xlfn.LET(_xlpm.rowNum,MATCH(E2475,'glossaryterms-export'!C:C,0),
IF(AND(NOT(ISBLANK(INDEX('glossaryterms-export'!H:H,_xlpm.rowNum))),ISBLANK(INDEX('glossaryterms-export'!I:I,_xlpm.rowNum))),"Ready to Fix",""))</f>
        <v/>
      </c>
    </row>
    <row r="2476" spans="6:6">
      <c r="F2476" s="1" t="str" cm="1">
        <f t="array" ref="F2476">_xlfn.LET(_xlpm.rowNum,MATCH(E2476,'glossaryterms-export'!C:C,0),
IF(AND(NOT(ISBLANK(INDEX('glossaryterms-export'!H:H,_xlpm.rowNum))),ISBLANK(INDEX('glossaryterms-export'!I:I,_xlpm.rowNum))),"Ready to Fix",""))</f>
        <v/>
      </c>
    </row>
    <row r="2477" spans="6:6">
      <c r="F2477" s="1" t="str" cm="1">
        <f t="array" ref="F2477">_xlfn.LET(_xlpm.rowNum,MATCH(E2477,'glossaryterms-export'!C:C,0),
IF(AND(NOT(ISBLANK(INDEX('glossaryterms-export'!H:H,_xlpm.rowNum))),ISBLANK(INDEX('glossaryterms-export'!I:I,_xlpm.rowNum))),"Ready to Fix",""))</f>
        <v/>
      </c>
    </row>
    <row r="2478" spans="6:6">
      <c r="F2478" s="1" t="str" cm="1">
        <f t="array" ref="F2478">_xlfn.LET(_xlpm.rowNum,MATCH(E2478,'glossaryterms-export'!C:C,0),
IF(AND(NOT(ISBLANK(INDEX('glossaryterms-export'!H:H,_xlpm.rowNum))),ISBLANK(INDEX('glossaryterms-export'!I:I,_xlpm.rowNum))),"Ready to Fix",""))</f>
        <v/>
      </c>
    </row>
    <row r="2479" spans="6:6">
      <c r="F2479" s="1" t="str" cm="1">
        <f t="array" ref="F2479">_xlfn.LET(_xlpm.rowNum,MATCH(E2479,'glossaryterms-export'!C:C,0),
IF(AND(NOT(ISBLANK(INDEX('glossaryterms-export'!H:H,_xlpm.rowNum))),ISBLANK(INDEX('glossaryterms-export'!I:I,_xlpm.rowNum))),"Ready to Fix",""))</f>
        <v/>
      </c>
    </row>
    <row r="2480" spans="6:6">
      <c r="F2480" s="1" t="str" cm="1">
        <f t="array" ref="F2480">_xlfn.LET(_xlpm.rowNum,MATCH(E2480,'glossaryterms-export'!C:C,0),
IF(AND(NOT(ISBLANK(INDEX('glossaryterms-export'!H:H,_xlpm.rowNum))),ISBLANK(INDEX('glossaryterms-export'!I:I,_xlpm.rowNum))),"Ready to Fix",""))</f>
        <v/>
      </c>
    </row>
    <row r="2481" spans="6:6">
      <c r="F2481" s="1" t="str" cm="1">
        <f t="array" ref="F2481">_xlfn.LET(_xlpm.rowNum,MATCH(E2481,'glossaryterms-export'!C:C,0),
IF(AND(NOT(ISBLANK(INDEX('glossaryterms-export'!H:H,_xlpm.rowNum))),ISBLANK(INDEX('glossaryterms-export'!I:I,_xlpm.rowNum))),"Ready to Fix",""))</f>
        <v/>
      </c>
    </row>
    <row r="2482" spans="6:6">
      <c r="F2482" s="1" t="str" cm="1">
        <f t="array" ref="F2482">_xlfn.LET(_xlpm.rowNum,MATCH(E2482,'glossaryterms-export'!C:C,0),
IF(AND(NOT(ISBLANK(INDEX('glossaryterms-export'!H:H,_xlpm.rowNum))),ISBLANK(INDEX('glossaryterms-export'!I:I,_xlpm.rowNum))),"Ready to Fix",""))</f>
        <v/>
      </c>
    </row>
    <row r="2483" spans="6:6">
      <c r="F2483" s="1" t="str" cm="1">
        <f t="array" ref="F2483">_xlfn.LET(_xlpm.rowNum,MATCH(E2483,'glossaryterms-export'!C:C,0),
IF(AND(NOT(ISBLANK(INDEX('glossaryterms-export'!H:H,_xlpm.rowNum))),ISBLANK(INDEX('glossaryterms-export'!I:I,_xlpm.rowNum))),"Ready to Fix",""))</f>
        <v/>
      </c>
    </row>
    <row r="2484" spans="6:6">
      <c r="F2484" s="1" t="str" cm="1">
        <f t="array" ref="F2484">_xlfn.LET(_xlpm.rowNum,MATCH(E2484,'glossaryterms-export'!C:C,0),
IF(AND(NOT(ISBLANK(INDEX('glossaryterms-export'!H:H,_xlpm.rowNum))),ISBLANK(INDEX('glossaryterms-export'!I:I,_xlpm.rowNum))),"Ready to Fix",""))</f>
        <v/>
      </c>
    </row>
    <row r="2485" spans="6:6">
      <c r="F2485" s="1" t="str" cm="1">
        <f t="array" ref="F2485">_xlfn.LET(_xlpm.rowNum,MATCH(E2485,'glossaryterms-export'!C:C,0),
IF(AND(NOT(ISBLANK(INDEX('glossaryterms-export'!H:H,_xlpm.rowNum))),ISBLANK(INDEX('glossaryterms-export'!I:I,_xlpm.rowNum))),"Ready to Fix",""))</f>
        <v/>
      </c>
    </row>
    <row r="2486" spans="6:6">
      <c r="F2486" s="1" t="str" cm="1">
        <f t="array" ref="F2486">_xlfn.LET(_xlpm.rowNum,MATCH(E2486,'glossaryterms-export'!C:C,0),
IF(AND(NOT(ISBLANK(INDEX('glossaryterms-export'!H:H,_xlpm.rowNum))),ISBLANK(INDEX('glossaryterms-export'!I:I,_xlpm.rowNum))),"Ready to Fix",""))</f>
        <v/>
      </c>
    </row>
    <row r="2487" spans="6:6">
      <c r="F2487" s="1" t="str" cm="1">
        <f t="array" ref="F2487">_xlfn.LET(_xlpm.rowNum,MATCH(E2487,'glossaryterms-export'!C:C,0),
IF(AND(NOT(ISBLANK(INDEX('glossaryterms-export'!H:H,_xlpm.rowNum))),ISBLANK(INDEX('glossaryterms-export'!I:I,_xlpm.rowNum))),"Ready to Fix",""))</f>
        <v/>
      </c>
    </row>
    <row r="2488" spans="6:6">
      <c r="F2488" s="1" t="str" cm="1">
        <f t="array" ref="F2488">_xlfn.LET(_xlpm.rowNum,MATCH(E2488,'glossaryterms-export'!C:C,0),
IF(AND(NOT(ISBLANK(INDEX('glossaryterms-export'!H:H,_xlpm.rowNum))),ISBLANK(INDEX('glossaryterms-export'!I:I,_xlpm.rowNum))),"Ready to Fix",""))</f>
        <v/>
      </c>
    </row>
    <row r="2489" spans="6:6">
      <c r="F2489" s="1" t="str" cm="1">
        <f t="array" ref="F2489">_xlfn.LET(_xlpm.rowNum,MATCH(E2489,'glossaryterms-export'!C:C,0),
IF(AND(NOT(ISBLANK(INDEX('glossaryterms-export'!H:H,_xlpm.rowNum))),ISBLANK(INDEX('glossaryterms-export'!I:I,_xlpm.rowNum))),"Ready to Fix",""))</f>
        <v/>
      </c>
    </row>
    <row r="2490" spans="6:6">
      <c r="F2490" s="1" t="str" cm="1">
        <f t="array" ref="F2490">_xlfn.LET(_xlpm.rowNum,MATCH(E2490,'glossaryterms-export'!C:C,0),
IF(AND(NOT(ISBLANK(INDEX('glossaryterms-export'!H:H,_xlpm.rowNum))),ISBLANK(INDEX('glossaryterms-export'!I:I,_xlpm.rowNum))),"Ready to Fix",""))</f>
        <v/>
      </c>
    </row>
    <row r="2491" spans="6:6">
      <c r="F2491" s="1" t="str" cm="1">
        <f t="array" ref="F2491">_xlfn.LET(_xlpm.rowNum,MATCH(E2491,'glossaryterms-export'!C:C,0),
IF(AND(NOT(ISBLANK(INDEX('glossaryterms-export'!H:H,_xlpm.rowNum))),ISBLANK(INDEX('glossaryterms-export'!I:I,_xlpm.rowNum))),"Ready to Fix",""))</f>
        <v/>
      </c>
    </row>
    <row r="2492" spans="6:6">
      <c r="F2492" s="1" t="str" cm="1">
        <f t="array" ref="F2492">_xlfn.LET(_xlpm.rowNum,MATCH(E2492,'glossaryterms-export'!C:C,0),
IF(AND(NOT(ISBLANK(INDEX('glossaryterms-export'!H:H,_xlpm.rowNum))),ISBLANK(INDEX('glossaryterms-export'!I:I,_xlpm.rowNum))),"Ready to Fix",""))</f>
        <v/>
      </c>
    </row>
    <row r="2493" spans="6:6">
      <c r="F2493" s="1" t="str" cm="1">
        <f t="array" ref="F2493">_xlfn.LET(_xlpm.rowNum,MATCH(E2493,'glossaryterms-export'!C:C,0),
IF(AND(NOT(ISBLANK(INDEX('glossaryterms-export'!H:H,_xlpm.rowNum))),ISBLANK(INDEX('glossaryterms-export'!I:I,_xlpm.rowNum))),"Ready to Fix",""))</f>
        <v/>
      </c>
    </row>
    <row r="2494" spans="6:6">
      <c r="F2494" s="1" t="str" cm="1">
        <f t="array" ref="F2494">_xlfn.LET(_xlpm.rowNum,MATCH(E2494,'glossaryterms-export'!C:C,0),
IF(AND(NOT(ISBLANK(INDEX('glossaryterms-export'!H:H,_xlpm.rowNum))),ISBLANK(INDEX('glossaryterms-export'!I:I,_xlpm.rowNum))),"Ready to Fix",""))</f>
        <v/>
      </c>
    </row>
    <row r="2495" spans="6:6">
      <c r="F2495" s="1" t="str" cm="1">
        <f t="array" ref="F2495">_xlfn.LET(_xlpm.rowNum,MATCH(E2495,'glossaryterms-export'!C:C,0),
IF(AND(NOT(ISBLANK(INDEX('glossaryterms-export'!H:H,_xlpm.rowNum))),ISBLANK(INDEX('glossaryterms-export'!I:I,_xlpm.rowNum))),"Ready to Fix",""))</f>
        <v/>
      </c>
    </row>
    <row r="2496" spans="6:6">
      <c r="F2496" s="1" t="str" cm="1">
        <f t="array" ref="F2496">_xlfn.LET(_xlpm.rowNum,MATCH(E2496,'glossaryterms-export'!C:C,0),
IF(AND(NOT(ISBLANK(INDEX('glossaryterms-export'!H:H,_xlpm.rowNum))),ISBLANK(INDEX('glossaryterms-export'!I:I,_xlpm.rowNum))),"Ready to Fix",""))</f>
        <v/>
      </c>
    </row>
    <row r="2497" spans="6:6">
      <c r="F2497" s="1" t="str" cm="1">
        <f t="array" ref="F2497">_xlfn.LET(_xlpm.rowNum,MATCH(E2497,'glossaryterms-export'!C:C,0),
IF(AND(NOT(ISBLANK(INDEX('glossaryterms-export'!H:H,_xlpm.rowNum))),ISBLANK(INDEX('glossaryterms-export'!I:I,_xlpm.rowNum))),"Ready to Fix",""))</f>
        <v/>
      </c>
    </row>
    <row r="2498" spans="6:6">
      <c r="F2498" s="1" t="str" cm="1">
        <f t="array" ref="F2498">_xlfn.LET(_xlpm.rowNum,MATCH(E2498,'glossaryterms-export'!C:C,0),
IF(AND(NOT(ISBLANK(INDEX('glossaryterms-export'!H:H,_xlpm.rowNum))),ISBLANK(INDEX('glossaryterms-export'!I:I,_xlpm.rowNum))),"Ready to Fix",""))</f>
        <v/>
      </c>
    </row>
    <row r="2499" spans="6:6">
      <c r="F2499" s="1" t="str" cm="1">
        <f t="array" ref="F2499">_xlfn.LET(_xlpm.rowNum,MATCH(E2499,'glossaryterms-export'!C:C,0),
IF(AND(NOT(ISBLANK(INDEX('glossaryterms-export'!H:H,_xlpm.rowNum))),ISBLANK(INDEX('glossaryterms-export'!I:I,_xlpm.rowNum))),"Ready to Fix",""))</f>
        <v/>
      </c>
    </row>
    <row r="2500" spans="6:6">
      <c r="F2500" s="1" t="str" cm="1">
        <f t="array" ref="F2500">_xlfn.LET(_xlpm.rowNum,MATCH(E2500,'glossaryterms-export'!C:C,0),
IF(AND(NOT(ISBLANK(INDEX('glossaryterms-export'!H:H,_xlpm.rowNum))),ISBLANK(INDEX('glossaryterms-export'!I:I,_xlpm.rowNum))),"Ready to Fix",""))</f>
        <v/>
      </c>
    </row>
    <row r="2501" spans="6:6">
      <c r="F2501" s="1" t="str" cm="1">
        <f t="array" ref="F2501">_xlfn.LET(_xlpm.rowNum,MATCH(E2501,'glossaryterms-export'!C:C,0),
IF(AND(NOT(ISBLANK(INDEX('glossaryterms-export'!H:H,_xlpm.rowNum))),ISBLANK(INDEX('glossaryterms-export'!I:I,_xlpm.rowNum))),"Ready to Fix",""))</f>
        <v/>
      </c>
    </row>
    <row r="2502" spans="6:6">
      <c r="F2502" s="1" t="str" cm="1">
        <f t="array" ref="F2502">_xlfn.LET(_xlpm.rowNum,MATCH(E2502,'glossaryterms-export'!C:C,0),
IF(AND(NOT(ISBLANK(INDEX('glossaryterms-export'!H:H,_xlpm.rowNum))),ISBLANK(INDEX('glossaryterms-export'!I:I,_xlpm.rowNum))),"Ready to Fix",""))</f>
        <v/>
      </c>
    </row>
    <row r="2503" spans="6:6">
      <c r="F2503" s="1" t="str" cm="1">
        <f t="array" ref="F2503">_xlfn.LET(_xlpm.rowNum,MATCH(E2503,'glossaryterms-export'!C:C,0),
IF(AND(NOT(ISBLANK(INDEX('glossaryterms-export'!H:H,_xlpm.rowNum))),ISBLANK(INDEX('glossaryterms-export'!I:I,_xlpm.rowNum))),"Ready to Fix",""))</f>
        <v/>
      </c>
    </row>
    <row r="2504" spans="6:6">
      <c r="F2504" s="1" t="str" cm="1">
        <f t="array" ref="F2504">_xlfn.LET(_xlpm.rowNum,MATCH(E2504,'glossaryterms-export'!C:C,0),
IF(AND(NOT(ISBLANK(INDEX('glossaryterms-export'!H:H,_xlpm.rowNum))),ISBLANK(INDEX('glossaryterms-export'!I:I,_xlpm.rowNum))),"Ready to Fix",""))</f>
        <v/>
      </c>
    </row>
    <row r="2505" spans="6:6">
      <c r="F2505" s="1" t="str" cm="1">
        <f t="array" ref="F2505">_xlfn.LET(_xlpm.rowNum,MATCH(E2505,'glossaryterms-export'!C:C,0),
IF(AND(NOT(ISBLANK(INDEX('glossaryterms-export'!H:H,_xlpm.rowNum))),ISBLANK(INDEX('glossaryterms-export'!I:I,_xlpm.rowNum))),"Ready to Fix",""))</f>
        <v/>
      </c>
    </row>
    <row r="2506" spans="6:6">
      <c r="F2506" s="1" t="str" cm="1">
        <f t="array" ref="F2506">_xlfn.LET(_xlpm.rowNum,MATCH(E2506,'glossaryterms-export'!C:C,0),
IF(AND(NOT(ISBLANK(INDEX('glossaryterms-export'!H:H,_xlpm.rowNum))),ISBLANK(INDEX('glossaryterms-export'!I:I,_xlpm.rowNum))),"Ready to Fix",""))</f>
        <v/>
      </c>
    </row>
    <row r="2507" spans="6:6">
      <c r="F2507" s="1" t="str" cm="1">
        <f t="array" ref="F2507">_xlfn.LET(_xlpm.rowNum,MATCH(E2507,'glossaryterms-export'!C:C,0),
IF(AND(NOT(ISBLANK(INDEX('glossaryterms-export'!H:H,_xlpm.rowNum))),ISBLANK(INDEX('glossaryterms-export'!I:I,_xlpm.rowNum))),"Ready to Fix",""))</f>
        <v/>
      </c>
    </row>
    <row r="2508" spans="6:6">
      <c r="F2508" s="1" t="str" cm="1">
        <f t="array" ref="F2508">_xlfn.LET(_xlpm.rowNum,MATCH(E2508,'glossaryterms-export'!C:C,0),
IF(AND(NOT(ISBLANK(INDEX('glossaryterms-export'!H:H,_xlpm.rowNum))),ISBLANK(INDEX('glossaryterms-export'!I:I,_xlpm.rowNum))),"Ready to Fix",""))</f>
        <v/>
      </c>
    </row>
    <row r="2509" spans="6:6">
      <c r="F2509" s="1" t="str" cm="1">
        <f t="array" ref="F2509">_xlfn.LET(_xlpm.rowNum,MATCH(E2509,'glossaryterms-export'!C:C,0),
IF(AND(NOT(ISBLANK(INDEX('glossaryterms-export'!H:H,_xlpm.rowNum))),ISBLANK(INDEX('glossaryterms-export'!I:I,_xlpm.rowNum))),"Ready to Fix",""))</f>
        <v/>
      </c>
    </row>
    <row r="2510" spans="6:6">
      <c r="F2510" s="1" t="str" cm="1">
        <f t="array" ref="F2510">_xlfn.LET(_xlpm.rowNum,MATCH(E2510,'glossaryterms-export'!C:C,0),
IF(AND(NOT(ISBLANK(INDEX('glossaryterms-export'!H:H,_xlpm.rowNum))),ISBLANK(INDEX('glossaryterms-export'!I:I,_xlpm.rowNum))),"Ready to Fix",""))</f>
        <v/>
      </c>
    </row>
    <row r="2511" spans="6:6">
      <c r="F2511" s="1" t="str" cm="1">
        <f t="array" ref="F2511">_xlfn.LET(_xlpm.rowNum,MATCH(E2511,'glossaryterms-export'!C:C,0),
IF(AND(NOT(ISBLANK(INDEX('glossaryterms-export'!H:H,_xlpm.rowNum))),ISBLANK(INDEX('glossaryterms-export'!I:I,_xlpm.rowNum))),"Ready to Fix",""))</f>
        <v/>
      </c>
    </row>
    <row r="2512" spans="6:6">
      <c r="F2512" s="1" t="str" cm="1">
        <f t="array" ref="F2512">_xlfn.LET(_xlpm.rowNum,MATCH(E2512,'glossaryterms-export'!C:C,0),
IF(AND(NOT(ISBLANK(INDEX('glossaryterms-export'!H:H,_xlpm.rowNum))),ISBLANK(INDEX('glossaryterms-export'!I:I,_xlpm.rowNum))),"Ready to Fix",""))</f>
        <v/>
      </c>
    </row>
    <row r="2513" spans="6:6">
      <c r="F2513" s="1" t="str" cm="1">
        <f t="array" ref="F2513">_xlfn.LET(_xlpm.rowNum,MATCH(E2513,'glossaryterms-export'!C:C,0),
IF(AND(NOT(ISBLANK(INDEX('glossaryterms-export'!H:H,_xlpm.rowNum))),ISBLANK(INDEX('glossaryterms-export'!I:I,_xlpm.rowNum))),"Ready to Fix",""))</f>
        <v/>
      </c>
    </row>
    <row r="2514" spans="6:6">
      <c r="F2514" s="1" t="str" cm="1">
        <f t="array" ref="F2514">_xlfn.LET(_xlpm.rowNum,MATCH(E2514,'glossaryterms-export'!C:C,0),
IF(AND(NOT(ISBLANK(INDEX('glossaryterms-export'!H:H,_xlpm.rowNum))),ISBLANK(INDEX('glossaryterms-export'!I:I,_xlpm.rowNum))),"Ready to Fix",""))</f>
        <v/>
      </c>
    </row>
    <row r="2515" spans="6:6">
      <c r="F2515" s="1" t="str" cm="1">
        <f t="array" ref="F2515">_xlfn.LET(_xlpm.rowNum,MATCH(E2515,'glossaryterms-export'!C:C,0),
IF(AND(NOT(ISBLANK(INDEX('glossaryterms-export'!H:H,_xlpm.rowNum))),ISBLANK(INDEX('glossaryterms-export'!I:I,_xlpm.rowNum))),"Ready to Fix",""))</f>
        <v/>
      </c>
    </row>
    <row r="2516" spans="6:6">
      <c r="F2516" s="1" t="str" cm="1">
        <f t="array" ref="F2516">_xlfn.LET(_xlpm.rowNum,MATCH(E2516,'glossaryterms-export'!C:C,0),
IF(AND(NOT(ISBLANK(INDEX('glossaryterms-export'!H:H,_xlpm.rowNum))),ISBLANK(INDEX('glossaryterms-export'!I:I,_xlpm.rowNum))),"Ready to Fix",""))</f>
        <v/>
      </c>
    </row>
    <row r="2517" spans="6:6">
      <c r="F2517" s="1" t="str" cm="1">
        <f t="array" ref="F2517">_xlfn.LET(_xlpm.rowNum,MATCH(E2517,'glossaryterms-export'!C:C,0),
IF(AND(NOT(ISBLANK(INDEX('glossaryterms-export'!H:H,_xlpm.rowNum))),ISBLANK(INDEX('glossaryterms-export'!I:I,_xlpm.rowNum))),"Ready to Fix",""))</f>
        <v/>
      </c>
    </row>
    <row r="2518" spans="6:6">
      <c r="F2518" s="1" t="str" cm="1">
        <f t="array" ref="F2518">_xlfn.LET(_xlpm.rowNum,MATCH(E2518,'glossaryterms-export'!C:C,0),
IF(AND(NOT(ISBLANK(INDEX('glossaryterms-export'!H:H,_xlpm.rowNum))),ISBLANK(INDEX('glossaryterms-export'!I:I,_xlpm.rowNum))),"Ready to Fix",""))</f>
        <v/>
      </c>
    </row>
    <row r="2519" spans="6:6">
      <c r="F2519" s="1" t="str" cm="1">
        <f t="array" ref="F2519">_xlfn.LET(_xlpm.rowNum,MATCH(E2519,'glossaryterms-export'!C:C,0),
IF(AND(NOT(ISBLANK(INDEX('glossaryterms-export'!H:H,_xlpm.rowNum))),ISBLANK(INDEX('glossaryterms-export'!I:I,_xlpm.rowNum))),"Ready to Fix",""))</f>
        <v/>
      </c>
    </row>
    <row r="2520" spans="6:6">
      <c r="F2520" s="1" t="str" cm="1">
        <f t="array" ref="F2520">_xlfn.LET(_xlpm.rowNum,MATCH(E2520,'glossaryterms-export'!C:C,0),
IF(AND(NOT(ISBLANK(INDEX('glossaryterms-export'!H:H,_xlpm.rowNum))),ISBLANK(INDEX('glossaryterms-export'!I:I,_xlpm.rowNum))),"Ready to Fix",""))</f>
        <v/>
      </c>
    </row>
    <row r="2521" spans="6:6">
      <c r="F2521" s="1" t="str" cm="1">
        <f t="array" ref="F2521">_xlfn.LET(_xlpm.rowNum,MATCH(E2521,'glossaryterms-export'!C:C,0),
IF(AND(NOT(ISBLANK(INDEX('glossaryterms-export'!H:H,_xlpm.rowNum))),ISBLANK(INDEX('glossaryterms-export'!I:I,_xlpm.rowNum))),"Ready to Fix",""))</f>
        <v/>
      </c>
    </row>
    <row r="2522" spans="6:6">
      <c r="F2522" s="1" t="str" cm="1">
        <f t="array" ref="F2522">_xlfn.LET(_xlpm.rowNum,MATCH(E2522,'glossaryterms-export'!C:C,0),
IF(AND(NOT(ISBLANK(INDEX('glossaryterms-export'!H:H,_xlpm.rowNum))),ISBLANK(INDEX('glossaryterms-export'!I:I,_xlpm.rowNum))),"Ready to Fix",""))</f>
        <v/>
      </c>
    </row>
    <row r="2523" spans="6:6">
      <c r="F2523" s="1" t="str" cm="1">
        <f t="array" ref="F2523">_xlfn.LET(_xlpm.rowNum,MATCH(E2523,'glossaryterms-export'!C:C,0),
IF(AND(NOT(ISBLANK(INDEX('glossaryterms-export'!H:H,_xlpm.rowNum))),ISBLANK(INDEX('glossaryterms-export'!I:I,_xlpm.rowNum))),"Ready to Fix",""))</f>
        <v/>
      </c>
    </row>
    <row r="2524" spans="6:6">
      <c r="F2524" s="1" t="str" cm="1">
        <f t="array" ref="F2524">_xlfn.LET(_xlpm.rowNum,MATCH(E2524,'glossaryterms-export'!C:C,0),
IF(AND(NOT(ISBLANK(INDEX('glossaryterms-export'!H:H,_xlpm.rowNum))),ISBLANK(INDEX('glossaryterms-export'!I:I,_xlpm.rowNum))),"Ready to Fix",""))</f>
        <v/>
      </c>
    </row>
    <row r="2525" spans="6:6">
      <c r="F2525" s="1" t="str" cm="1">
        <f t="array" ref="F2525">_xlfn.LET(_xlpm.rowNum,MATCH(E2525,'glossaryterms-export'!C:C,0),
IF(AND(NOT(ISBLANK(INDEX('glossaryterms-export'!H:H,_xlpm.rowNum))),ISBLANK(INDEX('glossaryterms-export'!I:I,_xlpm.rowNum))),"Ready to Fix",""))</f>
        <v/>
      </c>
    </row>
    <row r="2526" spans="6:6">
      <c r="F2526" s="1" t="str" cm="1">
        <f t="array" ref="F2526">_xlfn.LET(_xlpm.rowNum,MATCH(E2526,'glossaryterms-export'!C:C,0),
IF(AND(NOT(ISBLANK(INDEX('glossaryterms-export'!H:H,_xlpm.rowNum))),ISBLANK(INDEX('glossaryterms-export'!I:I,_xlpm.rowNum))),"Ready to Fix",""))</f>
        <v/>
      </c>
    </row>
    <row r="2527" spans="6:6">
      <c r="F2527" s="1" t="str" cm="1">
        <f t="array" ref="F2527">_xlfn.LET(_xlpm.rowNum,MATCH(E2527,'glossaryterms-export'!C:C,0),
IF(AND(NOT(ISBLANK(INDEX('glossaryterms-export'!H:H,_xlpm.rowNum))),ISBLANK(INDEX('glossaryterms-export'!I:I,_xlpm.rowNum))),"Ready to Fix",""))</f>
        <v/>
      </c>
    </row>
    <row r="2528" spans="6:6">
      <c r="F2528" s="1" t="str" cm="1">
        <f t="array" ref="F2528">_xlfn.LET(_xlpm.rowNum,MATCH(E2528,'glossaryterms-export'!C:C,0),
IF(AND(NOT(ISBLANK(INDEX('glossaryterms-export'!H:H,_xlpm.rowNum))),ISBLANK(INDEX('glossaryterms-export'!I:I,_xlpm.rowNum))),"Ready to Fix",""))</f>
        <v/>
      </c>
    </row>
    <row r="2529" spans="6:6">
      <c r="F2529" s="1" t="str" cm="1">
        <f t="array" ref="F2529">_xlfn.LET(_xlpm.rowNum,MATCH(E2529,'glossaryterms-export'!C:C,0),
IF(AND(NOT(ISBLANK(INDEX('glossaryterms-export'!H:H,_xlpm.rowNum))),ISBLANK(INDEX('glossaryterms-export'!I:I,_xlpm.rowNum))),"Ready to Fix",""))</f>
        <v/>
      </c>
    </row>
    <row r="2530" spans="6:6">
      <c r="F2530" s="1" t="str" cm="1">
        <f t="array" ref="F2530">_xlfn.LET(_xlpm.rowNum,MATCH(E2530,'glossaryterms-export'!C:C,0),
IF(AND(NOT(ISBLANK(INDEX('glossaryterms-export'!H:H,_xlpm.rowNum))),ISBLANK(INDEX('glossaryterms-export'!I:I,_xlpm.rowNum))),"Ready to Fix",""))</f>
        <v/>
      </c>
    </row>
    <row r="2531" spans="6:6">
      <c r="F2531" s="1" t="str" cm="1">
        <f t="array" ref="F2531">_xlfn.LET(_xlpm.rowNum,MATCH(E2531,'glossaryterms-export'!C:C,0),
IF(AND(NOT(ISBLANK(INDEX('glossaryterms-export'!H:H,_xlpm.rowNum))),ISBLANK(INDEX('glossaryterms-export'!I:I,_xlpm.rowNum))),"Ready to Fix",""))</f>
        <v/>
      </c>
    </row>
    <row r="2532" spans="6:6">
      <c r="F2532" s="1" t="str" cm="1">
        <f t="array" ref="F2532">_xlfn.LET(_xlpm.rowNum,MATCH(E2532,'glossaryterms-export'!C:C,0),
IF(AND(NOT(ISBLANK(INDEX('glossaryterms-export'!H:H,_xlpm.rowNum))),ISBLANK(INDEX('glossaryterms-export'!I:I,_xlpm.rowNum))),"Ready to Fix",""))</f>
        <v/>
      </c>
    </row>
    <row r="2533" spans="6:6">
      <c r="F2533" s="1" t="str" cm="1">
        <f t="array" ref="F2533">_xlfn.LET(_xlpm.rowNum,MATCH(E2533,'glossaryterms-export'!C:C,0),
IF(AND(NOT(ISBLANK(INDEX('glossaryterms-export'!H:H,_xlpm.rowNum))),ISBLANK(INDEX('glossaryterms-export'!I:I,_xlpm.rowNum))),"Ready to Fix",""))</f>
        <v/>
      </c>
    </row>
    <row r="2534" spans="6:6">
      <c r="F2534" s="1" t="str" cm="1">
        <f t="array" ref="F2534">_xlfn.LET(_xlpm.rowNum,MATCH(E2534,'glossaryterms-export'!C:C,0),
IF(AND(NOT(ISBLANK(INDEX('glossaryterms-export'!H:H,_xlpm.rowNum))),ISBLANK(INDEX('glossaryterms-export'!I:I,_xlpm.rowNum))),"Ready to Fix",""))</f>
        <v/>
      </c>
    </row>
    <row r="2535" spans="6:6">
      <c r="F2535" s="1" t="str" cm="1">
        <f t="array" ref="F2535">_xlfn.LET(_xlpm.rowNum,MATCH(E2535,'glossaryterms-export'!C:C,0),
IF(AND(NOT(ISBLANK(INDEX('glossaryterms-export'!H:H,_xlpm.rowNum))),ISBLANK(INDEX('glossaryterms-export'!I:I,_xlpm.rowNum))),"Ready to Fix",""))</f>
        <v/>
      </c>
    </row>
    <row r="2536" spans="6:6">
      <c r="F2536" s="1" t="str" cm="1">
        <f t="array" ref="F2536">_xlfn.LET(_xlpm.rowNum,MATCH(E2536,'glossaryterms-export'!C:C,0),
IF(AND(NOT(ISBLANK(INDEX('glossaryterms-export'!H:H,_xlpm.rowNum))),ISBLANK(INDEX('glossaryterms-export'!I:I,_xlpm.rowNum))),"Ready to Fix",""))</f>
        <v/>
      </c>
    </row>
    <row r="2537" spans="6:6">
      <c r="F2537" s="1" t="str" cm="1">
        <f t="array" ref="F2537">_xlfn.LET(_xlpm.rowNum,MATCH(E2537,'glossaryterms-export'!C:C,0),
IF(AND(NOT(ISBLANK(INDEX('glossaryterms-export'!H:H,_xlpm.rowNum))),ISBLANK(INDEX('glossaryterms-export'!I:I,_xlpm.rowNum))),"Ready to Fix",""))</f>
        <v/>
      </c>
    </row>
    <row r="2538" spans="6:6">
      <c r="F2538" s="1" t="str" cm="1">
        <f t="array" ref="F2538">_xlfn.LET(_xlpm.rowNum,MATCH(E2538,'glossaryterms-export'!C:C,0),
IF(AND(NOT(ISBLANK(INDEX('glossaryterms-export'!H:H,_xlpm.rowNum))),ISBLANK(INDEX('glossaryterms-export'!I:I,_xlpm.rowNum))),"Ready to Fix",""))</f>
        <v/>
      </c>
    </row>
    <row r="2539" spans="6:6">
      <c r="F2539" s="1" t="str" cm="1">
        <f t="array" ref="F2539">_xlfn.LET(_xlpm.rowNum,MATCH(E2539,'glossaryterms-export'!C:C,0),
IF(AND(NOT(ISBLANK(INDEX('glossaryterms-export'!H:H,_xlpm.rowNum))),ISBLANK(INDEX('glossaryterms-export'!I:I,_xlpm.rowNum))),"Ready to Fix",""))</f>
        <v/>
      </c>
    </row>
    <row r="2540" spans="6:6">
      <c r="F2540" s="1" t="str" cm="1">
        <f t="array" ref="F2540">_xlfn.LET(_xlpm.rowNum,MATCH(E2540,'glossaryterms-export'!C:C,0),
IF(AND(NOT(ISBLANK(INDEX('glossaryterms-export'!H:H,_xlpm.rowNum))),ISBLANK(INDEX('glossaryterms-export'!I:I,_xlpm.rowNum))),"Ready to Fix",""))</f>
        <v/>
      </c>
    </row>
    <row r="2541" spans="6:6">
      <c r="F2541" s="1" t="str" cm="1">
        <f t="array" ref="F2541">_xlfn.LET(_xlpm.rowNum,MATCH(E2541,'glossaryterms-export'!C:C,0),
IF(AND(NOT(ISBLANK(INDEX('glossaryterms-export'!H:H,_xlpm.rowNum))),ISBLANK(INDEX('glossaryterms-export'!I:I,_xlpm.rowNum))),"Ready to Fix",""))</f>
        <v/>
      </c>
    </row>
    <row r="2542" spans="6:6">
      <c r="F2542" s="1" t="str" cm="1">
        <f t="array" ref="F2542">_xlfn.LET(_xlpm.rowNum,MATCH(E2542,'glossaryterms-export'!C:C,0),
IF(AND(NOT(ISBLANK(INDEX('glossaryterms-export'!H:H,_xlpm.rowNum))),ISBLANK(INDEX('glossaryterms-export'!I:I,_xlpm.rowNum))),"Ready to Fix",""))</f>
        <v/>
      </c>
    </row>
    <row r="2543" spans="6:6">
      <c r="F2543" s="1" t="str" cm="1">
        <f t="array" ref="F2543">_xlfn.LET(_xlpm.rowNum,MATCH(E2543,'glossaryterms-export'!C:C,0),
IF(AND(NOT(ISBLANK(INDEX('glossaryterms-export'!H:H,_xlpm.rowNum))),ISBLANK(INDEX('glossaryterms-export'!I:I,_xlpm.rowNum))),"Ready to Fix",""))</f>
        <v/>
      </c>
    </row>
    <row r="2544" spans="6:6">
      <c r="F2544" s="1" t="str" cm="1">
        <f t="array" ref="F2544">_xlfn.LET(_xlpm.rowNum,MATCH(E2544,'glossaryterms-export'!C:C,0),
IF(AND(NOT(ISBLANK(INDEX('glossaryterms-export'!H:H,_xlpm.rowNum))),ISBLANK(INDEX('glossaryterms-export'!I:I,_xlpm.rowNum))),"Ready to Fix",""))</f>
        <v/>
      </c>
    </row>
    <row r="2545" spans="6:6">
      <c r="F2545" s="1" t="str" cm="1">
        <f t="array" ref="F2545">_xlfn.LET(_xlpm.rowNum,MATCH(E2545,'glossaryterms-export'!C:C,0),
IF(AND(NOT(ISBLANK(INDEX('glossaryterms-export'!H:H,_xlpm.rowNum))),ISBLANK(INDEX('glossaryterms-export'!I:I,_xlpm.rowNum))),"Ready to Fix",""))</f>
        <v/>
      </c>
    </row>
    <row r="2546" spans="6:6">
      <c r="F2546" s="1" t="str" cm="1">
        <f t="array" ref="F2546">_xlfn.LET(_xlpm.rowNum,MATCH(E2546,'glossaryterms-export'!C:C,0),
IF(AND(NOT(ISBLANK(INDEX('glossaryterms-export'!H:H,_xlpm.rowNum))),ISBLANK(INDEX('glossaryterms-export'!I:I,_xlpm.rowNum))),"Ready to Fix",""))</f>
        <v/>
      </c>
    </row>
    <row r="2547" spans="6:6">
      <c r="F2547" s="1" t="str" cm="1">
        <f t="array" ref="F2547">_xlfn.LET(_xlpm.rowNum,MATCH(E2547,'glossaryterms-export'!C:C,0),
IF(AND(NOT(ISBLANK(INDEX('glossaryterms-export'!H:H,_xlpm.rowNum))),ISBLANK(INDEX('glossaryterms-export'!I:I,_xlpm.rowNum))),"Ready to Fix",""))</f>
        <v/>
      </c>
    </row>
    <row r="2548" spans="6:6">
      <c r="F2548" s="1" t="str" cm="1">
        <f t="array" ref="F2548">_xlfn.LET(_xlpm.rowNum,MATCH(E2548,'glossaryterms-export'!C:C,0),
IF(AND(NOT(ISBLANK(INDEX('glossaryterms-export'!H:H,_xlpm.rowNum))),ISBLANK(INDEX('glossaryterms-export'!I:I,_xlpm.rowNum))),"Ready to Fix",""))</f>
        <v/>
      </c>
    </row>
    <row r="2549" spans="6:6">
      <c r="F2549" s="1" t="str" cm="1">
        <f t="array" ref="F2549">_xlfn.LET(_xlpm.rowNum,MATCH(E2549,'glossaryterms-export'!C:C,0),
IF(AND(NOT(ISBLANK(INDEX('glossaryterms-export'!H:H,_xlpm.rowNum))),ISBLANK(INDEX('glossaryterms-export'!I:I,_xlpm.rowNum))),"Ready to Fix",""))</f>
        <v/>
      </c>
    </row>
    <row r="2550" spans="6:6">
      <c r="F2550" s="1" t="str" cm="1">
        <f t="array" ref="F2550">_xlfn.LET(_xlpm.rowNum,MATCH(E2550,'glossaryterms-export'!C:C,0),
IF(AND(NOT(ISBLANK(INDEX('glossaryterms-export'!H:H,_xlpm.rowNum))),ISBLANK(INDEX('glossaryterms-export'!I:I,_xlpm.rowNum))),"Ready to Fix",""))</f>
        <v/>
      </c>
    </row>
    <row r="2551" spans="6:6">
      <c r="F2551" s="1" t="str" cm="1">
        <f t="array" ref="F2551">_xlfn.LET(_xlpm.rowNum,MATCH(E2551,'glossaryterms-export'!C:C,0),
IF(AND(NOT(ISBLANK(INDEX('glossaryterms-export'!H:H,_xlpm.rowNum))),ISBLANK(INDEX('glossaryterms-export'!I:I,_xlpm.rowNum))),"Ready to Fix",""))</f>
        <v/>
      </c>
    </row>
    <row r="2552" spans="6:6">
      <c r="F2552" s="1" t="str" cm="1">
        <f t="array" ref="F2552">_xlfn.LET(_xlpm.rowNum,MATCH(E2552,'glossaryterms-export'!C:C,0),
IF(AND(NOT(ISBLANK(INDEX('glossaryterms-export'!H:H,_xlpm.rowNum))),ISBLANK(INDEX('glossaryterms-export'!I:I,_xlpm.rowNum))),"Ready to Fix",""))</f>
        <v/>
      </c>
    </row>
    <row r="2553" spans="6:6">
      <c r="F2553" s="1" t="str" cm="1">
        <f t="array" ref="F2553">_xlfn.LET(_xlpm.rowNum,MATCH(E2553,'glossaryterms-export'!C:C,0),
IF(AND(NOT(ISBLANK(INDEX('glossaryterms-export'!H:H,_xlpm.rowNum))),ISBLANK(INDEX('glossaryterms-export'!I:I,_xlpm.rowNum))),"Ready to Fix",""))</f>
        <v/>
      </c>
    </row>
    <row r="2554" spans="6:6">
      <c r="F2554" s="1" t="str" cm="1">
        <f t="array" ref="F2554">_xlfn.LET(_xlpm.rowNum,MATCH(E2554,'glossaryterms-export'!C:C,0),
IF(AND(NOT(ISBLANK(INDEX('glossaryterms-export'!H:H,_xlpm.rowNum))),ISBLANK(INDEX('glossaryterms-export'!I:I,_xlpm.rowNum))),"Ready to Fix",""))</f>
        <v/>
      </c>
    </row>
    <row r="2555" spans="6:6">
      <c r="F2555" s="1" t="str" cm="1">
        <f t="array" ref="F2555">_xlfn.LET(_xlpm.rowNum,MATCH(E2555,'glossaryterms-export'!C:C,0),
IF(AND(NOT(ISBLANK(INDEX('glossaryterms-export'!H:H,_xlpm.rowNum))),ISBLANK(INDEX('glossaryterms-export'!I:I,_xlpm.rowNum))),"Ready to Fix",""))</f>
        <v/>
      </c>
    </row>
    <row r="2556" spans="6:6">
      <c r="F2556" s="1" t="str" cm="1">
        <f t="array" ref="F2556">_xlfn.LET(_xlpm.rowNum,MATCH(E2556,'glossaryterms-export'!C:C,0),
IF(AND(NOT(ISBLANK(INDEX('glossaryterms-export'!H:H,_xlpm.rowNum))),ISBLANK(INDEX('glossaryterms-export'!I:I,_xlpm.rowNum))),"Ready to Fix",""))</f>
        <v/>
      </c>
    </row>
    <row r="2557" spans="6:6">
      <c r="F2557" s="1" t="str" cm="1">
        <f t="array" ref="F2557">_xlfn.LET(_xlpm.rowNum,MATCH(E2557,'glossaryterms-export'!C:C,0),
IF(AND(NOT(ISBLANK(INDEX('glossaryterms-export'!H:H,_xlpm.rowNum))),ISBLANK(INDEX('glossaryterms-export'!I:I,_xlpm.rowNum))),"Ready to Fix",""))</f>
        <v/>
      </c>
    </row>
    <row r="2558" spans="6:6">
      <c r="F2558" s="1" t="str" cm="1">
        <f t="array" ref="F2558">_xlfn.LET(_xlpm.rowNum,MATCH(E2558,'glossaryterms-export'!C:C,0),
IF(AND(NOT(ISBLANK(INDEX('glossaryterms-export'!H:H,_xlpm.rowNum))),ISBLANK(INDEX('glossaryterms-export'!I:I,_xlpm.rowNum))),"Ready to Fix",""))</f>
        <v/>
      </c>
    </row>
    <row r="2559" spans="6:6">
      <c r="F2559" s="1" t="str" cm="1">
        <f t="array" ref="F2559">_xlfn.LET(_xlpm.rowNum,MATCH(E2559,'glossaryterms-export'!C:C,0),
IF(AND(NOT(ISBLANK(INDEX('glossaryterms-export'!H:H,_xlpm.rowNum))),ISBLANK(INDEX('glossaryterms-export'!I:I,_xlpm.rowNum))),"Ready to Fix",""))</f>
        <v/>
      </c>
    </row>
    <row r="2560" spans="6:6">
      <c r="F2560" s="1" t="str" cm="1">
        <f t="array" ref="F2560">_xlfn.LET(_xlpm.rowNum,MATCH(E2560,'glossaryterms-export'!C:C,0),
IF(AND(NOT(ISBLANK(INDEX('glossaryterms-export'!H:H,_xlpm.rowNum))),ISBLANK(INDEX('glossaryterms-export'!I:I,_xlpm.rowNum))),"Ready to Fix",""))</f>
        <v/>
      </c>
    </row>
    <row r="2561" spans="6:6">
      <c r="F2561" s="1" t="str" cm="1">
        <f t="array" ref="F2561">_xlfn.LET(_xlpm.rowNum,MATCH(E2561,'glossaryterms-export'!C:C,0),
IF(AND(NOT(ISBLANK(INDEX('glossaryterms-export'!H:H,_xlpm.rowNum))),ISBLANK(INDEX('glossaryterms-export'!I:I,_xlpm.rowNum))),"Ready to Fix",""))</f>
        <v/>
      </c>
    </row>
    <row r="2562" spans="6:6">
      <c r="F2562" s="1" t="str" cm="1">
        <f t="array" ref="F2562">_xlfn.LET(_xlpm.rowNum,MATCH(E2562,'glossaryterms-export'!C:C,0),
IF(AND(NOT(ISBLANK(INDEX('glossaryterms-export'!H:H,_xlpm.rowNum))),ISBLANK(INDEX('glossaryterms-export'!I:I,_xlpm.rowNum))),"Ready to Fix",""))</f>
        <v/>
      </c>
    </row>
    <row r="2563" spans="6:6">
      <c r="F2563" s="1" t="str" cm="1">
        <f t="array" ref="F2563">_xlfn.LET(_xlpm.rowNum,MATCH(E2563,'glossaryterms-export'!C:C,0),
IF(AND(NOT(ISBLANK(INDEX('glossaryterms-export'!H:H,_xlpm.rowNum))),ISBLANK(INDEX('glossaryterms-export'!I:I,_xlpm.rowNum))),"Ready to Fix",""))</f>
        <v/>
      </c>
    </row>
    <row r="2564" spans="6:6">
      <c r="F2564" s="1" t="str" cm="1">
        <f t="array" ref="F2564">_xlfn.LET(_xlpm.rowNum,MATCH(E2564,'glossaryterms-export'!C:C,0),
IF(AND(NOT(ISBLANK(INDEX('glossaryterms-export'!H:H,_xlpm.rowNum))),ISBLANK(INDEX('glossaryterms-export'!I:I,_xlpm.rowNum))),"Ready to Fix",""))</f>
        <v/>
      </c>
    </row>
    <row r="2565" spans="6:6">
      <c r="F2565" s="1" t="str" cm="1">
        <f t="array" ref="F2565">_xlfn.LET(_xlpm.rowNum,MATCH(E2565,'glossaryterms-export'!C:C,0),
IF(AND(NOT(ISBLANK(INDEX('glossaryterms-export'!H:H,_xlpm.rowNum))),ISBLANK(INDEX('glossaryterms-export'!I:I,_xlpm.rowNum))),"Ready to Fix",""))</f>
        <v/>
      </c>
    </row>
    <row r="2566" spans="6:6">
      <c r="F2566" s="1" t="str" cm="1">
        <f t="array" ref="F2566">_xlfn.LET(_xlpm.rowNum,MATCH(E2566,'glossaryterms-export'!C:C,0),
IF(AND(NOT(ISBLANK(INDEX('glossaryterms-export'!H:H,_xlpm.rowNum))),ISBLANK(INDEX('glossaryterms-export'!I:I,_xlpm.rowNum))),"Ready to Fix",""))</f>
        <v/>
      </c>
    </row>
    <row r="2567" spans="6:6">
      <c r="F2567" s="1" t="str" cm="1">
        <f t="array" ref="F2567">_xlfn.LET(_xlpm.rowNum,MATCH(E2567,'glossaryterms-export'!C:C,0),
IF(AND(NOT(ISBLANK(INDEX('glossaryterms-export'!H:H,_xlpm.rowNum))),ISBLANK(INDEX('glossaryterms-export'!I:I,_xlpm.rowNum))),"Ready to Fix",""))</f>
        <v/>
      </c>
    </row>
    <row r="2568" spans="6:6">
      <c r="F2568" s="1" t="str" cm="1">
        <f t="array" ref="F2568">_xlfn.LET(_xlpm.rowNum,MATCH(E2568,'glossaryterms-export'!C:C,0),
IF(AND(NOT(ISBLANK(INDEX('glossaryterms-export'!H:H,_xlpm.rowNum))),ISBLANK(INDEX('glossaryterms-export'!I:I,_xlpm.rowNum))),"Ready to Fix",""))</f>
        <v/>
      </c>
    </row>
    <row r="2569" spans="6:6">
      <c r="F2569" s="1" t="str" cm="1">
        <f t="array" ref="F2569">_xlfn.LET(_xlpm.rowNum,MATCH(E2569,'glossaryterms-export'!C:C,0),
IF(AND(NOT(ISBLANK(INDEX('glossaryterms-export'!H:H,_xlpm.rowNum))),ISBLANK(INDEX('glossaryterms-export'!I:I,_xlpm.rowNum))),"Ready to Fix",""))</f>
        <v/>
      </c>
    </row>
    <row r="2570" spans="6:6">
      <c r="F2570" s="1" t="str" cm="1">
        <f t="array" ref="F2570">_xlfn.LET(_xlpm.rowNum,MATCH(E2570,'glossaryterms-export'!C:C,0),
IF(AND(NOT(ISBLANK(INDEX('glossaryterms-export'!H:H,_xlpm.rowNum))),ISBLANK(INDEX('glossaryterms-export'!I:I,_xlpm.rowNum))),"Ready to Fix",""))</f>
        <v/>
      </c>
    </row>
    <row r="2571" spans="6:6">
      <c r="F2571" s="1" t="str" cm="1">
        <f t="array" ref="F2571">_xlfn.LET(_xlpm.rowNum,MATCH(E2571,'glossaryterms-export'!C:C,0),
IF(AND(NOT(ISBLANK(INDEX('glossaryterms-export'!H:H,_xlpm.rowNum))),ISBLANK(INDEX('glossaryterms-export'!I:I,_xlpm.rowNum))),"Ready to Fix",""))</f>
        <v/>
      </c>
    </row>
    <row r="2572" spans="6:6">
      <c r="F2572" s="1" t="str" cm="1">
        <f t="array" ref="F2572">_xlfn.LET(_xlpm.rowNum,MATCH(E2572,'glossaryterms-export'!C:C,0),
IF(AND(NOT(ISBLANK(INDEX('glossaryterms-export'!H:H,_xlpm.rowNum))),ISBLANK(INDEX('glossaryterms-export'!I:I,_xlpm.rowNum))),"Ready to Fix",""))</f>
        <v/>
      </c>
    </row>
    <row r="2573" spans="6:6">
      <c r="F2573" s="1" t="str" cm="1">
        <f t="array" ref="F2573">_xlfn.LET(_xlpm.rowNum,MATCH(E2573,'glossaryterms-export'!C:C,0),
IF(AND(NOT(ISBLANK(INDEX('glossaryterms-export'!H:H,_xlpm.rowNum))),ISBLANK(INDEX('glossaryterms-export'!I:I,_xlpm.rowNum))),"Ready to Fix",""))</f>
        <v/>
      </c>
    </row>
    <row r="2574" spans="6:6">
      <c r="F2574" s="1" t="str" cm="1">
        <f t="array" ref="F2574">_xlfn.LET(_xlpm.rowNum,MATCH(E2574,'glossaryterms-export'!C:C,0),
IF(AND(NOT(ISBLANK(INDEX('glossaryterms-export'!H:H,_xlpm.rowNum))),ISBLANK(INDEX('glossaryterms-export'!I:I,_xlpm.rowNum))),"Ready to Fix",""))</f>
        <v/>
      </c>
    </row>
    <row r="2575" spans="6:6">
      <c r="F2575" s="1" t="str" cm="1">
        <f t="array" ref="F2575">_xlfn.LET(_xlpm.rowNum,MATCH(E2575,'glossaryterms-export'!C:C,0),
IF(AND(NOT(ISBLANK(INDEX('glossaryterms-export'!H:H,_xlpm.rowNum))),ISBLANK(INDEX('glossaryterms-export'!I:I,_xlpm.rowNum))),"Ready to Fix",""))</f>
        <v/>
      </c>
    </row>
    <row r="2576" spans="6:6">
      <c r="F2576" s="1" t="str" cm="1">
        <f t="array" ref="F2576">_xlfn.LET(_xlpm.rowNum,MATCH(E2576,'glossaryterms-export'!C:C,0),
IF(AND(NOT(ISBLANK(INDEX('glossaryterms-export'!H:H,_xlpm.rowNum))),ISBLANK(INDEX('glossaryterms-export'!I:I,_xlpm.rowNum))),"Ready to Fix",""))</f>
        <v/>
      </c>
    </row>
    <row r="2577" spans="6:6">
      <c r="F2577" s="1" t="str" cm="1">
        <f t="array" ref="F2577">_xlfn.LET(_xlpm.rowNum,MATCH(E2577,'glossaryterms-export'!C:C,0),
IF(AND(NOT(ISBLANK(INDEX('glossaryterms-export'!H:H,_xlpm.rowNum))),ISBLANK(INDEX('glossaryterms-export'!I:I,_xlpm.rowNum))),"Ready to Fix",""))</f>
        <v/>
      </c>
    </row>
    <row r="2578" spans="6:6">
      <c r="F2578" s="1" t="str" cm="1">
        <f t="array" ref="F2578">_xlfn.LET(_xlpm.rowNum,MATCH(E2578,'glossaryterms-export'!C:C,0),
IF(AND(NOT(ISBLANK(INDEX('glossaryterms-export'!H:H,_xlpm.rowNum))),ISBLANK(INDEX('glossaryterms-export'!I:I,_xlpm.rowNum))),"Ready to Fix",""))</f>
        <v/>
      </c>
    </row>
    <row r="2579" spans="6:6">
      <c r="F2579" s="1" t="str" cm="1">
        <f t="array" ref="F2579">_xlfn.LET(_xlpm.rowNum,MATCH(E2579,'glossaryterms-export'!C:C,0),
IF(AND(NOT(ISBLANK(INDEX('glossaryterms-export'!H:H,_xlpm.rowNum))),ISBLANK(INDEX('glossaryterms-export'!I:I,_xlpm.rowNum))),"Ready to Fix",""))</f>
        <v/>
      </c>
    </row>
    <row r="2580" spans="6:6">
      <c r="F2580" s="1" t="str" cm="1">
        <f t="array" ref="F2580">_xlfn.LET(_xlpm.rowNum,MATCH(E2580,'glossaryterms-export'!C:C,0),
IF(AND(NOT(ISBLANK(INDEX('glossaryterms-export'!H:H,_xlpm.rowNum))),ISBLANK(INDEX('glossaryterms-export'!I:I,_xlpm.rowNum))),"Ready to Fix",""))</f>
        <v/>
      </c>
    </row>
    <row r="2581" spans="6:6">
      <c r="F2581" s="1" t="str" cm="1">
        <f t="array" ref="F2581">_xlfn.LET(_xlpm.rowNum,MATCH(E2581,'glossaryterms-export'!C:C,0),
IF(AND(NOT(ISBLANK(INDEX('glossaryterms-export'!H:H,_xlpm.rowNum))),ISBLANK(INDEX('glossaryterms-export'!I:I,_xlpm.rowNum))),"Ready to Fix",""))</f>
        <v/>
      </c>
    </row>
    <row r="2582" spans="6:6">
      <c r="F2582" s="1" t="str" cm="1">
        <f t="array" ref="F2582">_xlfn.LET(_xlpm.rowNum,MATCH(E2582,'glossaryterms-export'!C:C,0),
IF(AND(NOT(ISBLANK(INDEX('glossaryterms-export'!H:H,_xlpm.rowNum))),ISBLANK(INDEX('glossaryterms-export'!I:I,_xlpm.rowNum))),"Ready to Fix",""))</f>
        <v/>
      </c>
    </row>
    <row r="2583" spans="6:6">
      <c r="F2583" s="1" t="str" cm="1">
        <f t="array" ref="F2583">_xlfn.LET(_xlpm.rowNum,MATCH(E2583,'glossaryterms-export'!C:C,0),
IF(AND(NOT(ISBLANK(INDEX('glossaryterms-export'!H:H,_xlpm.rowNum))),ISBLANK(INDEX('glossaryterms-export'!I:I,_xlpm.rowNum))),"Ready to Fix",""))</f>
        <v/>
      </c>
    </row>
    <row r="2584" spans="6:6">
      <c r="F2584" s="1" t="str" cm="1">
        <f t="array" ref="F2584">_xlfn.LET(_xlpm.rowNum,MATCH(E2584,'glossaryterms-export'!C:C,0),
IF(AND(NOT(ISBLANK(INDEX('glossaryterms-export'!H:H,_xlpm.rowNum))),ISBLANK(INDEX('glossaryterms-export'!I:I,_xlpm.rowNum))),"Ready to Fix",""))</f>
        <v/>
      </c>
    </row>
    <row r="2585" spans="6:6">
      <c r="F2585" s="1" t="str" cm="1">
        <f t="array" ref="F2585">_xlfn.LET(_xlpm.rowNum,MATCH(E2585,'glossaryterms-export'!C:C,0),
IF(AND(NOT(ISBLANK(INDEX('glossaryterms-export'!H:H,_xlpm.rowNum))),ISBLANK(INDEX('glossaryterms-export'!I:I,_xlpm.rowNum))),"Ready to Fix",""))</f>
        <v/>
      </c>
    </row>
    <row r="2586" spans="6:6">
      <c r="F2586" s="1" t="str" cm="1">
        <f t="array" ref="F2586">_xlfn.LET(_xlpm.rowNum,MATCH(E2586,'glossaryterms-export'!C:C,0),
IF(AND(NOT(ISBLANK(INDEX('glossaryterms-export'!H:H,_xlpm.rowNum))),ISBLANK(INDEX('glossaryterms-export'!I:I,_xlpm.rowNum))),"Ready to Fix",""))</f>
        <v/>
      </c>
    </row>
    <row r="2587" spans="6:6">
      <c r="F2587" s="1" t="str" cm="1">
        <f t="array" ref="F2587">_xlfn.LET(_xlpm.rowNum,MATCH(E2587,'glossaryterms-export'!C:C,0),
IF(AND(NOT(ISBLANK(INDEX('glossaryterms-export'!H:H,_xlpm.rowNum))),ISBLANK(INDEX('glossaryterms-export'!I:I,_xlpm.rowNum))),"Ready to Fix",""))</f>
        <v/>
      </c>
    </row>
    <row r="2588" spans="6:6">
      <c r="F2588" s="1" t="str" cm="1">
        <f t="array" ref="F2588">_xlfn.LET(_xlpm.rowNum,MATCH(E2588,'glossaryterms-export'!C:C,0),
IF(AND(NOT(ISBLANK(INDEX('glossaryterms-export'!H:H,_xlpm.rowNum))),ISBLANK(INDEX('glossaryterms-export'!I:I,_xlpm.rowNum))),"Ready to Fix",""))</f>
        <v/>
      </c>
    </row>
    <row r="2589" spans="6:6">
      <c r="F2589" s="1" t="str" cm="1">
        <f t="array" ref="F2589">_xlfn.LET(_xlpm.rowNum,MATCH(E2589,'glossaryterms-export'!C:C,0),
IF(AND(NOT(ISBLANK(INDEX('glossaryterms-export'!H:H,_xlpm.rowNum))),ISBLANK(INDEX('glossaryterms-export'!I:I,_xlpm.rowNum))),"Ready to Fix",""))</f>
        <v/>
      </c>
    </row>
    <row r="2590" spans="6:6">
      <c r="F2590" s="1" t="str" cm="1">
        <f t="array" ref="F2590">_xlfn.LET(_xlpm.rowNum,MATCH(E2590,'glossaryterms-export'!C:C,0),
IF(AND(NOT(ISBLANK(INDEX('glossaryterms-export'!H:H,_xlpm.rowNum))),ISBLANK(INDEX('glossaryterms-export'!I:I,_xlpm.rowNum))),"Ready to Fix",""))</f>
        <v/>
      </c>
    </row>
    <row r="2591" spans="6:6">
      <c r="F2591" s="1" t="str" cm="1">
        <f t="array" ref="F2591">_xlfn.LET(_xlpm.rowNum,MATCH(E2591,'glossaryterms-export'!C:C,0),
IF(AND(NOT(ISBLANK(INDEX('glossaryterms-export'!H:H,_xlpm.rowNum))),ISBLANK(INDEX('glossaryterms-export'!I:I,_xlpm.rowNum))),"Ready to Fix",""))</f>
        <v/>
      </c>
    </row>
    <row r="2592" spans="6:6">
      <c r="F2592" s="1" t="str" cm="1">
        <f t="array" ref="F2592">_xlfn.LET(_xlpm.rowNum,MATCH(E2592,'glossaryterms-export'!C:C,0),
IF(AND(NOT(ISBLANK(INDEX('glossaryterms-export'!H:H,_xlpm.rowNum))),ISBLANK(INDEX('glossaryterms-export'!I:I,_xlpm.rowNum))),"Ready to Fix",""))</f>
        <v/>
      </c>
    </row>
    <row r="2593" spans="6:6">
      <c r="F2593" s="1" t="str" cm="1">
        <f t="array" ref="F2593">_xlfn.LET(_xlpm.rowNum,MATCH(E2593,'glossaryterms-export'!C:C,0),
IF(AND(NOT(ISBLANK(INDEX('glossaryterms-export'!H:H,_xlpm.rowNum))),ISBLANK(INDEX('glossaryterms-export'!I:I,_xlpm.rowNum))),"Ready to Fix",""))</f>
        <v/>
      </c>
    </row>
    <row r="2594" spans="6:6">
      <c r="F2594" s="1" t="str" cm="1">
        <f t="array" ref="F2594">_xlfn.LET(_xlpm.rowNum,MATCH(E2594,'glossaryterms-export'!C:C,0),
IF(AND(NOT(ISBLANK(INDEX('glossaryterms-export'!H:H,_xlpm.rowNum))),ISBLANK(INDEX('glossaryterms-export'!I:I,_xlpm.rowNum))),"Ready to Fix",""))</f>
        <v/>
      </c>
    </row>
    <row r="2595" spans="6:6">
      <c r="F2595" s="1" t="str" cm="1">
        <f t="array" ref="F2595">_xlfn.LET(_xlpm.rowNum,MATCH(E2595,'glossaryterms-export'!C:C,0),
IF(AND(NOT(ISBLANK(INDEX('glossaryterms-export'!H:H,_xlpm.rowNum))),ISBLANK(INDEX('glossaryterms-export'!I:I,_xlpm.rowNum))),"Ready to Fix",""))</f>
        <v/>
      </c>
    </row>
    <row r="2596" spans="6:6">
      <c r="F2596" s="1" t="str" cm="1">
        <f t="array" ref="F2596">_xlfn.LET(_xlpm.rowNum,MATCH(E2596,'glossaryterms-export'!C:C,0),
IF(AND(NOT(ISBLANK(INDEX('glossaryterms-export'!H:H,_xlpm.rowNum))),ISBLANK(INDEX('glossaryterms-export'!I:I,_xlpm.rowNum))),"Ready to Fix",""))</f>
        <v/>
      </c>
    </row>
    <row r="2597" spans="6:6">
      <c r="F2597" s="1" t="str" cm="1">
        <f t="array" ref="F2597">_xlfn.LET(_xlpm.rowNum,MATCH(E2597,'glossaryterms-export'!C:C,0),
IF(AND(NOT(ISBLANK(INDEX('glossaryterms-export'!H:H,_xlpm.rowNum))),ISBLANK(INDEX('glossaryterms-export'!I:I,_xlpm.rowNum))),"Ready to Fix",""))</f>
        <v/>
      </c>
    </row>
    <row r="2598" spans="6:6">
      <c r="F2598" s="1" t="str" cm="1">
        <f t="array" ref="F2598">_xlfn.LET(_xlpm.rowNum,MATCH(E2598,'glossaryterms-export'!C:C,0),
IF(AND(NOT(ISBLANK(INDEX('glossaryterms-export'!H:H,_xlpm.rowNum))),ISBLANK(INDEX('glossaryterms-export'!I:I,_xlpm.rowNum))),"Ready to Fix",""))</f>
        <v/>
      </c>
    </row>
    <row r="2599" spans="6:6">
      <c r="F2599" s="1" t="str" cm="1">
        <f t="array" ref="F2599">_xlfn.LET(_xlpm.rowNum,MATCH(E2599,'glossaryterms-export'!C:C,0),
IF(AND(NOT(ISBLANK(INDEX('glossaryterms-export'!H:H,_xlpm.rowNum))),ISBLANK(INDEX('glossaryterms-export'!I:I,_xlpm.rowNum))),"Ready to Fix",""))</f>
        <v/>
      </c>
    </row>
    <row r="2600" spans="6:6">
      <c r="F2600" s="1" t="str" cm="1">
        <f t="array" ref="F2600">_xlfn.LET(_xlpm.rowNum,MATCH(E2600,'glossaryterms-export'!C:C,0),
IF(AND(NOT(ISBLANK(INDEX('glossaryterms-export'!H:H,_xlpm.rowNum))),ISBLANK(INDEX('glossaryterms-export'!I:I,_xlpm.rowNum))),"Ready to Fix",""))</f>
        <v/>
      </c>
    </row>
    <row r="2601" spans="6:6">
      <c r="F2601" s="1" t="str" cm="1">
        <f t="array" ref="F2601">_xlfn.LET(_xlpm.rowNum,MATCH(E2601,'glossaryterms-export'!C:C,0),
IF(AND(NOT(ISBLANK(INDEX('glossaryterms-export'!H:H,_xlpm.rowNum))),ISBLANK(INDEX('glossaryterms-export'!I:I,_xlpm.rowNum))),"Ready to Fix",""))</f>
        <v/>
      </c>
    </row>
    <row r="2602" spans="6:6">
      <c r="F2602" s="1" t="str" cm="1">
        <f t="array" ref="F2602">_xlfn.LET(_xlpm.rowNum,MATCH(E2602,'glossaryterms-export'!C:C,0),
IF(AND(NOT(ISBLANK(INDEX('glossaryterms-export'!H:H,_xlpm.rowNum))),ISBLANK(INDEX('glossaryterms-export'!I:I,_xlpm.rowNum))),"Ready to Fix",""))</f>
        <v/>
      </c>
    </row>
    <row r="2603" spans="6:6">
      <c r="F2603" s="1" t="str" cm="1">
        <f t="array" ref="F2603">_xlfn.LET(_xlpm.rowNum,MATCH(E2603,'glossaryterms-export'!C:C,0),
IF(AND(NOT(ISBLANK(INDEX('glossaryterms-export'!H:H,_xlpm.rowNum))),ISBLANK(INDEX('glossaryterms-export'!I:I,_xlpm.rowNum))),"Ready to Fix",""))</f>
        <v/>
      </c>
    </row>
    <row r="2604" spans="6:6">
      <c r="F2604" s="1" t="str" cm="1">
        <f t="array" ref="F2604">_xlfn.LET(_xlpm.rowNum,MATCH(E2604,'glossaryterms-export'!C:C,0),
IF(AND(NOT(ISBLANK(INDEX('glossaryterms-export'!H:H,_xlpm.rowNum))),ISBLANK(INDEX('glossaryterms-export'!I:I,_xlpm.rowNum))),"Ready to Fix",""))</f>
        <v/>
      </c>
    </row>
    <row r="2605" spans="6:6">
      <c r="F2605" s="1" t="str" cm="1">
        <f t="array" ref="F2605">_xlfn.LET(_xlpm.rowNum,MATCH(E2605,'glossaryterms-export'!C:C,0),
IF(AND(NOT(ISBLANK(INDEX('glossaryterms-export'!H:H,_xlpm.rowNum))),ISBLANK(INDEX('glossaryterms-export'!I:I,_xlpm.rowNum))),"Ready to Fix",""))</f>
        <v/>
      </c>
    </row>
    <row r="2606" spans="6:6">
      <c r="F2606" s="1" t="str" cm="1">
        <f t="array" ref="F2606">_xlfn.LET(_xlpm.rowNum,MATCH(E2606,'glossaryterms-export'!C:C,0),
IF(AND(NOT(ISBLANK(INDEX('glossaryterms-export'!H:H,_xlpm.rowNum))),ISBLANK(INDEX('glossaryterms-export'!I:I,_xlpm.rowNum))),"Ready to Fix",""))</f>
        <v/>
      </c>
    </row>
    <row r="2607" spans="6:6">
      <c r="F2607" s="1" t="str" cm="1">
        <f t="array" ref="F2607">_xlfn.LET(_xlpm.rowNum,MATCH(E2607,'glossaryterms-export'!C:C,0),
IF(AND(NOT(ISBLANK(INDEX('glossaryterms-export'!H:H,_xlpm.rowNum))),ISBLANK(INDEX('glossaryterms-export'!I:I,_xlpm.rowNum))),"Ready to Fix",""))</f>
        <v/>
      </c>
    </row>
    <row r="2608" spans="6:6">
      <c r="F2608" s="1" t="str" cm="1">
        <f t="array" ref="F2608">_xlfn.LET(_xlpm.rowNum,MATCH(E2608,'glossaryterms-export'!C:C,0),
IF(AND(NOT(ISBLANK(INDEX('glossaryterms-export'!H:H,_xlpm.rowNum))),ISBLANK(INDEX('glossaryterms-export'!I:I,_xlpm.rowNum))),"Ready to Fix",""))</f>
        <v/>
      </c>
    </row>
    <row r="2609" spans="6:6">
      <c r="F2609" s="1" t="str" cm="1">
        <f t="array" ref="F2609">_xlfn.LET(_xlpm.rowNum,MATCH(E2609,'glossaryterms-export'!C:C,0),
IF(AND(NOT(ISBLANK(INDEX('glossaryterms-export'!H:H,_xlpm.rowNum))),ISBLANK(INDEX('glossaryterms-export'!I:I,_xlpm.rowNum))),"Ready to Fix",""))</f>
        <v/>
      </c>
    </row>
    <row r="2610" spans="6:6">
      <c r="F2610" s="1" t="str" cm="1">
        <f t="array" ref="F2610">_xlfn.LET(_xlpm.rowNum,MATCH(E2610,'glossaryterms-export'!C:C,0),
IF(AND(NOT(ISBLANK(INDEX('glossaryterms-export'!H:H,_xlpm.rowNum))),ISBLANK(INDEX('glossaryterms-export'!I:I,_xlpm.rowNum))),"Ready to Fix",""))</f>
        <v/>
      </c>
    </row>
    <row r="2611" spans="6:6">
      <c r="F2611" s="1" t="str" cm="1">
        <f t="array" ref="F2611">_xlfn.LET(_xlpm.rowNum,MATCH(E2611,'glossaryterms-export'!C:C,0),
IF(AND(NOT(ISBLANK(INDEX('glossaryterms-export'!H:H,_xlpm.rowNum))),ISBLANK(INDEX('glossaryterms-export'!I:I,_xlpm.rowNum))),"Ready to Fix",""))</f>
        <v/>
      </c>
    </row>
    <row r="2612" spans="6:6">
      <c r="F2612" s="1" t="str" cm="1">
        <f t="array" ref="F2612">_xlfn.LET(_xlpm.rowNum,MATCH(E2612,'glossaryterms-export'!C:C,0),
IF(AND(NOT(ISBLANK(INDEX('glossaryterms-export'!H:H,_xlpm.rowNum))),ISBLANK(INDEX('glossaryterms-export'!I:I,_xlpm.rowNum))),"Ready to Fix",""))</f>
        <v/>
      </c>
    </row>
    <row r="2613" spans="6:6">
      <c r="F2613" s="1" t="str" cm="1">
        <f t="array" ref="F2613">_xlfn.LET(_xlpm.rowNum,MATCH(E2613,'glossaryterms-export'!C:C,0),
IF(AND(NOT(ISBLANK(INDEX('glossaryterms-export'!H:H,_xlpm.rowNum))),ISBLANK(INDEX('glossaryterms-export'!I:I,_xlpm.rowNum))),"Ready to Fix",""))</f>
        <v/>
      </c>
    </row>
    <row r="2614" spans="6:6">
      <c r="F2614" s="1" t="str" cm="1">
        <f t="array" ref="F2614">_xlfn.LET(_xlpm.rowNum,MATCH(E2614,'glossaryterms-export'!C:C,0),
IF(AND(NOT(ISBLANK(INDEX('glossaryterms-export'!H:H,_xlpm.rowNum))),ISBLANK(INDEX('glossaryterms-export'!I:I,_xlpm.rowNum))),"Ready to Fix",""))</f>
        <v/>
      </c>
    </row>
    <row r="2615" spans="6:6">
      <c r="F2615" s="1" t="str" cm="1">
        <f t="array" ref="F2615">_xlfn.LET(_xlpm.rowNum,MATCH(E2615,'glossaryterms-export'!C:C,0),
IF(AND(NOT(ISBLANK(INDEX('glossaryterms-export'!H:H,_xlpm.rowNum))),ISBLANK(INDEX('glossaryterms-export'!I:I,_xlpm.rowNum))),"Ready to Fix",""))</f>
        <v/>
      </c>
    </row>
    <row r="2616" spans="6:6">
      <c r="F2616" s="1" t="str" cm="1">
        <f t="array" ref="F2616">_xlfn.LET(_xlpm.rowNum,MATCH(E2616,'glossaryterms-export'!C:C,0),
IF(AND(NOT(ISBLANK(INDEX('glossaryterms-export'!H:H,_xlpm.rowNum))),ISBLANK(INDEX('glossaryterms-export'!I:I,_xlpm.rowNum))),"Ready to Fix",""))</f>
        <v/>
      </c>
    </row>
    <row r="2617" spans="6:6">
      <c r="F2617" s="1" t="str" cm="1">
        <f t="array" ref="F2617">_xlfn.LET(_xlpm.rowNum,MATCH(E2617,'glossaryterms-export'!C:C,0),
IF(AND(NOT(ISBLANK(INDEX('glossaryterms-export'!H:H,_xlpm.rowNum))),ISBLANK(INDEX('glossaryterms-export'!I:I,_xlpm.rowNum))),"Ready to Fix",""))</f>
        <v/>
      </c>
    </row>
    <row r="2618" spans="6:6">
      <c r="F2618" s="1" t="str" cm="1">
        <f t="array" ref="F2618">_xlfn.LET(_xlpm.rowNum,MATCH(E2618,'glossaryterms-export'!C:C,0),
IF(AND(NOT(ISBLANK(INDEX('glossaryterms-export'!H:H,_xlpm.rowNum))),ISBLANK(INDEX('glossaryterms-export'!I:I,_xlpm.rowNum))),"Ready to Fix",""))</f>
        <v/>
      </c>
    </row>
    <row r="2619" spans="6:6">
      <c r="F2619" s="1" t="str" cm="1">
        <f t="array" ref="F2619">_xlfn.LET(_xlpm.rowNum,MATCH(E2619,'glossaryterms-export'!C:C,0),
IF(AND(NOT(ISBLANK(INDEX('glossaryterms-export'!H:H,_xlpm.rowNum))),ISBLANK(INDEX('glossaryterms-export'!I:I,_xlpm.rowNum))),"Ready to Fix",""))</f>
        <v/>
      </c>
    </row>
    <row r="2620" spans="6:6">
      <c r="F2620" s="1" t="str" cm="1">
        <f t="array" ref="F2620">_xlfn.LET(_xlpm.rowNum,MATCH(E2620,'glossaryterms-export'!C:C,0),
IF(AND(NOT(ISBLANK(INDEX('glossaryterms-export'!H:H,_xlpm.rowNum))),ISBLANK(INDEX('glossaryterms-export'!I:I,_xlpm.rowNum))),"Ready to Fix",""))</f>
        <v/>
      </c>
    </row>
    <row r="2621" spans="6:6">
      <c r="F2621" s="1" t="str" cm="1">
        <f t="array" ref="F2621">_xlfn.LET(_xlpm.rowNum,MATCH(E2621,'glossaryterms-export'!C:C,0),
IF(AND(NOT(ISBLANK(INDEX('glossaryterms-export'!H:H,_xlpm.rowNum))),ISBLANK(INDEX('glossaryterms-export'!I:I,_xlpm.rowNum))),"Ready to Fix",""))</f>
        <v/>
      </c>
    </row>
    <row r="2622" spans="6:6">
      <c r="F2622" s="1" t="str" cm="1">
        <f t="array" ref="F2622">_xlfn.LET(_xlpm.rowNum,MATCH(E2622,'glossaryterms-export'!C:C,0),
IF(AND(NOT(ISBLANK(INDEX('glossaryterms-export'!H:H,_xlpm.rowNum))),ISBLANK(INDEX('glossaryterms-export'!I:I,_xlpm.rowNum))),"Ready to Fix",""))</f>
        <v/>
      </c>
    </row>
    <row r="2623" spans="6:6">
      <c r="F2623" s="1" t="str" cm="1">
        <f t="array" ref="F2623">_xlfn.LET(_xlpm.rowNum,MATCH(E2623,'glossaryterms-export'!C:C,0),
IF(AND(NOT(ISBLANK(INDEX('glossaryterms-export'!H:H,_xlpm.rowNum))),ISBLANK(INDEX('glossaryterms-export'!I:I,_xlpm.rowNum))),"Ready to Fix",""))</f>
        <v/>
      </c>
    </row>
    <row r="2624" spans="6:6">
      <c r="F2624" s="1" t="str" cm="1">
        <f t="array" ref="F2624">_xlfn.LET(_xlpm.rowNum,MATCH(E2624,'glossaryterms-export'!C:C,0),
IF(AND(NOT(ISBLANK(INDEX('glossaryterms-export'!H:H,_xlpm.rowNum))),ISBLANK(INDEX('glossaryterms-export'!I:I,_xlpm.rowNum))),"Ready to Fix",""))</f>
        <v/>
      </c>
    </row>
    <row r="2625" spans="6:6">
      <c r="F2625" s="1" t="str" cm="1">
        <f t="array" ref="F2625">_xlfn.LET(_xlpm.rowNum,MATCH(E2625,'glossaryterms-export'!C:C,0),
IF(AND(NOT(ISBLANK(INDEX('glossaryterms-export'!H:H,_xlpm.rowNum))),ISBLANK(INDEX('glossaryterms-export'!I:I,_xlpm.rowNum))),"Ready to Fix",""))</f>
        <v/>
      </c>
    </row>
    <row r="2626" spans="6:6">
      <c r="F2626" s="1" t="str" cm="1">
        <f t="array" ref="F2626">_xlfn.LET(_xlpm.rowNum,MATCH(E2626,'glossaryterms-export'!C:C,0),
IF(AND(NOT(ISBLANK(INDEX('glossaryterms-export'!H:H,_xlpm.rowNum))),ISBLANK(INDEX('glossaryterms-export'!I:I,_xlpm.rowNum))),"Ready to Fix",""))</f>
        <v/>
      </c>
    </row>
    <row r="2627" spans="6:6">
      <c r="F2627" s="1" t="str" cm="1">
        <f t="array" ref="F2627">_xlfn.LET(_xlpm.rowNum,MATCH(E2627,'glossaryterms-export'!C:C,0),
IF(AND(NOT(ISBLANK(INDEX('glossaryterms-export'!H:H,_xlpm.rowNum))),ISBLANK(INDEX('glossaryterms-export'!I:I,_xlpm.rowNum))),"Ready to Fix",""))</f>
        <v/>
      </c>
    </row>
    <row r="2628" spans="6:6">
      <c r="F2628" s="1" t="str" cm="1">
        <f t="array" ref="F2628">_xlfn.LET(_xlpm.rowNum,MATCH(E2628,'glossaryterms-export'!C:C,0),
IF(AND(NOT(ISBLANK(INDEX('glossaryterms-export'!H:H,_xlpm.rowNum))),ISBLANK(INDEX('glossaryterms-export'!I:I,_xlpm.rowNum))),"Ready to Fix",""))</f>
        <v/>
      </c>
    </row>
    <row r="2629" spans="6:6">
      <c r="F2629" s="1" t="str" cm="1">
        <f t="array" ref="F2629">_xlfn.LET(_xlpm.rowNum,MATCH(E2629,'glossaryterms-export'!C:C,0),
IF(AND(NOT(ISBLANK(INDEX('glossaryterms-export'!H:H,_xlpm.rowNum))),ISBLANK(INDEX('glossaryterms-export'!I:I,_xlpm.rowNum))),"Ready to Fix",""))</f>
        <v/>
      </c>
    </row>
    <row r="2630" spans="6:6">
      <c r="F2630" s="1" t="str" cm="1">
        <f t="array" ref="F2630">_xlfn.LET(_xlpm.rowNum,MATCH(E2630,'glossaryterms-export'!C:C,0),
IF(AND(NOT(ISBLANK(INDEX('glossaryterms-export'!H:H,_xlpm.rowNum))),ISBLANK(INDEX('glossaryterms-export'!I:I,_xlpm.rowNum))),"Ready to Fix",""))</f>
        <v/>
      </c>
    </row>
    <row r="2631" spans="6:6">
      <c r="F2631" s="1" t="str" cm="1">
        <f t="array" ref="F2631">_xlfn.LET(_xlpm.rowNum,MATCH(E2631,'glossaryterms-export'!C:C,0),
IF(AND(NOT(ISBLANK(INDEX('glossaryterms-export'!H:H,_xlpm.rowNum))),ISBLANK(INDEX('glossaryterms-export'!I:I,_xlpm.rowNum))),"Ready to Fix",""))</f>
        <v/>
      </c>
    </row>
    <row r="2632" spans="6:6">
      <c r="F2632" s="1" t="str" cm="1">
        <f t="array" ref="F2632">_xlfn.LET(_xlpm.rowNum,MATCH(E2632,'glossaryterms-export'!C:C,0),
IF(AND(NOT(ISBLANK(INDEX('glossaryterms-export'!H:H,_xlpm.rowNum))),ISBLANK(INDEX('glossaryterms-export'!I:I,_xlpm.rowNum))),"Ready to Fix",""))</f>
        <v/>
      </c>
    </row>
    <row r="2633" spans="6:6">
      <c r="F2633" s="1" t="str" cm="1">
        <f t="array" ref="F2633">_xlfn.LET(_xlpm.rowNum,MATCH(E2633,'glossaryterms-export'!C:C,0),
IF(AND(NOT(ISBLANK(INDEX('glossaryterms-export'!H:H,_xlpm.rowNum))),ISBLANK(INDEX('glossaryterms-export'!I:I,_xlpm.rowNum))),"Ready to Fix",""))</f>
        <v/>
      </c>
    </row>
    <row r="2634" spans="6:6">
      <c r="F2634" s="1" t="str" cm="1">
        <f t="array" ref="F2634">_xlfn.LET(_xlpm.rowNum,MATCH(E2634,'glossaryterms-export'!C:C,0),
IF(AND(NOT(ISBLANK(INDEX('glossaryterms-export'!H:H,_xlpm.rowNum))),ISBLANK(INDEX('glossaryterms-export'!I:I,_xlpm.rowNum))),"Ready to Fix",""))</f>
        <v/>
      </c>
    </row>
    <row r="2635" spans="6:6">
      <c r="F2635" s="1" t="str" cm="1">
        <f t="array" ref="F2635">_xlfn.LET(_xlpm.rowNum,MATCH(E2635,'glossaryterms-export'!C:C,0),
IF(AND(NOT(ISBLANK(INDEX('glossaryterms-export'!H:H,_xlpm.rowNum))),ISBLANK(INDEX('glossaryterms-export'!I:I,_xlpm.rowNum))),"Ready to Fix",""))</f>
        <v/>
      </c>
    </row>
    <row r="2636" spans="6:6">
      <c r="F2636" s="1" t="str" cm="1">
        <f t="array" ref="F2636">_xlfn.LET(_xlpm.rowNum,MATCH(E2636,'glossaryterms-export'!C:C,0),
IF(AND(NOT(ISBLANK(INDEX('glossaryterms-export'!H:H,_xlpm.rowNum))),ISBLANK(INDEX('glossaryterms-export'!I:I,_xlpm.rowNum))),"Ready to Fix",""))</f>
        <v/>
      </c>
    </row>
    <row r="2637" spans="6:6">
      <c r="F2637" s="1" t="str" cm="1">
        <f t="array" ref="F2637">_xlfn.LET(_xlpm.rowNum,MATCH(E2637,'glossaryterms-export'!C:C,0),
IF(AND(NOT(ISBLANK(INDEX('glossaryterms-export'!H:H,_xlpm.rowNum))),ISBLANK(INDEX('glossaryterms-export'!I:I,_xlpm.rowNum))),"Ready to Fix",""))</f>
        <v/>
      </c>
    </row>
    <row r="2638" spans="6:6">
      <c r="F2638" s="1" t="str" cm="1">
        <f t="array" ref="F2638">_xlfn.LET(_xlpm.rowNum,MATCH(E2638,'glossaryterms-export'!C:C,0),
IF(AND(NOT(ISBLANK(INDEX('glossaryterms-export'!H:H,_xlpm.rowNum))),ISBLANK(INDEX('glossaryterms-export'!I:I,_xlpm.rowNum))),"Ready to Fix",""))</f>
        <v/>
      </c>
    </row>
    <row r="2639" spans="6:6">
      <c r="F2639" s="1" t="str" cm="1">
        <f t="array" ref="F2639">_xlfn.LET(_xlpm.rowNum,MATCH(E2639,'glossaryterms-export'!C:C,0),
IF(AND(NOT(ISBLANK(INDEX('glossaryterms-export'!H:H,_xlpm.rowNum))),ISBLANK(INDEX('glossaryterms-export'!I:I,_xlpm.rowNum))),"Ready to Fix",""))</f>
        <v/>
      </c>
    </row>
    <row r="2640" spans="6:6">
      <c r="F2640" s="1" t="str" cm="1">
        <f t="array" ref="F2640">_xlfn.LET(_xlpm.rowNum,MATCH(E2640,'glossaryterms-export'!C:C,0),
IF(AND(NOT(ISBLANK(INDEX('glossaryterms-export'!H:H,_xlpm.rowNum))),ISBLANK(INDEX('glossaryterms-export'!I:I,_xlpm.rowNum))),"Ready to Fix",""))</f>
        <v/>
      </c>
    </row>
    <row r="2641" spans="6:6">
      <c r="F2641" s="1" t="str" cm="1">
        <f t="array" ref="F2641">_xlfn.LET(_xlpm.rowNum,MATCH(E2641,'glossaryterms-export'!C:C,0),
IF(AND(NOT(ISBLANK(INDEX('glossaryterms-export'!H:H,_xlpm.rowNum))),ISBLANK(INDEX('glossaryterms-export'!I:I,_xlpm.rowNum))),"Ready to Fix",""))</f>
        <v/>
      </c>
    </row>
    <row r="2642" spans="6:6">
      <c r="F2642" s="1" t="str" cm="1">
        <f t="array" ref="F2642">_xlfn.LET(_xlpm.rowNum,MATCH(E2642,'glossaryterms-export'!C:C,0),
IF(AND(NOT(ISBLANK(INDEX('glossaryterms-export'!H:H,_xlpm.rowNum))),ISBLANK(INDEX('glossaryterms-export'!I:I,_xlpm.rowNum))),"Ready to Fix",""))</f>
        <v/>
      </c>
    </row>
    <row r="2643" spans="6:6">
      <c r="F2643" s="1" t="str" cm="1">
        <f t="array" ref="F2643">_xlfn.LET(_xlpm.rowNum,MATCH(E2643,'glossaryterms-export'!C:C,0),
IF(AND(NOT(ISBLANK(INDEX('glossaryterms-export'!H:H,_xlpm.rowNum))),ISBLANK(INDEX('glossaryterms-export'!I:I,_xlpm.rowNum))),"Ready to Fix",""))</f>
        <v/>
      </c>
    </row>
    <row r="2644" spans="6:6">
      <c r="F2644" s="1" t="str" cm="1">
        <f t="array" ref="F2644">_xlfn.LET(_xlpm.rowNum,MATCH(E2644,'glossaryterms-export'!C:C,0),
IF(AND(NOT(ISBLANK(INDEX('glossaryterms-export'!H:H,_xlpm.rowNum))),ISBLANK(INDEX('glossaryterms-export'!I:I,_xlpm.rowNum))),"Ready to Fix",""))</f>
        <v/>
      </c>
    </row>
    <row r="2645" spans="6:6">
      <c r="F2645" s="1" t="str" cm="1">
        <f t="array" ref="F2645">_xlfn.LET(_xlpm.rowNum,MATCH(E2645,'glossaryterms-export'!C:C,0),
IF(AND(NOT(ISBLANK(INDEX('glossaryterms-export'!H:H,_xlpm.rowNum))),ISBLANK(INDEX('glossaryterms-export'!I:I,_xlpm.rowNum))),"Ready to Fix",""))</f>
        <v/>
      </c>
    </row>
    <row r="2646" spans="6:6">
      <c r="F2646" s="1" t="str" cm="1">
        <f t="array" ref="F2646">_xlfn.LET(_xlpm.rowNum,MATCH(E2646,'glossaryterms-export'!C:C,0),
IF(AND(NOT(ISBLANK(INDEX('glossaryterms-export'!H:H,_xlpm.rowNum))),ISBLANK(INDEX('glossaryterms-export'!I:I,_xlpm.rowNum))),"Ready to Fix",""))</f>
        <v/>
      </c>
    </row>
    <row r="2647" spans="6:6">
      <c r="F2647" s="1" t="str" cm="1">
        <f t="array" ref="F2647">_xlfn.LET(_xlpm.rowNum,MATCH(E2647,'glossaryterms-export'!C:C,0),
IF(AND(NOT(ISBLANK(INDEX('glossaryterms-export'!H:H,_xlpm.rowNum))),ISBLANK(INDEX('glossaryterms-export'!I:I,_xlpm.rowNum))),"Ready to Fix",""))</f>
        <v/>
      </c>
    </row>
    <row r="2648" spans="6:6">
      <c r="F2648" s="1" t="str" cm="1">
        <f t="array" ref="F2648">_xlfn.LET(_xlpm.rowNum,MATCH(E2648,'glossaryterms-export'!C:C,0),
IF(AND(NOT(ISBLANK(INDEX('glossaryterms-export'!H:H,_xlpm.rowNum))),ISBLANK(INDEX('glossaryterms-export'!I:I,_xlpm.rowNum))),"Ready to Fix",""))</f>
        <v/>
      </c>
    </row>
    <row r="2649" spans="6:6">
      <c r="F2649" s="1" t="str" cm="1">
        <f t="array" ref="F2649">_xlfn.LET(_xlpm.rowNum,MATCH(E2649,'glossaryterms-export'!C:C,0),
IF(AND(NOT(ISBLANK(INDEX('glossaryterms-export'!H:H,_xlpm.rowNum))),ISBLANK(INDEX('glossaryterms-export'!I:I,_xlpm.rowNum))),"Ready to Fix",""))</f>
        <v/>
      </c>
    </row>
    <row r="2650" spans="6:6">
      <c r="F2650" s="1" t="str" cm="1">
        <f t="array" ref="F2650">_xlfn.LET(_xlpm.rowNum,MATCH(E2650,'glossaryterms-export'!C:C,0),
IF(AND(NOT(ISBLANK(INDEX('glossaryterms-export'!H:H,_xlpm.rowNum))),ISBLANK(INDEX('glossaryterms-export'!I:I,_xlpm.rowNum))),"Ready to Fix",""))</f>
        <v/>
      </c>
    </row>
    <row r="2651" spans="6:6">
      <c r="F2651" s="1" t="str" cm="1">
        <f t="array" ref="F2651">_xlfn.LET(_xlpm.rowNum,MATCH(E2651,'glossaryterms-export'!C:C,0),
IF(AND(NOT(ISBLANK(INDEX('glossaryterms-export'!H:H,_xlpm.rowNum))),ISBLANK(INDEX('glossaryterms-export'!I:I,_xlpm.rowNum))),"Ready to Fix",""))</f>
        <v/>
      </c>
    </row>
    <row r="2652" spans="6:6">
      <c r="F2652" s="1" t="str" cm="1">
        <f t="array" ref="F2652">_xlfn.LET(_xlpm.rowNum,MATCH(E2652,'glossaryterms-export'!C:C,0),
IF(AND(NOT(ISBLANK(INDEX('glossaryterms-export'!H:H,_xlpm.rowNum))),ISBLANK(INDEX('glossaryterms-export'!I:I,_xlpm.rowNum))),"Ready to Fix",""))</f>
        <v/>
      </c>
    </row>
    <row r="2653" spans="6:6">
      <c r="F2653" s="1" t="str" cm="1">
        <f t="array" ref="F2653">_xlfn.LET(_xlpm.rowNum,MATCH(E2653,'glossaryterms-export'!C:C,0),
IF(AND(NOT(ISBLANK(INDEX('glossaryterms-export'!H:H,_xlpm.rowNum))),ISBLANK(INDEX('glossaryterms-export'!I:I,_xlpm.rowNum))),"Ready to Fix",""))</f>
        <v/>
      </c>
    </row>
    <row r="2654" spans="6:6">
      <c r="F2654" s="1" t="str" cm="1">
        <f t="array" ref="F2654">_xlfn.LET(_xlpm.rowNum,MATCH(E2654,'glossaryterms-export'!C:C,0),
IF(AND(NOT(ISBLANK(INDEX('glossaryterms-export'!H:H,_xlpm.rowNum))),ISBLANK(INDEX('glossaryterms-export'!I:I,_xlpm.rowNum))),"Ready to Fix",""))</f>
        <v/>
      </c>
    </row>
    <row r="2655" spans="6:6">
      <c r="F2655" s="1" t="str" cm="1">
        <f t="array" ref="F2655">_xlfn.LET(_xlpm.rowNum,MATCH(E2655,'glossaryterms-export'!C:C,0),
IF(AND(NOT(ISBLANK(INDEX('glossaryterms-export'!H:H,_xlpm.rowNum))),ISBLANK(INDEX('glossaryterms-export'!I:I,_xlpm.rowNum))),"Ready to Fix",""))</f>
        <v/>
      </c>
    </row>
    <row r="2656" spans="6:6">
      <c r="F2656" s="1" t="str" cm="1">
        <f t="array" ref="F2656">_xlfn.LET(_xlpm.rowNum,MATCH(E2656,'glossaryterms-export'!C:C,0),
IF(AND(NOT(ISBLANK(INDEX('glossaryterms-export'!H:H,_xlpm.rowNum))),ISBLANK(INDEX('glossaryterms-export'!I:I,_xlpm.rowNum))),"Ready to Fix",""))</f>
        <v/>
      </c>
    </row>
    <row r="2657" spans="6:6">
      <c r="F2657" s="1" t="str" cm="1">
        <f t="array" ref="F2657">_xlfn.LET(_xlpm.rowNum,MATCH(E2657,'glossaryterms-export'!C:C,0),
IF(AND(NOT(ISBLANK(INDEX('glossaryterms-export'!H:H,_xlpm.rowNum))),ISBLANK(INDEX('glossaryterms-export'!I:I,_xlpm.rowNum))),"Ready to Fix",""))</f>
        <v/>
      </c>
    </row>
    <row r="2658" spans="6:6">
      <c r="F2658" s="1" t="str" cm="1">
        <f t="array" ref="F2658">_xlfn.LET(_xlpm.rowNum,MATCH(E2658,'glossaryterms-export'!C:C,0),
IF(AND(NOT(ISBLANK(INDEX('glossaryterms-export'!H:H,_xlpm.rowNum))),ISBLANK(INDEX('glossaryterms-export'!I:I,_xlpm.rowNum))),"Ready to Fix",""))</f>
        <v/>
      </c>
    </row>
    <row r="2659" spans="6:6">
      <c r="F2659" s="1" t="str" cm="1">
        <f t="array" ref="F2659">_xlfn.LET(_xlpm.rowNum,MATCH(E2659,'glossaryterms-export'!C:C,0),
IF(AND(NOT(ISBLANK(INDEX('glossaryterms-export'!H:H,_xlpm.rowNum))),ISBLANK(INDEX('glossaryterms-export'!I:I,_xlpm.rowNum))),"Ready to Fix",""))</f>
        <v/>
      </c>
    </row>
    <row r="2660" spans="6:6">
      <c r="F2660" s="1" t="str" cm="1">
        <f t="array" ref="F2660">_xlfn.LET(_xlpm.rowNum,MATCH(E2660,'glossaryterms-export'!C:C,0),
IF(AND(NOT(ISBLANK(INDEX('glossaryterms-export'!H:H,_xlpm.rowNum))),ISBLANK(INDEX('glossaryterms-export'!I:I,_xlpm.rowNum))),"Ready to Fix",""))</f>
        <v/>
      </c>
    </row>
    <row r="2661" spans="6:6">
      <c r="F2661" s="1" t="str" cm="1">
        <f t="array" ref="F2661">_xlfn.LET(_xlpm.rowNum,MATCH(E2661,'glossaryterms-export'!C:C,0),
IF(AND(NOT(ISBLANK(INDEX('glossaryterms-export'!H:H,_xlpm.rowNum))),ISBLANK(INDEX('glossaryterms-export'!I:I,_xlpm.rowNum))),"Ready to Fix",""))</f>
        <v/>
      </c>
    </row>
    <row r="2662" spans="6:6">
      <c r="F2662" s="1" t="str" cm="1">
        <f t="array" ref="F2662">_xlfn.LET(_xlpm.rowNum,MATCH(E2662,'glossaryterms-export'!C:C,0),
IF(AND(NOT(ISBLANK(INDEX('glossaryterms-export'!H:H,_xlpm.rowNum))),ISBLANK(INDEX('glossaryterms-export'!I:I,_xlpm.rowNum))),"Ready to Fix",""))</f>
        <v/>
      </c>
    </row>
    <row r="2663" spans="6:6">
      <c r="F2663" s="1" t="str" cm="1">
        <f t="array" ref="F2663">_xlfn.LET(_xlpm.rowNum,MATCH(E2663,'glossaryterms-export'!C:C,0),
IF(AND(NOT(ISBLANK(INDEX('glossaryterms-export'!H:H,_xlpm.rowNum))),ISBLANK(INDEX('glossaryterms-export'!I:I,_xlpm.rowNum))),"Ready to Fix",""))</f>
        <v/>
      </c>
    </row>
    <row r="2664" spans="6:6">
      <c r="F2664" s="1" t="str" cm="1">
        <f t="array" ref="F2664">_xlfn.LET(_xlpm.rowNum,MATCH(E2664,'glossaryterms-export'!C:C,0),
IF(AND(NOT(ISBLANK(INDEX('glossaryterms-export'!H:H,_xlpm.rowNum))),ISBLANK(INDEX('glossaryterms-export'!I:I,_xlpm.rowNum))),"Ready to Fix",""))</f>
        <v/>
      </c>
    </row>
    <row r="2665" spans="6:6">
      <c r="F2665" s="1" t="str" cm="1">
        <f t="array" ref="F2665">_xlfn.LET(_xlpm.rowNum,MATCH(E2665,'glossaryterms-export'!C:C,0),
IF(AND(NOT(ISBLANK(INDEX('glossaryterms-export'!H:H,_xlpm.rowNum))),ISBLANK(INDEX('glossaryterms-export'!I:I,_xlpm.rowNum))),"Ready to Fix",""))</f>
        <v/>
      </c>
    </row>
    <row r="2666" spans="6:6">
      <c r="F2666" s="1" t="str" cm="1">
        <f t="array" ref="F2666">_xlfn.LET(_xlpm.rowNum,MATCH(E2666,'glossaryterms-export'!C:C,0),
IF(AND(NOT(ISBLANK(INDEX('glossaryterms-export'!H:H,_xlpm.rowNum))),ISBLANK(INDEX('glossaryterms-export'!I:I,_xlpm.rowNum))),"Ready to Fix",""))</f>
        <v/>
      </c>
    </row>
    <row r="2667" spans="6:6">
      <c r="F2667" s="1" t="str" cm="1">
        <f t="array" ref="F2667">_xlfn.LET(_xlpm.rowNum,MATCH(E2667,'glossaryterms-export'!C:C,0),
IF(AND(NOT(ISBLANK(INDEX('glossaryterms-export'!H:H,_xlpm.rowNum))),ISBLANK(INDEX('glossaryterms-export'!I:I,_xlpm.rowNum))),"Ready to Fix",""))</f>
        <v/>
      </c>
    </row>
    <row r="2668" spans="6:6">
      <c r="F2668" s="1" t="str" cm="1">
        <f t="array" ref="F2668">_xlfn.LET(_xlpm.rowNum,MATCH(E2668,'glossaryterms-export'!C:C,0),
IF(AND(NOT(ISBLANK(INDEX('glossaryterms-export'!H:H,_xlpm.rowNum))),ISBLANK(INDEX('glossaryterms-export'!I:I,_xlpm.rowNum))),"Ready to Fix",""))</f>
        <v/>
      </c>
    </row>
    <row r="2669" spans="6:6">
      <c r="F2669" s="1" t="str" cm="1">
        <f t="array" ref="F2669">_xlfn.LET(_xlpm.rowNum,MATCH(E2669,'glossaryterms-export'!C:C,0),
IF(AND(NOT(ISBLANK(INDEX('glossaryterms-export'!H:H,_xlpm.rowNum))),ISBLANK(INDEX('glossaryterms-export'!I:I,_xlpm.rowNum))),"Ready to Fix",""))</f>
        <v/>
      </c>
    </row>
    <row r="2670" spans="6:6">
      <c r="F2670" s="1" t="str" cm="1">
        <f t="array" ref="F2670">_xlfn.LET(_xlpm.rowNum,MATCH(E2670,'glossaryterms-export'!C:C,0),
IF(AND(NOT(ISBLANK(INDEX('glossaryterms-export'!H:H,_xlpm.rowNum))),ISBLANK(INDEX('glossaryterms-export'!I:I,_xlpm.rowNum))),"Ready to Fix",""))</f>
        <v/>
      </c>
    </row>
    <row r="2671" spans="6:6">
      <c r="F2671" s="1" t="str" cm="1">
        <f t="array" ref="F2671">_xlfn.LET(_xlpm.rowNum,MATCH(E2671,'glossaryterms-export'!C:C,0),
IF(AND(NOT(ISBLANK(INDEX('glossaryterms-export'!H:H,_xlpm.rowNum))),ISBLANK(INDEX('glossaryterms-export'!I:I,_xlpm.rowNum))),"Ready to Fix",""))</f>
        <v/>
      </c>
    </row>
    <row r="2672" spans="6:6">
      <c r="F2672" s="1" t="str" cm="1">
        <f t="array" ref="F2672">_xlfn.LET(_xlpm.rowNum,MATCH(E2672,'glossaryterms-export'!C:C,0),
IF(AND(NOT(ISBLANK(INDEX('glossaryterms-export'!H:H,_xlpm.rowNum))),ISBLANK(INDEX('glossaryterms-export'!I:I,_xlpm.rowNum))),"Ready to Fix",""))</f>
        <v/>
      </c>
    </row>
    <row r="2673" spans="6:6">
      <c r="F2673" s="1" t="str" cm="1">
        <f t="array" ref="F2673">_xlfn.LET(_xlpm.rowNum,MATCH(E2673,'glossaryterms-export'!C:C,0),
IF(AND(NOT(ISBLANK(INDEX('glossaryterms-export'!H:H,_xlpm.rowNum))),ISBLANK(INDEX('glossaryterms-export'!I:I,_xlpm.rowNum))),"Ready to Fix",""))</f>
        <v/>
      </c>
    </row>
    <row r="2674" spans="6:6">
      <c r="F2674" s="1" t="str" cm="1">
        <f t="array" ref="F2674">_xlfn.LET(_xlpm.rowNum,MATCH(E2674,'glossaryterms-export'!C:C,0),
IF(AND(NOT(ISBLANK(INDEX('glossaryterms-export'!H:H,_xlpm.rowNum))),ISBLANK(INDEX('glossaryterms-export'!I:I,_xlpm.rowNum))),"Ready to Fix",""))</f>
        <v/>
      </c>
    </row>
    <row r="2675" spans="6:6">
      <c r="F2675" s="1" t="str" cm="1">
        <f t="array" ref="F2675">_xlfn.LET(_xlpm.rowNum,MATCH(E2675,'glossaryterms-export'!C:C,0),
IF(AND(NOT(ISBLANK(INDEX('glossaryterms-export'!H:H,_xlpm.rowNum))),ISBLANK(INDEX('glossaryterms-export'!I:I,_xlpm.rowNum))),"Ready to Fix",""))</f>
        <v/>
      </c>
    </row>
    <row r="2676" spans="6:6">
      <c r="F2676" s="1" t="str" cm="1">
        <f t="array" ref="F2676">_xlfn.LET(_xlpm.rowNum,MATCH(E2676,'glossaryterms-export'!C:C,0),
IF(AND(NOT(ISBLANK(INDEX('glossaryterms-export'!H:H,_xlpm.rowNum))),ISBLANK(INDEX('glossaryterms-export'!I:I,_xlpm.rowNum))),"Ready to Fix",""))</f>
        <v/>
      </c>
    </row>
    <row r="2677" spans="6:6">
      <c r="F2677" s="1" t="str" cm="1">
        <f t="array" ref="F2677">_xlfn.LET(_xlpm.rowNum,MATCH(E2677,'glossaryterms-export'!C:C,0),
IF(AND(NOT(ISBLANK(INDEX('glossaryterms-export'!H:H,_xlpm.rowNum))),ISBLANK(INDEX('glossaryterms-export'!I:I,_xlpm.rowNum))),"Ready to Fix",""))</f>
        <v/>
      </c>
    </row>
    <row r="2678" spans="6:6">
      <c r="F2678" s="1" t="str" cm="1">
        <f t="array" ref="F2678">_xlfn.LET(_xlpm.rowNum,MATCH(E2678,'glossaryterms-export'!C:C,0),
IF(AND(NOT(ISBLANK(INDEX('glossaryterms-export'!H:H,_xlpm.rowNum))),ISBLANK(INDEX('glossaryterms-export'!I:I,_xlpm.rowNum))),"Ready to Fix",""))</f>
        <v/>
      </c>
    </row>
    <row r="2679" spans="6:6">
      <c r="F2679" s="1" t="str" cm="1">
        <f t="array" ref="F2679">_xlfn.LET(_xlpm.rowNum,MATCH(E2679,'glossaryterms-export'!C:C,0),
IF(AND(NOT(ISBLANK(INDEX('glossaryterms-export'!H:H,_xlpm.rowNum))),ISBLANK(INDEX('glossaryterms-export'!I:I,_xlpm.rowNum))),"Ready to Fix",""))</f>
        <v/>
      </c>
    </row>
    <row r="2680" spans="6:6">
      <c r="F2680" s="1" t="str" cm="1">
        <f t="array" ref="F2680">_xlfn.LET(_xlpm.rowNum,MATCH(E2680,'glossaryterms-export'!C:C,0),
IF(AND(NOT(ISBLANK(INDEX('glossaryterms-export'!H:H,_xlpm.rowNum))),ISBLANK(INDEX('glossaryterms-export'!I:I,_xlpm.rowNum))),"Ready to Fix",""))</f>
        <v/>
      </c>
    </row>
    <row r="2681" spans="6:6">
      <c r="F2681" s="1" t="str" cm="1">
        <f t="array" ref="F2681">_xlfn.LET(_xlpm.rowNum,MATCH(E2681,'glossaryterms-export'!C:C,0),
IF(AND(NOT(ISBLANK(INDEX('glossaryterms-export'!H:H,_xlpm.rowNum))),ISBLANK(INDEX('glossaryterms-export'!I:I,_xlpm.rowNum))),"Ready to Fix",""))</f>
        <v/>
      </c>
    </row>
    <row r="2682" spans="6:6">
      <c r="F2682" s="1" t="str" cm="1">
        <f t="array" ref="F2682">_xlfn.LET(_xlpm.rowNum,MATCH(E2682,'glossaryterms-export'!C:C,0),
IF(AND(NOT(ISBLANK(INDEX('glossaryterms-export'!H:H,_xlpm.rowNum))),ISBLANK(INDEX('glossaryterms-export'!I:I,_xlpm.rowNum))),"Ready to Fix",""))</f>
        <v/>
      </c>
    </row>
    <row r="2683" spans="6:6">
      <c r="F2683" s="1" t="str" cm="1">
        <f t="array" ref="F2683">_xlfn.LET(_xlpm.rowNum,MATCH(E2683,'glossaryterms-export'!C:C,0),
IF(AND(NOT(ISBLANK(INDEX('glossaryterms-export'!H:H,_xlpm.rowNum))),ISBLANK(INDEX('glossaryterms-export'!I:I,_xlpm.rowNum))),"Ready to Fix",""))</f>
        <v/>
      </c>
    </row>
    <row r="2684" spans="6:6">
      <c r="F2684" s="1" t="str" cm="1">
        <f t="array" ref="F2684">_xlfn.LET(_xlpm.rowNum,MATCH(E2684,'glossaryterms-export'!C:C,0),
IF(AND(NOT(ISBLANK(INDEX('glossaryterms-export'!H:H,_xlpm.rowNum))),ISBLANK(INDEX('glossaryterms-export'!I:I,_xlpm.rowNum))),"Ready to Fix",""))</f>
        <v/>
      </c>
    </row>
    <row r="2685" spans="6:6">
      <c r="F2685" s="1" t="str" cm="1">
        <f t="array" ref="F2685">_xlfn.LET(_xlpm.rowNum,MATCH(E2685,'glossaryterms-export'!C:C,0),
IF(AND(NOT(ISBLANK(INDEX('glossaryterms-export'!H:H,_xlpm.rowNum))),ISBLANK(INDEX('glossaryterms-export'!I:I,_xlpm.rowNum))),"Ready to Fix",""))</f>
        <v/>
      </c>
    </row>
    <row r="2686" spans="6:6">
      <c r="F2686" s="1" t="str" cm="1">
        <f t="array" ref="F2686">_xlfn.LET(_xlpm.rowNum,MATCH(E2686,'glossaryterms-export'!C:C,0),
IF(AND(NOT(ISBLANK(INDEX('glossaryterms-export'!H:H,_xlpm.rowNum))),ISBLANK(INDEX('glossaryterms-export'!I:I,_xlpm.rowNum))),"Ready to Fix",""))</f>
        <v/>
      </c>
    </row>
    <row r="2687" spans="6:6">
      <c r="F2687" s="1" t="str" cm="1">
        <f t="array" ref="F2687">_xlfn.LET(_xlpm.rowNum,MATCH(E2687,'glossaryterms-export'!C:C,0),
IF(AND(NOT(ISBLANK(INDEX('glossaryterms-export'!H:H,_xlpm.rowNum))),ISBLANK(INDEX('glossaryterms-export'!I:I,_xlpm.rowNum))),"Ready to Fix",""))</f>
        <v/>
      </c>
    </row>
    <row r="2688" spans="6:6">
      <c r="F2688" s="1" t="str" cm="1">
        <f t="array" ref="F2688">_xlfn.LET(_xlpm.rowNum,MATCH(E2688,'glossaryterms-export'!C:C,0),
IF(AND(NOT(ISBLANK(INDEX('glossaryterms-export'!H:H,_xlpm.rowNum))),ISBLANK(INDEX('glossaryterms-export'!I:I,_xlpm.rowNum))),"Ready to Fix",""))</f>
        <v/>
      </c>
    </row>
    <row r="2689" spans="6:6">
      <c r="F2689" s="1" t="str" cm="1">
        <f t="array" ref="F2689">_xlfn.LET(_xlpm.rowNum,MATCH(E2689,'glossaryterms-export'!C:C,0),
IF(AND(NOT(ISBLANK(INDEX('glossaryterms-export'!H:H,_xlpm.rowNum))),ISBLANK(INDEX('glossaryterms-export'!I:I,_xlpm.rowNum))),"Ready to Fix",""))</f>
        <v/>
      </c>
    </row>
    <row r="2690" spans="6:6">
      <c r="F2690" s="1" t="str" cm="1">
        <f t="array" ref="F2690">_xlfn.LET(_xlpm.rowNum,MATCH(E2690,'glossaryterms-export'!C:C,0),
IF(AND(NOT(ISBLANK(INDEX('glossaryterms-export'!H:H,_xlpm.rowNum))),ISBLANK(INDEX('glossaryterms-export'!I:I,_xlpm.rowNum))),"Ready to Fix",""))</f>
        <v/>
      </c>
    </row>
    <row r="2691" spans="6:6">
      <c r="F2691" s="1" t="str" cm="1">
        <f t="array" ref="F2691">_xlfn.LET(_xlpm.rowNum,MATCH(E2691,'glossaryterms-export'!C:C,0),
IF(AND(NOT(ISBLANK(INDEX('glossaryterms-export'!H:H,_xlpm.rowNum))),ISBLANK(INDEX('glossaryterms-export'!I:I,_xlpm.rowNum))),"Ready to Fix",""))</f>
        <v/>
      </c>
    </row>
    <row r="2692" spans="6:6">
      <c r="F2692" s="1" t="str" cm="1">
        <f t="array" ref="F2692">_xlfn.LET(_xlpm.rowNum,MATCH(E2692,'glossaryterms-export'!C:C,0),
IF(AND(NOT(ISBLANK(INDEX('glossaryterms-export'!H:H,_xlpm.rowNum))),ISBLANK(INDEX('glossaryterms-export'!I:I,_xlpm.rowNum))),"Ready to Fix",""))</f>
        <v/>
      </c>
    </row>
    <row r="2693" spans="6:6">
      <c r="F2693" s="1" t="str" cm="1">
        <f t="array" ref="F2693">_xlfn.LET(_xlpm.rowNum,MATCH(E2693,'glossaryterms-export'!C:C,0),
IF(AND(NOT(ISBLANK(INDEX('glossaryterms-export'!H:H,_xlpm.rowNum))),ISBLANK(INDEX('glossaryterms-export'!I:I,_xlpm.rowNum))),"Ready to Fix",""))</f>
        <v/>
      </c>
    </row>
    <row r="2694" spans="6:6">
      <c r="F2694" s="1" t="str" cm="1">
        <f t="array" ref="F2694">_xlfn.LET(_xlpm.rowNum,MATCH(E2694,'glossaryterms-export'!C:C,0),
IF(AND(NOT(ISBLANK(INDEX('glossaryterms-export'!H:H,_xlpm.rowNum))),ISBLANK(INDEX('glossaryterms-export'!I:I,_xlpm.rowNum))),"Ready to Fix",""))</f>
        <v/>
      </c>
    </row>
    <row r="2695" spans="6:6">
      <c r="F2695" s="1" t="str" cm="1">
        <f t="array" ref="F2695">_xlfn.LET(_xlpm.rowNum,MATCH(E2695,'glossaryterms-export'!C:C,0),
IF(AND(NOT(ISBLANK(INDEX('glossaryterms-export'!H:H,_xlpm.rowNum))),ISBLANK(INDEX('glossaryterms-export'!I:I,_xlpm.rowNum))),"Ready to Fix",""))</f>
        <v/>
      </c>
    </row>
    <row r="2696" spans="6:6">
      <c r="F2696" s="1" t="str" cm="1">
        <f t="array" ref="F2696">_xlfn.LET(_xlpm.rowNum,MATCH(E2696,'glossaryterms-export'!C:C,0),
IF(AND(NOT(ISBLANK(INDEX('glossaryterms-export'!H:H,_xlpm.rowNum))),ISBLANK(INDEX('glossaryterms-export'!I:I,_xlpm.rowNum))),"Ready to Fix",""))</f>
        <v/>
      </c>
    </row>
    <row r="2697" spans="6:6">
      <c r="F2697" s="1" t="str" cm="1">
        <f t="array" ref="F2697">_xlfn.LET(_xlpm.rowNum,MATCH(E2697,'glossaryterms-export'!C:C,0),
IF(AND(NOT(ISBLANK(INDEX('glossaryterms-export'!H:H,_xlpm.rowNum))),ISBLANK(INDEX('glossaryterms-export'!I:I,_xlpm.rowNum))),"Ready to Fix",""))</f>
        <v/>
      </c>
    </row>
    <row r="2698" spans="6:6">
      <c r="F2698" s="1" t="str" cm="1">
        <f t="array" ref="F2698">_xlfn.LET(_xlpm.rowNum,MATCH(E2698,'glossaryterms-export'!C:C,0),
IF(AND(NOT(ISBLANK(INDEX('glossaryterms-export'!H:H,_xlpm.rowNum))),ISBLANK(INDEX('glossaryterms-export'!I:I,_xlpm.rowNum))),"Ready to Fix",""))</f>
        <v/>
      </c>
    </row>
    <row r="2699" spans="6:6">
      <c r="F2699" s="1" t="str" cm="1">
        <f t="array" ref="F2699">_xlfn.LET(_xlpm.rowNum,MATCH(E2699,'glossaryterms-export'!C:C,0),
IF(AND(NOT(ISBLANK(INDEX('glossaryterms-export'!H:H,_xlpm.rowNum))),ISBLANK(INDEX('glossaryterms-export'!I:I,_xlpm.rowNum))),"Ready to Fix",""))</f>
        <v/>
      </c>
    </row>
    <row r="2700" spans="6:6">
      <c r="F2700" s="1" t="str" cm="1">
        <f t="array" ref="F2700">_xlfn.LET(_xlpm.rowNum,MATCH(E2700,'glossaryterms-export'!C:C,0),
IF(AND(NOT(ISBLANK(INDEX('glossaryterms-export'!H:H,_xlpm.rowNum))),ISBLANK(INDEX('glossaryterms-export'!I:I,_xlpm.rowNum))),"Ready to Fix",""))</f>
        <v/>
      </c>
    </row>
    <row r="2701" spans="6:6">
      <c r="F2701" s="1" t="str" cm="1">
        <f t="array" ref="F2701">_xlfn.LET(_xlpm.rowNum,MATCH(E2701,'glossaryterms-export'!C:C,0),
IF(AND(NOT(ISBLANK(INDEX('glossaryterms-export'!H:H,_xlpm.rowNum))),ISBLANK(INDEX('glossaryterms-export'!I:I,_xlpm.rowNum))),"Ready to Fix",""))</f>
        <v/>
      </c>
    </row>
    <row r="2702" spans="6:6">
      <c r="F2702" s="1" t="str" cm="1">
        <f t="array" ref="F2702">_xlfn.LET(_xlpm.rowNum,MATCH(E2702,'glossaryterms-export'!C:C,0),
IF(AND(NOT(ISBLANK(INDEX('glossaryterms-export'!H:H,_xlpm.rowNum))),ISBLANK(INDEX('glossaryterms-export'!I:I,_xlpm.rowNum))),"Ready to Fix",""))</f>
        <v/>
      </c>
    </row>
    <row r="2703" spans="6:6">
      <c r="F2703" s="1" t="str" cm="1">
        <f t="array" ref="F2703">_xlfn.LET(_xlpm.rowNum,MATCH(E2703,'glossaryterms-export'!C:C,0),
IF(AND(NOT(ISBLANK(INDEX('glossaryterms-export'!H:H,_xlpm.rowNum))),ISBLANK(INDEX('glossaryterms-export'!I:I,_xlpm.rowNum))),"Ready to Fix",""))</f>
        <v/>
      </c>
    </row>
    <row r="2704" spans="6:6">
      <c r="F2704" s="1" t="str" cm="1">
        <f t="array" ref="F2704">_xlfn.LET(_xlpm.rowNum,MATCH(E2704,'glossaryterms-export'!C:C,0),
IF(AND(NOT(ISBLANK(INDEX('glossaryterms-export'!H:H,_xlpm.rowNum))),ISBLANK(INDEX('glossaryterms-export'!I:I,_xlpm.rowNum))),"Ready to Fix",""))</f>
        <v/>
      </c>
    </row>
    <row r="2705" spans="6:6">
      <c r="F2705" s="1" t="str" cm="1">
        <f t="array" ref="F2705">_xlfn.LET(_xlpm.rowNum,MATCH(E2705,'glossaryterms-export'!C:C,0),
IF(AND(NOT(ISBLANK(INDEX('glossaryterms-export'!H:H,_xlpm.rowNum))),ISBLANK(INDEX('glossaryterms-export'!I:I,_xlpm.rowNum))),"Ready to Fix",""))</f>
        <v/>
      </c>
    </row>
    <row r="2706" spans="6:6">
      <c r="F2706" s="1" t="str" cm="1">
        <f t="array" ref="F2706">_xlfn.LET(_xlpm.rowNum,MATCH(E2706,'glossaryterms-export'!C:C,0),
IF(AND(NOT(ISBLANK(INDEX('glossaryterms-export'!H:H,_xlpm.rowNum))),ISBLANK(INDEX('glossaryterms-export'!I:I,_xlpm.rowNum))),"Ready to Fix",""))</f>
        <v/>
      </c>
    </row>
    <row r="2707" spans="6:6">
      <c r="F2707" s="1" t="str" cm="1">
        <f t="array" ref="F2707">_xlfn.LET(_xlpm.rowNum,MATCH(E2707,'glossaryterms-export'!C:C,0),
IF(AND(NOT(ISBLANK(INDEX('glossaryterms-export'!H:H,_xlpm.rowNum))),ISBLANK(INDEX('glossaryterms-export'!I:I,_xlpm.rowNum))),"Ready to Fix",""))</f>
        <v/>
      </c>
    </row>
    <row r="2708" spans="6:6">
      <c r="F2708" s="1" t="str" cm="1">
        <f t="array" ref="F2708">_xlfn.LET(_xlpm.rowNum,MATCH(E2708,'glossaryterms-export'!C:C,0),
IF(AND(NOT(ISBLANK(INDEX('glossaryterms-export'!H:H,_xlpm.rowNum))),ISBLANK(INDEX('glossaryterms-export'!I:I,_xlpm.rowNum))),"Ready to Fix",""))</f>
        <v/>
      </c>
    </row>
    <row r="2709" spans="6:6">
      <c r="F2709" s="1" t="str" cm="1">
        <f t="array" ref="F2709">_xlfn.LET(_xlpm.rowNum,MATCH(E2709,'glossaryterms-export'!C:C,0),
IF(AND(NOT(ISBLANK(INDEX('glossaryterms-export'!H:H,_xlpm.rowNum))),ISBLANK(INDEX('glossaryterms-export'!I:I,_xlpm.rowNum))),"Ready to Fix",""))</f>
        <v/>
      </c>
    </row>
    <row r="2710" spans="6:6">
      <c r="F2710" s="1" t="str" cm="1">
        <f t="array" ref="F2710">_xlfn.LET(_xlpm.rowNum,MATCH(E2710,'glossaryterms-export'!C:C,0),
IF(AND(NOT(ISBLANK(INDEX('glossaryterms-export'!H:H,_xlpm.rowNum))),ISBLANK(INDEX('glossaryterms-export'!I:I,_xlpm.rowNum))),"Ready to Fix",""))</f>
        <v/>
      </c>
    </row>
    <row r="2711" spans="6:6">
      <c r="F2711" s="1" t="str" cm="1">
        <f t="array" ref="F2711">_xlfn.LET(_xlpm.rowNum,MATCH(E2711,'glossaryterms-export'!C:C,0),
IF(AND(NOT(ISBLANK(INDEX('glossaryterms-export'!H:H,_xlpm.rowNum))),ISBLANK(INDEX('glossaryterms-export'!I:I,_xlpm.rowNum))),"Ready to Fix",""))</f>
        <v/>
      </c>
    </row>
    <row r="2712" spans="6:6">
      <c r="F2712" s="1" t="str" cm="1">
        <f t="array" ref="F2712">_xlfn.LET(_xlpm.rowNum,MATCH(E2712,'glossaryterms-export'!C:C,0),
IF(AND(NOT(ISBLANK(INDEX('glossaryterms-export'!H:H,_xlpm.rowNum))),ISBLANK(INDEX('glossaryterms-export'!I:I,_xlpm.rowNum))),"Ready to Fix",""))</f>
        <v/>
      </c>
    </row>
    <row r="2713" spans="6:6">
      <c r="F2713" s="1" t="str" cm="1">
        <f t="array" ref="F2713">_xlfn.LET(_xlpm.rowNum,MATCH(E2713,'glossaryterms-export'!C:C,0),
IF(AND(NOT(ISBLANK(INDEX('glossaryterms-export'!H:H,_xlpm.rowNum))),ISBLANK(INDEX('glossaryterms-export'!I:I,_xlpm.rowNum))),"Ready to Fix",""))</f>
        <v/>
      </c>
    </row>
    <row r="2714" spans="6:6">
      <c r="F2714" s="1" t="str" cm="1">
        <f t="array" ref="F2714">_xlfn.LET(_xlpm.rowNum,MATCH(E2714,'glossaryterms-export'!C:C,0),
IF(AND(NOT(ISBLANK(INDEX('glossaryterms-export'!H:H,_xlpm.rowNum))),ISBLANK(INDEX('glossaryterms-export'!I:I,_xlpm.rowNum))),"Ready to Fix",""))</f>
        <v/>
      </c>
    </row>
    <row r="2715" spans="6:6">
      <c r="F2715" s="1" t="str" cm="1">
        <f t="array" ref="F2715">_xlfn.LET(_xlpm.rowNum,MATCH(E2715,'glossaryterms-export'!C:C,0),
IF(AND(NOT(ISBLANK(INDEX('glossaryterms-export'!H:H,_xlpm.rowNum))),ISBLANK(INDEX('glossaryterms-export'!I:I,_xlpm.rowNum))),"Ready to Fix",""))</f>
        <v/>
      </c>
    </row>
    <row r="2716" spans="6:6">
      <c r="F2716" s="1" t="str" cm="1">
        <f t="array" ref="F2716">_xlfn.LET(_xlpm.rowNum,MATCH(E2716,'glossaryterms-export'!C:C,0),
IF(AND(NOT(ISBLANK(INDEX('glossaryterms-export'!H:H,_xlpm.rowNum))),ISBLANK(INDEX('glossaryterms-export'!I:I,_xlpm.rowNum))),"Ready to Fix",""))</f>
        <v/>
      </c>
    </row>
    <row r="2717" spans="6:6">
      <c r="F2717" s="1" t="str" cm="1">
        <f t="array" ref="F2717">_xlfn.LET(_xlpm.rowNum,MATCH(E2717,'glossaryterms-export'!C:C,0),
IF(AND(NOT(ISBLANK(INDEX('glossaryterms-export'!H:H,_xlpm.rowNum))),ISBLANK(INDEX('glossaryterms-export'!I:I,_xlpm.rowNum))),"Ready to Fix",""))</f>
        <v/>
      </c>
    </row>
    <row r="2718" spans="6:6">
      <c r="F2718" s="1" t="str" cm="1">
        <f t="array" ref="F2718">_xlfn.LET(_xlpm.rowNum,MATCH(E2718,'glossaryterms-export'!C:C,0),
IF(AND(NOT(ISBLANK(INDEX('glossaryterms-export'!H:H,_xlpm.rowNum))),ISBLANK(INDEX('glossaryterms-export'!I:I,_xlpm.rowNum))),"Ready to Fix",""))</f>
        <v/>
      </c>
    </row>
    <row r="2719" spans="6:6">
      <c r="F2719" s="1" t="str" cm="1">
        <f t="array" ref="F2719">_xlfn.LET(_xlpm.rowNum,MATCH(E2719,'glossaryterms-export'!C:C,0),
IF(AND(NOT(ISBLANK(INDEX('glossaryterms-export'!H:H,_xlpm.rowNum))),ISBLANK(INDEX('glossaryterms-export'!I:I,_xlpm.rowNum))),"Ready to Fix",""))</f>
        <v/>
      </c>
    </row>
    <row r="2720" spans="6:6">
      <c r="F2720" s="1" t="str" cm="1">
        <f t="array" ref="F2720">_xlfn.LET(_xlpm.rowNum,MATCH(E2720,'glossaryterms-export'!C:C,0),
IF(AND(NOT(ISBLANK(INDEX('glossaryterms-export'!H:H,_xlpm.rowNum))),ISBLANK(INDEX('glossaryterms-export'!I:I,_xlpm.rowNum))),"Ready to Fix",""))</f>
        <v/>
      </c>
    </row>
    <row r="2721" spans="6:6">
      <c r="F2721" s="1" t="str" cm="1">
        <f t="array" ref="F2721">_xlfn.LET(_xlpm.rowNum,MATCH(E2721,'glossaryterms-export'!C:C,0),
IF(AND(NOT(ISBLANK(INDEX('glossaryterms-export'!H:H,_xlpm.rowNum))),ISBLANK(INDEX('glossaryterms-export'!I:I,_xlpm.rowNum))),"Ready to Fix",""))</f>
        <v/>
      </c>
    </row>
    <row r="2722" spans="6:6">
      <c r="F2722" s="1" t="str" cm="1">
        <f t="array" ref="F2722">_xlfn.LET(_xlpm.rowNum,MATCH(E2722,'glossaryterms-export'!C:C,0),
IF(AND(NOT(ISBLANK(INDEX('glossaryterms-export'!H:H,_xlpm.rowNum))),ISBLANK(INDEX('glossaryterms-export'!I:I,_xlpm.rowNum))),"Ready to Fix",""))</f>
        <v/>
      </c>
    </row>
    <row r="2723" spans="6:6">
      <c r="F2723" s="1" t="str" cm="1">
        <f t="array" ref="F2723">_xlfn.LET(_xlpm.rowNum,MATCH(E2723,'glossaryterms-export'!C:C,0),
IF(AND(NOT(ISBLANK(INDEX('glossaryterms-export'!H:H,_xlpm.rowNum))),ISBLANK(INDEX('glossaryterms-export'!I:I,_xlpm.rowNum))),"Ready to Fix",""))</f>
        <v/>
      </c>
    </row>
    <row r="2724" spans="6:6">
      <c r="F2724" s="1" t="str" cm="1">
        <f t="array" ref="F2724">_xlfn.LET(_xlpm.rowNum,MATCH(E2724,'glossaryterms-export'!C:C,0),
IF(AND(NOT(ISBLANK(INDEX('glossaryterms-export'!H:H,_xlpm.rowNum))),ISBLANK(INDEX('glossaryterms-export'!I:I,_xlpm.rowNum))),"Ready to Fix",""))</f>
        <v/>
      </c>
    </row>
    <row r="2725" spans="6:6">
      <c r="F2725" s="1" t="str" cm="1">
        <f t="array" ref="F2725">_xlfn.LET(_xlpm.rowNum,MATCH(E2725,'glossaryterms-export'!C:C,0),
IF(AND(NOT(ISBLANK(INDEX('glossaryterms-export'!H:H,_xlpm.rowNum))),ISBLANK(INDEX('glossaryterms-export'!I:I,_xlpm.rowNum))),"Ready to Fix",""))</f>
        <v/>
      </c>
    </row>
    <row r="2726" spans="6:6">
      <c r="F2726" s="1" t="str" cm="1">
        <f t="array" ref="F2726">_xlfn.LET(_xlpm.rowNum,MATCH(E2726,'glossaryterms-export'!C:C,0),
IF(AND(NOT(ISBLANK(INDEX('glossaryterms-export'!H:H,_xlpm.rowNum))),ISBLANK(INDEX('glossaryterms-export'!I:I,_xlpm.rowNum))),"Ready to Fix",""))</f>
        <v/>
      </c>
    </row>
    <row r="2727" spans="6:6">
      <c r="F2727" s="1" t="str" cm="1">
        <f t="array" ref="F2727">_xlfn.LET(_xlpm.rowNum,MATCH(E2727,'glossaryterms-export'!C:C,0),
IF(AND(NOT(ISBLANK(INDEX('glossaryterms-export'!H:H,_xlpm.rowNum))),ISBLANK(INDEX('glossaryterms-export'!I:I,_xlpm.rowNum))),"Ready to Fix",""))</f>
        <v/>
      </c>
    </row>
    <row r="2728" spans="6:6">
      <c r="F2728" s="1" t="str" cm="1">
        <f t="array" ref="F2728">_xlfn.LET(_xlpm.rowNum,MATCH(E2728,'glossaryterms-export'!C:C,0),
IF(AND(NOT(ISBLANK(INDEX('glossaryterms-export'!H:H,_xlpm.rowNum))),ISBLANK(INDEX('glossaryterms-export'!I:I,_xlpm.rowNum))),"Ready to Fix",""))</f>
        <v/>
      </c>
    </row>
    <row r="2729" spans="6:6">
      <c r="F2729" s="1" t="str" cm="1">
        <f t="array" ref="F2729">_xlfn.LET(_xlpm.rowNum,MATCH(E2729,'glossaryterms-export'!C:C,0),
IF(AND(NOT(ISBLANK(INDEX('glossaryterms-export'!H:H,_xlpm.rowNum))),ISBLANK(INDEX('glossaryterms-export'!I:I,_xlpm.rowNum))),"Ready to Fix",""))</f>
        <v/>
      </c>
    </row>
    <row r="2730" spans="6:6">
      <c r="F2730" s="1" t="str" cm="1">
        <f t="array" ref="F2730">_xlfn.LET(_xlpm.rowNum,MATCH(E2730,'glossaryterms-export'!C:C,0),
IF(AND(NOT(ISBLANK(INDEX('glossaryterms-export'!H:H,_xlpm.rowNum))),ISBLANK(INDEX('glossaryterms-export'!I:I,_xlpm.rowNum))),"Ready to Fix",""))</f>
        <v/>
      </c>
    </row>
    <row r="2731" spans="6:6">
      <c r="F2731" s="1" t="str" cm="1">
        <f t="array" ref="F2731">_xlfn.LET(_xlpm.rowNum,MATCH(E2731,'glossaryterms-export'!C:C,0),
IF(AND(NOT(ISBLANK(INDEX('glossaryterms-export'!H:H,_xlpm.rowNum))),ISBLANK(INDEX('glossaryterms-export'!I:I,_xlpm.rowNum))),"Ready to Fix",""))</f>
        <v/>
      </c>
    </row>
    <row r="2732" spans="6:6">
      <c r="F2732" s="1" t="str" cm="1">
        <f t="array" ref="F2732">_xlfn.LET(_xlpm.rowNum,MATCH(E2732,'glossaryterms-export'!C:C,0),
IF(AND(NOT(ISBLANK(INDEX('glossaryterms-export'!H:H,_xlpm.rowNum))),ISBLANK(INDEX('glossaryterms-export'!I:I,_xlpm.rowNum))),"Ready to Fix",""))</f>
        <v/>
      </c>
    </row>
    <row r="2733" spans="6:6">
      <c r="F2733" s="1" t="str" cm="1">
        <f t="array" ref="F2733">_xlfn.LET(_xlpm.rowNum,MATCH(E2733,'glossaryterms-export'!C:C,0),
IF(AND(NOT(ISBLANK(INDEX('glossaryterms-export'!H:H,_xlpm.rowNum))),ISBLANK(INDEX('glossaryterms-export'!I:I,_xlpm.rowNum))),"Ready to Fix",""))</f>
        <v/>
      </c>
    </row>
    <row r="2734" spans="6:6">
      <c r="F2734" s="1" t="str" cm="1">
        <f t="array" ref="F2734">_xlfn.LET(_xlpm.rowNum,MATCH(E2734,'glossaryterms-export'!C:C,0),
IF(AND(NOT(ISBLANK(INDEX('glossaryterms-export'!H:H,_xlpm.rowNum))),ISBLANK(INDEX('glossaryterms-export'!I:I,_xlpm.rowNum))),"Ready to Fix",""))</f>
        <v/>
      </c>
    </row>
    <row r="2735" spans="6:6">
      <c r="F2735" s="1" t="str" cm="1">
        <f t="array" ref="F2735">_xlfn.LET(_xlpm.rowNum,MATCH(E2735,'glossaryterms-export'!C:C,0),
IF(AND(NOT(ISBLANK(INDEX('glossaryterms-export'!H:H,_xlpm.rowNum))),ISBLANK(INDEX('glossaryterms-export'!I:I,_xlpm.rowNum))),"Ready to Fix",""))</f>
        <v/>
      </c>
    </row>
    <row r="2736" spans="6:6">
      <c r="F2736" s="1" t="str" cm="1">
        <f t="array" ref="F2736">_xlfn.LET(_xlpm.rowNum,MATCH(E2736,'glossaryterms-export'!C:C,0),
IF(AND(NOT(ISBLANK(INDEX('glossaryterms-export'!H:H,_xlpm.rowNum))),ISBLANK(INDEX('glossaryterms-export'!I:I,_xlpm.rowNum))),"Ready to Fix",""))</f>
        <v/>
      </c>
    </row>
    <row r="2737" spans="6:6">
      <c r="F2737" s="1" t="str" cm="1">
        <f t="array" ref="F2737">_xlfn.LET(_xlpm.rowNum,MATCH(E2737,'glossaryterms-export'!C:C,0),
IF(AND(NOT(ISBLANK(INDEX('glossaryterms-export'!H:H,_xlpm.rowNum))),ISBLANK(INDEX('glossaryterms-export'!I:I,_xlpm.rowNum))),"Ready to Fix",""))</f>
        <v/>
      </c>
    </row>
    <row r="2738" spans="6:6">
      <c r="F2738" s="1" t="str" cm="1">
        <f t="array" ref="F2738">_xlfn.LET(_xlpm.rowNum,MATCH(E2738,'glossaryterms-export'!C:C,0),
IF(AND(NOT(ISBLANK(INDEX('glossaryterms-export'!H:H,_xlpm.rowNum))),ISBLANK(INDEX('glossaryterms-export'!I:I,_xlpm.rowNum))),"Ready to Fix",""))</f>
        <v/>
      </c>
    </row>
    <row r="2739" spans="6:6">
      <c r="F2739" s="1" t="str" cm="1">
        <f t="array" ref="F2739">_xlfn.LET(_xlpm.rowNum,MATCH(E2739,'glossaryterms-export'!C:C,0),
IF(AND(NOT(ISBLANK(INDEX('glossaryterms-export'!H:H,_xlpm.rowNum))),ISBLANK(INDEX('glossaryterms-export'!I:I,_xlpm.rowNum))),"Ready to Fix",""))</f>
        <v/>
      </c>
    </row>
    <row r="2740" spans="6:6">
      <c r="F2740" s="1" t="str" cm="1">
        <f t="array" ref="F2740">_xlfn.LET(_xlpm.rowNum,MATCH(E2740,'glossaryterms-export'!C:C,0),
IF(AND(NOT(ISBLANK(INDEX('glossaryterms-export'!H:H,_xlpm.rowNum))),ISBLANK(INDEX('glossaryterms-export'!I:I,_xlpm.rowNum))),"Ready to Fix",""))</f>
        <v/>
      </c>
    </row>
    <row r="2741" spans="6:6">
      <c r="F2741" s="1" t="str" cm="1">
        <f t="array" ref="F2741">_xlfn.LET(_xlpm.rowNum,MATCH(E2741,'glossaryterms-export'!C:C,0),
IF(AND(NOT(ISBLANK(INDEX('glossaryterms-export'!H:H,_xlpm.rowNum))),ISBLANK(INDEX('glossaryterms-export'!I:I,_xlpm.rowNum))),"Ready to Fix",""))</f>
        <v/>
      </c>
    </row>
    <row r="2742" spans="6:6">
      <c r="F2742" s="1" t="str" cm="1">
        <f t="array" ref="F2742">_xlfn.LET(_xlpm.rowNum,MATCH(E2742,'glossaryterms-export'!C:C,0),
IF(AND(NOT(ISBLANK(INDEX('glossaryterms-export'!H:H,_xlpm.rowNum))),ISBLANK(INDEX('glossaryterms-export'!I:I,_xlpm.rowNum))),"Ready to Fix",""))</f>
        <v/>
      </c>
    </row>
    <row r="2743" spans="6:6">
      <c r="F2743" s="1" t="str" cm="1">
        <f t="array" ref="F2743">_xlfn.LET(_xlpm.rowNum,MATCH(E2743,'glossaryterms-export'!C:C,0),
IF(AND(NOT(ISBLANK(INDEX('glossaryterms-export'!H:H,_xlpm.rowNum))),ISBLANK(INDEX('glossaryterms-export'!I:I,_xlpm.rowNum))),"Ready to Fix",""))</f>
        <v/>
      </c>
    </row>
    <row r="2744" spans="6:6">
      <c r="F2744" s="1" t="str" cm="1">
        <f t="array" ref="F2744">_xlfn.LET(_xlpm.rowNum,MATCH(E2744,'glossaryterms-export'!C:C,0),
IF(AND(NOT(ISBLANK(INDEX('glossaryterms-export'!H:H,_xlpm.rowNum))),ISBLANK(INDEX('glossaryterms-export'!I:I,_xlpm.rowNum))),"Ready to Fix",""))</f>
        <v/>
      </c>
    </row>
    <row r="2745" spans="6:6">
      <c r="F2745" s="1" t="str" cm="1">
        <f t="array" ref="F2745">_xlfn.LET(_xlpm.rowNum,MATCH(E2745,'glossaryterms-export'!C:C,0),
IF(AND(NOT(ISBLANK(INDEX('glossaryterms-export'!H:H,_xlpm.rowNum))),ISBLANK(INDEX('glossaryterms-export'!I:I,_xlpm.rowNum))),"Ready to Fix",""))</f>
        <v/>
      </c>
    </row>
    <row r="2746" spans="6:6">
      <c r="F2746" s="1" t="str" cm="1">
        <f t="array" ref="F2746">_xlfn.LET(_xlpm.rowNum,MATCH(E2746,'glossaryterms-export'!C:C,0),
IF(AND(NOT(ISBLANK(INDEX('glossaryterms-export'!H:H,_xlpm.rowNum))),ISBLANK(INDEX('glossaryterms-export'!I:I,_xlpm.rowNum))),"Ready to Fix",""))</f>
        <v/>
      </c>
    </row>
    <row r="2747" spans="6:6">
      <c r="F2747" s="1" t="str" cm="1">
        <f t="array" ref="F2747">_xlfn.LET(_xlpm.rowNum,MATCH(E2747,'glossaryterms-export'!C:C,0),
IF(AND(NOT(ISBLANK(INDEX('glossaryterms-export'!H:H,_xlpm.rowNum))),ISBLANK(INDEX('glossaryterms-export'!I:I,_xlpm.rowNum))),"Ready to Fix",""))</f>
        <v/>
      </c>
    </row>
    <row r="2748" spans="6:6">
      <c r="F2748" s="1" t="str" cm="1">
        <f t="array" ref="F2748">_xlfn.LET(_xlpm.rowNum,MATCH(E2748,'glossaryterms-export'!C:C,0),
IF(AND(NOT(ISBLANK(INDEX('glossaryterms-export'!H:H,_xlpm.rowNum))),ISBLANK(INDEX('glossaryterms-export'!I:I,_xlpm.rowNum))),"Ready to Fix",""))</f>
        <v/>
      </c>
    </row>
    <row r="2749" spans="6:6">
      <c r="F2749" s="1" t="str" cm="1">
        <f t="array" ref="F2749">_xlfn.LET(_xlpm.rowNum,MATCH(E2749,'glossaryterms-export'!C:C,0),
IF(AND(NOT(ISBLANK(INDEX('glossaryterms-export'!H:H,_xlpm.rowNum))),ISBLANK(INDEX('glossaryterms-export'!I:I,_xlpm.rowNum))),"Ready to Fix",""))</f>
        <v/>
      </c>
    </row>
    <row r="2750" spans="6:6">
      <c r="F2750" s="1" t="str" cm="1">
        <f t="array" ref="F2750">_xlfn.LET(_xlpm.rowNum,MATCH(E2750,'glossaryterms-export'!C:C,0),
IF(AND(NOT(ISBLANK(INDEX('glossaryterms-export'!H:H,_xlpm.rowNum))),ISBLANK(INDEX('glossaryterms-export'!I:I,_xlpm.rowNum))),"Ready to Fix",""))</f>
        <v/>
      </c>
    </row>
    <row r="2751" spans="6:6">
      <c r="F2751" s="1" t="str" cm="1">
        <f t="array" ref="F2751">_xlfn.LET(_xlpm.rowNum,MATCH(E2751,'glossaryterms-export'!C:C,0),
IF(AND(NOT(ISBLANK(INDEX('glossaryterms-export'!H:H,_xlpm.rowNum))),ISBLANK(INDEX('glossaryterms-export'!I:I,_xlpm.rowNum))),"Ready to Fix",""))</f>
        <v/>
      </c>
    </row>
    <row r="2752" spans="6:6">
      <c r="F2752" s="1" t="str" cm="1">
        <f t="array" ref="F2752">_xlfn.LET(_xlpm.rowNum,MATCH(E2752,'glossaryterms-export'!C:C,0),
IF(AND(NOT(ISBLANK(INDEX('glossaryterms-export'!H:H,_xlpm.rowNum))),ISBLANK(INDEX('glossaryterms-export'!I:I,_xlpm.rowNum))),"Ready to Fix",""))</f>
        <v/>
      </c>
    </row>
    <row r="2753" spans="6:6">
      <c r="F2753" s="1" t="str" cm="1">
        <f t="array" ref="F2753">_xlfn.LET(_xlpm.rowNum,MATCH(E2753,'glossaryterms-export'!C:C,0),
IF(AND(NOT(ISBLANK(INDEX('glossaryterms-export'!H:H,_xlpm.rowNum))),ISBLANK(INDEX('glossaryterms-export'!I:I,_xlpm.rowNum))),"Ready to Fix",""))</f>
        <v/>
      </c>
    </row>
    <row r="2754" spans="6:6">
      <c r="F2754" s="1" t="str" cm="1">
        <f t="array" ref="F2754">_xlfn.LET(_xlpm.rowNum,MATCH(E2754,'glossaryterms-export'!C:C,0),
IF(AND(NOT(ISBLANK(INDEX('glossaryterms-export'!H:H,_xlpm.rowNum))),ISBLANK(INDEX('glossaryterms-export'!I:I,_xlpm.rowNum))),"Ready to Fix",""))</f>
        <v/>
      </c>
    </row>
    <row r="2755" spans="6:6">
      <c r="F2755" s="1" t="str" cm="1">
        <f t="array" ref="F2755">_xlfn.LET(_xlpm.rowNum,MATCH(E2755,'glossaryterms-export'!C:C,0),
IF(AND(NOT(ISBLANK(INDEX('glossaryterms-export'!H:H,_xlpm.rowNum))),ISBLANK(INDEX('glossaryterms-export'!I:I,_xlpm.rowNum))),"Ready to Fix",""))</f>
        <v/>
      </c>
    </row>
    <row r="2756" spans="6:6">
      <c r="F2756" s="1" t="str" cm="1">
        <f t="array" ref="F2756">_xlfn.LET(_xlpm.rowNum,MATCH(E2756,'glossaryterms-export'!C:C,0),
IF(AND(NOT(ISBLANK(INDEX('glossaryterms-export'!H:H,_xlpm.rowNum))),ISBLANK(INDEX('glossaryterms-export'!I:I,_xlpm.rowNum))),"Ready to Fix",""))</f>
        <v/>
      </c>
    </row>
    <row r="2757" spans="6:6">
      <c r="F2757" s="1" t="str" cm="1">
        <f t="array" ref="F2757">_xlfn.LET(_xlpm.rowNum,MATCH(E2757,'glossaryterms-export'!C:C,0),
IF(AND(NOT(ISBLANK(INDEX('glossaryterms-export'!H:H,_xlpm.rowNum))),ISBLANK(INDEX('glossaryterms-export'!I:I,_xlpm.rowNum))),"Ready to Fix",""))</f>
        <v/>
      </c>
    </row>
    <row r="2758" spans="6:6">
      <c r="F2758" s="1" t="str" cm="1">
        <f t="array" ref="F2758">_xlfn.LET(_xlpm.rowNum,MATCH(E2758,'glossaryterms-export'!C:C,0),
IF(AND(NOT(ISBLANK(INDEX('glossaryterms-export'!H:H,_xlpm.rowNum))),ISBLANK(INDEX('glossaryterms-export'!I:I,_xlpm.rowNum))),"Ready to Fix",""))</f>
        <v/>
      </c>
    </row>
    <row r="2759" spans="6:6">
      <c r="F2759" s="1" t="str" cm="1">
        <f t="array" ref="F2759">_xlfn.LET(_xlpm.rowNum,MATCH(E2759,'glossaryterms-export'!C:C,0),
IF(AND(NOT(ISBLANK(INDEX('glossaryterms-export'!H:H,_xlpm.rowNum))),ISBLANK(INDEX('glossaryterms-export'!I:I,_xlpm.rowNum))),"Ready to Fix",""))</f>
        <v/>
      </c>
    </row>
    <row r="2760" spans="6:6">
      <c r="F2760" s="1" t="str" cm="1">
        <f t="array" ref="F2760">_xlfn.LET(_xlpm.rowNum,MATCH(E2760,'glossaryterms-export'!C:C,0),
IF(AND(NOT(ISBLANK(INDEX('glossaryterms-export'!H:H,_xlpm.rowNum))),ISBLANK(INDEX('glossaryterms-export'!I:I,_xlpm.rowNum))),"Ready to Fix",""))</f>
        <v/>
      </c>
    </row>
    <row r="2761" spans="6:6">
      <c r="F2761" s="1" t="str" cm="1">
        <f t="array" ref="F2761">_xlfn.LET(_xlpm.rowNum,MATCH(E2761,'glossaryterms-export'!C:C,0),
IF(AND(NOT(ISBLANK(INDEX('glossaryterms-export'!H:H,_xlpm.rowNum))),ISBLANK(INDEX('glossaryterms-export'!I:I,_xlpm.rowNum))),"Ready to Fix",""))</f>
        <v/>
      </c>
    </row>
    <row r="2762" spans="6:6">
      <c r="F2762" s="1" t="str" cm="1">
        <f t="array" ref="F2762">_xlfn.LET(_xlpm.rowNum,MATCH(E2762,'glossaryterms-export'!C:C,0),
IF(AND(NOT(ISBLANK(INDEX('glossaryterms-export'!H:H,_xlpm.rowNum))),ISBLANK(INDEX('glossaryterms-export'!I:I,_xlpm.rowNum))),"Ready to Fix",""))</f>
        <v/>
      </c>
    </row>
    <row r="2763" spans="6:6">
      <c r="F2763" s="1" t="str" cm="1">
        <f t="array" ref="F2763">_xlfn.LET(_xlpm.rowNum,MATCH(E2763,'glossaryterms-export'!C:C,0),
IF(AND(NOT(ISBLANK(INDEX('glossaryterms-export'!H:H,_xlpm.rowNum))),ISBLANK(INDEX('glossaryterms-export'!I:I,_xlpm.rowNum))),"Ready to Fix",""))</f>
        <v/>
      </c>
    </row>
    <row r="2764" spans="6:6">
      <c r="F2764" s="1" t="str" cm="1">
        <f t="array" ref="F2764">_xlfn.LET(_xlpm.rowNum,MATCH(E2764,'glossaryterms-export'!C:C,0),
IF(AND(NOT(ISBLANK(INDEX('glossaryterms-export'!H:H,_xlpm.rowNum))),ISBLANK(INDEX('glossaryterms-export'!I:I,_xlpm.rowNum))),"Ready to Fix",""))</f>
        <v/>
      </c>
    </row>
    <row r="2765" spans="6:6">
      <c r="F2765" s="1" t="str" cm="1">
        <f t="array" ref="F2765">_xlfn.LET(_xlpm.rowNum,MATCH(E2765,'glossaryterms-export'!C:C,0),
IF(AND(NOT(ISBLANK(INDEX('glossaryterms-export'!H:H,_xlpm.rowNum))),ISBLANK(INDEX('glossaryterms-export'!I:I,_xlpm.rowNum))),"Ready to Fix",""))</f>
        <v/>
      </c>
    </row>
    <row r="2766" spans="6:6">
      <c r="F2766" s="1" t="str" cm="1">
        <f t="array" ref="F2766">_xlfn.LET(_xlpm.rowNum,MATCH(E2766,'glossaryterms-export'!C:C,0),
IF(AND(NOT(ISBLANK(INDEX('glossaryterms-export'!H:H,_xlpm.rowNum))),ISBLANK(INDEX('glossaryterms-export'!I:I,_xlpm.rowNum))),"Ready to Fix",""))</f>
        <v/>
      </c>
    </row>
    <row r="2767" spans="6:6">
      <c r="F2767" s="1" t="str" cm="1">
        <f t="array" ref="F2767">_xlfn.LET(_xlpm.rowNum,MATCH(E2767,'glossaryterms-export'!C:C,0),
IF(AND(NOT(ISBLANK(INDEX('glossaryterms-export'!H:H,_xlpm.rowNum))),ISBLANK(INDEX('glossaryterms-export'!I:I,_xlpm.rowNum))),"Ready to Fix",""))</f>
        <v/>
      </c>
    </row>
    <row r="2768" spans="6:6">
      <c r="F2768" s="1" t="str" cm="1">
        <f t="array" ref="F2768">_xlfn.LET(_xlpm.rowNum,MATCH(E2768,'glossaryterms-export'!C:C,0),
IF(AND(NOT(ISBLANK(INDEX('glossaryterms-export'!H:H,_xlpm.rowNum))),ISBLANK(INDEX('glossaryterms-export'!I:I,_xlpm.rowNum))),"Ready to Fix",""))</f>
        <v/>
      </c>
    </row>
    <row r="2769" spans="6:6">
      <c r="F2769" s="1" t="str" cm="1">
        <f t="array" ref="F2769">_xlfn.LET(_xlpm.rowNum,MATCH(E2769,'glossaryterms-export'!C:C,0),
IF(AND(NOT(ISBLANK(INDEX('glossaryterms-export'!H:H,_xlpm.rowNum))),ISBLANK(INDEX('glossaryterms-export'!I:I,_xlpm.rowNum))),"Ready to Fix",""))</f>
        <v/>
      </c>
    </row>
    <row r="2770" spans="6:6">
      <c r="F2770" s="1" t="str" cm="1">
        <f t="array" ref="F2770">_xlfn.LET(_xlpm.rowNum,MATCH(E2770,'glossaryterms-export'!C:C,0),
IF(AND(NOT(ISBLANK(INDEX('glossaryterms-export'!H:H,_xlpm.rowNum))),ISBLANK(INDEX('glossaryterms-export'!I:I,_xlpm.rowNum))),"Ready to Fix",""))</f>
        <v/>
      </c>
    </row>
    <row r="2771" spans="6:6">
      <c r="F2771" s="1" t="str" cm="1">
        <f t="array" ref="F2771">_xlfn.LET(_xlpm.rowNum,MATCH(E2771,'glossaryterms-export'!C:C,0),
IF(AND(NOT(ISBLANK(INDEX('glossaryterms-export'!H:H,_xlpm.rowNum))),ISBLANK(INDEX('glossaryterms-export'!I:I,_xlpm.rowNum))),"Ready to Fix",""))</f>
        <v/>
      </c>
    </row>
    <row r="2772" spans="6:6">
      <c r="F2772" s="1" t="str" cm="1">
        <f t="array" ref="F2772">_xlfn.LET(_xlpm.rowNum,MATCH(E2772,'glossaryterms-export'!C:C,0),
IF(AND(NOT(ISBLANK(INDEX('glossaryterms-export'!H:H,_xlpm.rowNum))),ISBLANK(INDEX('glossaryterms-export'!I:I,_xlpm.rowNum))),"Ready to Fix",""))</f>
        <v/>
      </c>
    </row>
    <row r="2773" spans="6:6">
      <c r="F2773" s="1" t="str" cm="1">
        <f t="array" ref="F2773">_xlfn.LET(_xlpm.rowNum,MATCH(E2773,'glossaryterms-export'!C:C,0),
IF(AND(NOT(ISBLANK(INDEX('glossaryterms-export'!H:H,_xlpm.rowNum))),ISBLANK(INDEX('glossaryterms-export'!I:I,_xlpm.rowNum))),"Ready to Fix",""))</f>
        <v/>
      </c>
    </row>
    <row r="2774" spans="6:6">
      <c r="F2774" s="1" t="str" cm="1">
        <f t="array" ref="F2774">_xlfn.LET(_xlpm.rowNum,MATCH(E2774,'glossaryterms-export'!C:C,0),
IF(AND(NOT(ISBLANK(INDEX('glossaryterms-export'!H:H,_xlpm.rowNum))),ISBLANK(INDEX('glossaryterms-export'!I:I,_xlpm.rowNum))),"Ready to Fix",""))</f>
        <v/>
      </c>
    </row>
    <row r="2775" spans="6:6">
      <c r="F2775" s="1" t="str" cm="1">
        <f t="array" ref="F2775">_xlfn.LET(_xlpm.rowNum,MATCH(E2775,'glossaryterms-export'!C:C,0),
IF(AND(NOT(ISBLANK(INDEX('glossaryterms-export'!H:H,_xlpm.rowNum))),ISBLANK(INDEX('glossaryterms-export'!I:I,_xlpm.rowNum))),"Ready to Fix",""))</f>
        <v/>
      </c>
    </row>
    <row r="2776" spans="6:6">
      <c r="F2776" s="1" t="str" cm="1">
        <f t="array" ref="F2776">_xlfn.LET(_xlpm.rowNum,MATCH(E2776,'glossaryterms-export'!C:C,0),
IF(AND(NOT(ISBLANK(INDEX('glossaryterms-export'!H:H,_xlpm.rowNum))),ISBLANK(INDEX('glossaryterms-export'!I:I,_xlpm.rowNum))),"Ready to Fix",""))</f>
        <v/>
      </c>
    </row>
    <row r="2777" spans="6:6">
      <c r="F2777" s="1" t="str" cm="1">
        <f t="array" ref="F2777">_xlfn.LET(_xlpm.rowNum,MATCH(E2777,'glossaryterms-export'!C:C,0),
IF(AND(NOT(ISBLANK(INDEX('glossaryterms-export'!H:H,_xlpm.rowNum))),ISBLANK(INDEX('glossaryterms-export'!I:I,_xlpm.rowNum))),"Ready to Fix",""))</f>
        <v/>
      </c>
    </row>
    <row r="2778" spans="6:6">
      <c r="F2778" s="1" t="str" cm="1">
        <f t="array" ref="F2778">_xlfn.LET(_xlpm.rowNum,MATCH(E2778,'glossaryterms-export'!C:C,0),
IF(AND(NOT(ISBLANK(INDEX('glossaryterms-export'!H:H,_xlpm.rowNum))),ISBLANK(INDEX('glossaryterms-export'!I:I,_xlpm.rowNum))),"Ready to Fix",""))</f>
        <v/>
      </c>
    </row>
    <row r="2779" spans="6:6">
      <c r="F2779" s="1" t="str" cm="1">
        <f t="array" ref="F2779">_xlfn.LET(_xlpm.rowNum,MATCH(E2779,'glossaryterms-export'!C:C,0),
IF(AND(NOT(ISBLANK(INDEX('glossaryterms-export'!H:H,_xlpm.rowNum))),ISBLANK(INDEX('glossaryterms-export'!I:I,_xlpm.rowNum))),"Ready to Fix",""))</f>
        <v/>
      </c>
    </row>
    <row r="2780" spans="6:6">
      <c r="F2780" s="1" t="str" cm="1">
        <f t="array" ref="F2780">_xlfn.LET(_xlpm.rowNum,MATCH(E2780,'glossaryterms-export'!C:C,0),
IF(AND(NOT(ISBLANK(INDEX('glossaryterms-export'!H:H,_xlpm.rowNum))),ISBLANK(INDEX('glossaryterms-export'!I:I,_xlpm.rowNum))),"Ready to Fix",""))</f>
        <v/>
      </c>
    </row>
    <row r="2781" spans="6:6">
      <c r="F2781" s="1" t="str" cm="1">
        <f t="array" ref="F2781">_xlfn.LET(_xlpm.rowNum,MATCH(E2781,'glossaryterms-export'!C:C,0),
IF(AND(NOT(ISBLANK(INDEX('glossaryterms-export'!H:H,_xlpm.rowNum))),ISBLANK(INDEX('glossaryterms-export'!I:I,_xlpm.rowNum))),"Ready to Fix",""))</f>
        <v/>
      </c>
    </row>
    <row r="2782" spans="6:6">
      <c r="F2782" s="1" t="str" cm="1">
        <f t="array" ref="F2782">_xlfn.LET(_xlpm.rowNum,MATCH(E2782,'glossaryterms-export'!C:C,0),
IF(AND(NOT(ISBLANK(INDEX('glossaryterms-export'!H:H,_xlpm.rowNum))),ISBLANK(INDEX('glossaryterms-export'!I:I,_xlpm.rowNum))),"Ready to Fix",""))</f>
        <v/>
      </c>
    </row>
    <row r="2783" spans="6:6">
      <c r="F2783" s="1" t="str" cm="1">
        <f t="array" ref="F2783">_xlfn.LET(_xlpm.rowNum,MATCH(E2783,'glossaryterms-export'!C:C,0),
IF(AND(NOT(ISBLANK(INDEX('glossaryterms-export'!H:H,_xlpm.rowNum))),ISBLANK(INDEX('glossaryterms-export'!I:I,_xlpm.rowNum))),"Ready to Fix",""))</f>
        <v/>
      </c>
    </row>
    <row r="2784" spans="6:6">
      <c r="F2784" s="1" t="str" cm="1">
        <f t="array" ref="F2784">_xlfn.LET(_xlpm.rowNum,MATCH(E2784,'glossaryterms-export'!C:C,0),
IF(AND(NOT(ISBLANK(INDEX('glossaryterms-export'!H:H,_xlpm.rowNum))),ISBLANK(INDEX('glossaryterms-export'!I:I,_xlpm.rowNum))),"Ready to Fix",""))</f>
        <v/>
      </c>
    </row>
    <row r="2785" spans="6:6">
      <c r="F2785" s="1" t="str" cm="1">
        <f t="array" ref="F2785">_xlfn.LET(_xlpm.rowNum,MATCH(E2785,'glossaryterms-export'!C:C,0),
IF(AND(NOT(ISBLANK(INDEX('glossaryterms-export'!H:H,_xlpm.rowNum))),ISBLANK(INDEX('glossaryterms-export'!I:I,_xlpm.rowNum))),"Ready to Fix",""))</f>
        <v/>
      </c>
    </row>
    <row r="2786" spans="6:6">
      <c r="F2786" s="1" t="str" cm="1">
        <f t="array" ref="F2786">_xlfn.LET(_xlpm.rowNum,MATCH(E2786,'glossaryterms-export'!C:C,0),
IF(AND(NOT(ISBLANK(INDEX('glossaryterms-export'!H:H,_xlpm.rowNum))),ISBLANK(INDEX('glossaryterms-export'!I:I,_xlpm.rowNum))),"Ready to Fix",""))</f>
        <v/>
      </c>
    </row>
    <row r="2787" spans="6:6">
      <c r="F2787" s="1" t="str" cm="1">
        <f t="array" ref="F2787">_xlfn.LET(_xlpm.rowNum,MATCH(E2787,'glossaryterms-export'!C:C,0),
IF(AND(NOT(ISBLANK(INDEX('glossaryterms-export'!H:H,_xlpm.rowNum))),ISBLANK(INDEX('glossaryterms-export'!I:I,_xlpm.rowNum))),"Ready to Fix",""))</f>
        <v/>
      </c>
    </row>
    <row r="2788" spans="6:6">
      <c r="F2788" s="1" t="str" cm="1">
        <f t="array" ref="F2788">_xlfn.LET(_xlpm.rowNum,MATCH(E2788,'glossaryterms-export'!C:C,0),
IF(AND(NOT(ISBLANK(INDEX('glossaryterms-export'!H:H,_xlpm.rowNum))),ISBLANK(INDEX('glossaryterms-export'!I:I,_xlpm.rowNum))),"Ready to Fix",""))</f>
        <v/>
      </c>
    </row>
    <row r="2789" spans="6:6">
      <c r="F2789" s="1" t="str" cm="1">
        <f t="array" ref="F2789">_xlfn.LET(_xlpm.rowNum,MATCH(E2789,'glossaryterms-export'!C:C,0),
IF(AND(NOT(ISBLANK(INDEX('glossaryterms-export'!H:H,_xlpm.rowNum))),ISBLANK(INDEX('glossaryterms-export'!I:I,_xlpm.rowNum))),"Ready to Fix",""))</f>
        <v/>
      </c>
    </row>
    <row r="2790" spans="6:6">
      <c r="F2790" s="1" t="str" cm="1">
        <f t="array" ref="F2790">_xlfn.LET(_xlpm.rowNum,MATCH(E2790,'glossaryterms-export'!C:C,0),
IF(AND(NOT(ISBLANK(INDEX('glossaryterms-export'!H:H,_xlpm.rowNum))),ISBLANK(INDEX('glossaryterms-export'!I:I,_xlpm.rowNum))),"Ready to Fix",""))</f>
        <v/>
      </c>
    </row>
    <row r="2791" spans="6:6">
      <c r="F2791" s="1" t="str" cm="1">
        <f t="array" ref="F2791">_xlfn.LET(_xlpm.rowNum,MATCH(E2791,'glossaryterms-export'!C:C,0),
IF(AND(NOT(ISBLANK(INDEX('glossaryterms-export'!H:H,_xlpm.rowNum))),ISBLANK(INDEX('glossaryterms-export'!I:I,_xlpm.rowNum))),"Ready to Fix",""))</f>
        <v/>
      </c>
    </row>
    <row r="2792" spans="6:6">
      <c r="F2792" s="1" t="str" cm="1">
        <f t="array" ref="F2792">_xlfn.LET(_xlpm.rowNum,MATCH(E2792,'glossaryterms-export'!C:C,0),
IF(AND(NOT(ISBLANK(INDEX('glossaryterms-export'!H:H,_xlpm.rowNum))),ISBLANK(INDEX('glossaryterms-export'!I:I,_xlpm.rowNum))),"Ready to Fix",""))</f>
        <v/>
      </c>
    </row>
    <row r="2793" spans="6:6">
      <c r="F2793" s="1" t="str" cm="1">
        <f t="array" ref="F2793">_xlfn.LET(_xlpm.rowNum,MATCH(E2793,'glossaryterms-export'!C:C,0),
IF(AND(NOT(ISBLANK(INDEX('glossaryterms-export'!H:H,_xlpm.rowNum))),ISBLANK(INDEX('glossaryterms-export'!I:I,_xlpm.rowNum))),"Ready to Fix",""))</f>
        <v/>
      </c>
    </row>
    <row r="2794" spans="6:6">
      <c r="F2794" s="1" t="str" cm="1">
        <f t="array" ref="F2794">_xlfn.LET(_xlpm.rowNum,MATCH(E2794,'glossaryterms-export'!C:C,0),
IF(AND(NOT(ISBLANK(INDEX('glossaryterms-export'!H:H,_xlpm.rowNum))),ISBLANK(INDEX('glossaryterms-export'!I:I,_xlpm.rowNum))),"Ready to Fix",""))</f>
        <v/>
      </c>
    </row>
    <row r="2795" spans="6:6">
      <c r="F2795" s="1" t="str" cm="1">
        <f t="array" ref="F2795">_xlfn.LET(_xlpm.rowNum,MATCH(E2795,'glossaryterms-export'!C:C,0),
IF(AND(NOT(ISBLANK(INDEX('glossaryterms-export'!H:H,_xlpm.rowNum))),ISBLANK(INDEX('glossaryterms-export'!I:I,_xlpm.rowNum))),"Ready to Fix",""))</f>
        <v/>
      </c>
    </row>
    <row r="2796" spans="6:6">
      <c r="F2796" s="1" t="str" cm="1">
        <f t="array" ref="F2796">_xlfn.LET(_xlpm.rowNum,MATCH(E2796,'glossaryterms-export'!C:C,0),
IF(AND(NOT(ISBLANK(INDEX('glossaryterms-export'!H:H,_xlpm.rowNum))),ISBLANK(INDEX('glossaryterms-export'!I:I,_xlpm.rowNum))),"Ready to Fix",""))</f>
        <v/>
      </c>
    </row>
    <row r="2797" spans="6:6">
      <c r="F2797" s="1" t="str" cm="1">
        <f t="array" ref="F2797">_xlfn.LET(_xlpm.rowNum,MATCH(E2797,'glossaryterms-export'!C:C,0),
IF(AND(NOT(ISBLANK(INDEX('glossaryterms-export'!H:H,_xlpm.rowNum))),ISBLANK(INDEX('glossaryterms-export'!I:I,_xlpm.rowNum))),"Ready to Fix",""))</f>
        <v/>
      </c>
    </row>
    <row r="2798" spans="6:6">
      <c r="F2798" s="1" t="str" cm="1">
        <f t="array" ref="F2798">_xlfn.LET(_xlpm.rowNum,MATCH(E2798,'glossaryterms-export'!C:C,0),
IF(AND(NOT(ISBLANK(INDEX('glossaryterms-export'!H:H,_xlpm.rowNum))),ISBLANK(INDEX('glossaryterms-export'!I:I,_xlpm.rowNum))),"Ready to Fix",""))</f>
        <v/>
      </c>
    </row>
    <row r="2799" spans="6:6">
      <c r="F2799" s="1" t="str" cm="1">
        <f t="array" ref="F2799">_xlfn.LET(_xlpm.rowNum,MATCH(E2799,'glossaryterms-export'!C:C,0),
IF(AND(NOT(ISBLANK(INDEX('glossaryterms-export'!H:H,_xlpm.rowNum))),ISBLANK(INDEX('glossaryterms-export'!I:I,_xlpm.rowNum))),"Ready to Fix",""))</f>
        <v/>
      </c>
    </row>
    <row r="2800" spans="6:6">
      <c r="F2800" s="1" t="str" cm="1">
        <f t="array" ref="F2800">_xlfn.LET(_xlpm.rowNum,MATCH(E2800,'glossaryterms-export'!C:C,0),
IF(AND(NOT(ISBLANK(INDEX('glossaryterms-export'!H:H,_xlpm.rowNum))),ISBLANK(INDEX('glossaryterms-export'!I:I,_xlpm.rowNum))),"Ready to Fix",""))</f>
        <v/>
      </c>
    </row>
    <row r="2801" spans="6:6">
      <c r="F2801" s="1" t="str" cm="1">
        <f t="array" ref="F2801">_xlfn.LET(_xlpm.rowNum,MATCH(E2801,'glossaryterms-export'!C:C,0),
IF(AND(NOT(ISBLANK(INDEX('glossaryterms-export'!H:H,_xlpm.rowNum))),ISBLANK(INDEX('glossaryterms-export'!I:I,_xlpm.rowNum))),"Ready to Fix",""))</f>
        <v/>
      </c>
    </row>
    <row r="2802" spans="6:6">
      <c r="F2802" s="1" t="str" cm="1">
        <f t="array" ref="F2802">_xlfn.LET(_xlpm.rowNum,MATCH(E2802,'glossaryterms-export'!C:C,0),
IF(AND(NOT(ISBLANK(INDEX('glossaryterms-export'!H:H,_xlpm.rowNum))),ISBLANK(INDEX('glossaryterms-export'!I:I,_xlpm.rowNum))),"Ready to Fix",""))</f>
        <v/>
      </c>
    </row>
    <row r="2803" spans="6:6">
      <c r="F2803" s="1" t="str" cm="1">
        <f t="array" ref="F2803">_xlfn.LET(_xlpm.rowNum,MATCH(E2803,'glossaryterms-export'!C:C,0),
IF(AND(NOT(ISBLANK(INDEX('glossaryterms-export'!H:H,_xlpm.rowNum))),ISBLANK(INDEX('glossaryterms-export'!I:I,_xlpm.rowNum))),"Ready to Fix",""))</f>
        <v/>
      </c>
    </row>
    <row r="2804" spans="6:6">
      <c r="F2804" s="1" t="str" cm="1">
        <f t="array" ref="F2804">_xlfn.LET(_xlpm.rowNum,MATCH(E2804,'glossaryterms-export'!C:C,0),
IF(AND(NOT(ISBLANK(INDEX('glossaryterms-export'!H:H,_xlpm.rowNum))),ISBLANK(INDEX('glossaryterms-export'!I:I,_xlpm.rowNum))),"Ready to Fix",""))</f>
        <v/>
      </c>
    </row>
    <row r="2805" spans="6:6">
      <c r="F2805" s="1" t="str" cm="1">
        <f t="array" ref="F2805">_xlfn.LET(_xlpm.rowNum,MATCH(E2805,'glossaryterms-export'!C:C,0),
IF(AND(NOT(ISBLANK(INDEX('glossaryterms-export'!H:H,_xlpm.rowNum))),ISBLANK(INDEX('glossaryterms-export'!I:I,_xlpm.rowNum))),"Ready to Fix",""))</f>
        <v/>
      </c>
    </row>
    <row r="2806" spans="6:6">
      <c r="F2806" s="1" t="str" cm="1">
        <f t="array" ref="F2806">_xlfn.LET(_xlpm.rowNum,MATCH(E2806,'glossaryterms-export'!C:C,0),
IF(AND(NOT(ISBLANK(INDEX('glossaryterms-export'!H:H,_xlpm.rowNum))),ISBLANK(INDEX('glossaryterms-export'!I:I,_xlpm.rowNum))),"Ready to Fix",""))</f>
        <v/>
      </c>
    </row>
    <row r="2807" spans="6:6">
      <c r="F2807" s="1" t="str" cm="1">
        <f t="array" ref="F2807">_xlfn.LET(_xlpm.rowNum,MATCH(E2807,'glossaryterms-export'!C:C,0),
IF(AND(NOT(ISBLANK(INDEX('glossaryterms-export'!H:H,_xlpm.rowNum))),ISBLANK(INDEX('glossaryterms-export'!I:I,_xlpm.rowNum))),"Ready to Fix",""))</f>
        <v/>
      </c>
    </row>
    <row r="2808" spans="6:6">
      <c r="F2808" s="1" t="str" cm="1">
        <f t="array" ref="F2808">_xlfn.LET(_xlpm.rowNum,MATCH(E2808,'glossaryterms-export'!C:C,0),
IF(AND(NOT(ISBLANK(INDEX('glossaryterms-export'!H:H,_xlpm.rowNum))),ISBLANK(INDEX('glossaryterms-export'!I:I,_xlpm.rowNum))),"Ready to Fix",""))</f>
        <v/>
      </c>
    </row>
    <row r="2809" spans="6:6">
      <c r="F2809" s="1" t="str" cm="1">
        <f t="array" ref="F2809">_xlfn.LET(_xlpm.rowNum,MATCH(E2809,'glossaryterms-export'!C:C,0),
IF(AND(NOT(ISBLANK(INDEX('glossaryterms-export'!H:H,_xlpm.rowNum))),ISBLANK(INDEX('glossaryterms-export'!I:I,_xlpm.rowNum))),"Ready to Fix",""))</f>
        <v/>
      </c>
    </row>
    <row r="2810" spans="6:6">
      <c r="F2810" s="1" t="str" cm="1">
        <f t="array" ref="F2810">_xlfn.LET(_xlpm.rowNum,MATCH(E2810,'glossaryterms-export'!C:C,0),
IF(AND(NOT(ISBLANK(INDEX('glossaryterms-export'!H:H,_xlpm.rowNum))),ISBLANK(INDEX('glossaryterms-export'!I:I,_xlpm.rowNum))),"Ready to Fix",""))</f>
        <v/>
      </c>
    </row>
    <row r="2811" spans="6:6">
      <c r="F2811" s="1" t="str" cm="1">
        <f t="array" ref="F2811">_xlfn.LET(_xlpm.rowNum,MATCH(E2811,'glossaryterms-export'!C:C,0),
IF(AND(NOT(ISBLANK(INDEX('glossaryterms-export'!H:H,_xlpm.rowNum))),ISBLANK(INDEX('glossaryterms-export'!I:I,_xlpm.rowNum))),"Ready to Fix",""))</f>
        <v/>
      </c>
    </row>
    <row r="2812" spans="6:6">
      <c r="F2812" s="1" t="str" cm="1">
        <f t="array" ref="F2812">_xlfn.LET(_xlpm.rowNum,MATCH(E2812,'glossaryterms-export'!C:C,0),
IF(AND(NOT(ISBLANK(INDEX('glossaryterms-export'!H:H,_xlpm.rowNum))),ISBLANK(INDEX('glossaryterms-export'!I:I,_xlpm.rowNum))),"Ready to Fix",""))</f>
        <v/>
      </c>
    </row>
    <row r="2813" spans="6:6">
      <c r="F2813" s="1" t="str" cm="1">
        <f t="array" ref="F2813">_xlfn.LET(_xlpm.rowNum,MATCH(E2813,'glossaryterms-export'!C:C,0),
IF(AND(NOT(ISBLANK(INDEX('glossaryterms-export'!H:H,_xlpm.rowNum))),ISBLANK(INDEX('glossaryterms-export'!I:I,_xlpm.rowNum))),"Ready to Fix",""))</f>
        <v/>
      </c>
    </row>
    <row r="2814" spans="6:6">
      <c r="F2814" s="1" t="str" cm="1">
        <f t="array" ref="F2814">_xlfn.LET(_xlpm.rowNum,MATCH(E2814,'glossaryterms-export'!C:C,0),
IF(AND(NOT(ISBLANK(INDEX('glossaryterms-export'!H:H,_xlpm.rowNum))),ISBLANK(INDEX('glossaryterms-export'!I:I,_xlpm.rowNum))),"Ready to Fix",""))</f>
        <v/>
      </c>
    </row>
    <row r="2815" spans="6:6">
      <c r="F2815" s="1" t="str" cm="1">
        <f t="array" ref="F2815">_xlfn.LET(_xlpm.rowNum,MATCH(E2815,'glossaryterms-export'!C:C,0),
IF(AND(NOT(ISBLANK(INDEX('glossaryterms-export'!H:H,_xlpm.rowNum))),ISBLANK(INDEX('glossaryterms-export'!I:I,_xlpm.rowNum))),"Ready to Fix",""))</f>
        <v/>
      </c>
    </row>
    <row r="2816" spans="6:6">
      <c r="F2816" s="1" t="str" cm="1">
        <f t="array" ref="F2816">_xlfn.LET(_xlpm.rowNum,MATCH(E2816,'glossaryterms-export'!C:C,0),
IF(AND(NOT(ISBLANK(INDEX('glossaryterms-export'!H:H,_xlpm.rowNum))),ISBLANK(INDEX('glossaryterms-export'!I:I,_xlpm.rowNum))),"Ready to Fix",""))</f>
        <v/>
      </c>
    </row>
    <row r="2817" spans="6:6">
      <c r="F2817" s="1" t="str" cm="1">
        <f t="array" ref="F2817">_xlfn.LET(_xlpm.rowNum,MATCH(E2817,'glossaryterms-export'!C:C,0),
IF(AND(NOT(ISBLANK(INDEX('glossaryterms-export'!H:H,_xlpm.rowNum))),ISBLANK(INDEX('glossaryterms-export'!I:I,_xlpm.rowNum))),"Ready to Fix",""))</f>
        <v/>
      </c>
    </row>
    <row r="2818" spans="6:6">
      <c r="F2818" s="1" t="str" cm="1">
        <f t="array" ref="F2818">_xlfn.LET(_xlpm.rowNum,MATCH(E2818,'glossaryterms-export'!C:C,0),
IF(AND(NOT(ISBLANK(INDEX('glossaryterms-export'!H:H,_xlpm.rowNum))),ISBLANK(INDEX('glossaryterms-export'!I:I,_xlpm.rowNum))),"Ready to Fix",""))</f>
        <v/>
      </c>
    </row>
    <row r="2819" spans="6:6">
      <c r="F2819" s="1" t="str" cm="1">
        <f t="array" ref="F2819">_xlfn.LET(_xlpm.rowNum,MATCH(E2819,'glossaryterms-export'!C:C,0),
IF(AND(NOT(ISBLANK(INDEX('glossaryterms-export'!H:H,_xlpm.rowNum))),ISBLANK(INDEX('glossaryterms-export'!I:I,_xlpm.rowNum))),"Ready to Fix",""))</f>
        <v/>
      </c>
    </row>
    <row r="2820" spans="6:6">
      <c r="F2820" s="1" t="str" cm="1">
        <f t="array" ref="F2820">_xlfn.LET(_xlpm.rowNum,MATCH(E2820,'glossaryterms-export'!C:C,0),
IF(AND(NOT(ISBLANK(INDEX('glossaryterms-export'!H:H,_xlpm.rowNum))),ISBLANK(INDEX('glossaryterms-export'!I:I,_xlpm.rowNum))),"Ready to Fix",""))</f>
        <v/>
      </c>
    </row>
    <row r="2821" spans="6:6">
      <c r="F2821" s="1" t="str" cm="1">
        <f t="array" ref="F2821">_xlfn.LET(_xlpm.rowNum,MATCH(E2821,'glossaryterms-export'!C:C,0),
IF(AND(NOT(ISBLANK(INDEX('glossaryterms-export'!H:H,_xlpm.rowNum))),ISBLANK(INDEX('glossaryterms-export'!I:I,_xlpm.rowNum))),"Ready to Fix",""))</f>
        <v/>
      </c>
    </row>
    <row r="2822" spans="6:6">
      <c r="F2822" s="1" t="str" cm="1">
        <f t="array" ref="F2822">_xlfn.LET(_xlpm.rowNum,MATCH(E2822,'glossaryterms-export'!C:C,0),
IF(AND(NOT(ISBLANK(INDEX('glossaryterms-export'!H:H,_xlpm.rowNum))),ISBLANK(INDEX('glossaryterms-export'!I:I,_xlpm.rowNum))),"Ready to Fix",""))</f>
        <v/>
      </c>
    </row>
    <row r="2823" spans="6:6">
      <c r="F2823" s="1" t="str" cm="1">
        <f t="array" ref="F2823">_xlfn.LET(_xlpm.rowNum,MATCH(E2823,'glossaryterms-export'!C:C,0),
IF(AND(NOT(ISBLANK(INDEX('glossaryterms-export'!H:H,_xlpm.rowNum))),ISBLANK(INDEX('glossaryterms-export'!I:I,_xlpm.rowNum))),"Ready to Fix",""))</f>
        <v/>
      </c>
    </row>
    <row r="2824" spans="6:6">
      <c r="F2824" s="1" t="str" cm="1">
        <f t="array" ref="F2824">_xlfn.LET(_xlpm.rowNum,MATCH(E2824,'glossaryterms-export'!C:C,0),
IF(AND(NOT(ISBLANK(INDEX('glossaryterms-export'!H:H,_xlpm.rowNum))),ISBLANK(INDEX('glossaryterms-export'!I:I,_xlpm.rowNum))),"Ready to Fix",""))</f>
        <v/>
      </c>
    </row>
    <row r="2825" spans="6:6">
      <c r="F2825" s="1" t="str" cm="1">
        <f t="array" ref="F2825">_xlfn.LET(_xlpm.rowNum,MATCH(E2825,'glossaryterms-export'!C:C,0),
IF(AND(NOT(ISBLANK(INDEX('glossaryterms-export'!H:H,_xlpm.rowNum))),ISBLANK(INDEX('glossaryterms-export'!I:I,_xlpm.rowNum))),"Ready to Fix",""))</f>
        <v/>
      </c>
    </row>
    <row r="2826" spans="6:6">
      <c r="F2826" s="1" t="str" cm="1">
        <f t="array" ref="F2826">_xlfn.LET(_xlpm.rowNum,MATCH(E2826,'glossaryterms-export'!C:C,0),
IF(AND(NOT(ISBLANK(INDEX('glossaryterms-export'!H:H,_xlpm.rowNum))),ISBLANK(INDEX('glossaryterms-export'!I:I,_xlpm.rowNum))),"Ready to Fix",""))</f>
        <v/>
      </c>
    </row>
    <row r="2827" spans="6:6">
      <c r="F2827" s="1" t="str" cm="1">
        <f t="array" ref="F2827">_xlfn.LET(_xlpm.rowNum,MATCH(E2827,'glossaryterms-export'!C:C,0),
IF(AND(NOT(ISBLANK(INDEX('glossaryterms-export'!H:H,_xlpm.rowNum))),ISBLANK(INDEX('glossaryterms-export'!I:I,_xlpm.rowNum))),"Ready to Fix",""))</f>
        <v/>
      </c>
    </row>
    <row r="2828" spans="6:6">
      <c r="F2828" s="1" t="str" cm="1">
        <f t="array" ref="F2828">_xlfn.LET(_xlpm.rowNum,MATCH(E2828,'glossaryterms-export'!C:C,0),
IF(AND(NOT(ISBLANK(INDEX('glossaryterms-export'!H:H,_xlpm.rowNum))),ISBLANK(INDEX('glossaryterms-export'!I:I,_xlpm.rowNum))),"Ready to Fix",""))</f>
        <v/>
      </c>
    </row>
    <row r="2829" spans="6:6">
      <c r="F2829" s="1" t="str" cm="1">
        <f t="array" ref="F2829">_xlfn.LET(_xlpm.rowNum,MATCH(E2829,'glossaryterms-export'!C:C,0),
IF(AND(NOT(ISBLANK(INDEX('glossaryterms-export'!H:H,_xlpm.rowNum))),ISBLANK(INDEX('glossaryterms-export'!I:I,_xlpm.rowNum))),"Ready to Fix",""))</f>
        <v/>
      </c>
    </row>
    <row r="2830" spans="6:6">
      <c r="F2830" s="1" t="str" cm="1">
        <f t="array" ref="F2830">_xlfn.LET(_xlpm.rowNum,MATCH(E2830,'glossaryterms-export'!C:C,0),
IF(AND(NOT(ISBLANK(INDEX('glossaryterms-export'!H:H,_xlpm.rowNum))),ISBLANK(INDEX('glossaryterms-export'!I:I,_xlpm.rowNum))),"Ready to Fix",""))</f>
        <v/>
      </c>
    </row>
    <row r="2831" spans="6:6">
      <c r="F2831" s="1" t="str" cm="1">
        <f t="array" ref="F2831">_xlfn.LET(_xlpm.rowNum,MATCH(E2831,'glossaryterms-export'!C:C,0),
IF(AND(NOT(ISBLANK(INDEX('glossaryterms-export'!H:H,_xlpm.rowNum))),ISBLANK(INDEX('glossaryterms-export'!I:I,_xlpm.rowNum))),"Ready to Fix",""))</f>
        <v/>
      </c>
    </row>
    <row r="2832" spans="6:6">
      <c r="F2832" s="1" t="str" cm="1">
        <f t="array" ref="F2832">_xlfn.LET(_xlpm.rowNum,MATCH(E2832,'glossaryterms-export'!C:C,0),
IF(AND(NOT(ISBLANK(INDEX('glossaryterms-export'!H:H,_xlpm.rowNum))),ISBLANK(INDEX('glossaryterms-export'!I:I,_xlpm.rowNum))),"Ready to Fix",""))</f>
        <v/>
      </c>
    </row>
    <row r="2833" spans="6:6">
      <c r="F2833" s="1" t="str" cm="1">
        <f t="array" ref="F2833">_xlfn.LET(_xlpm.rowNum,MATCH(E2833,'glossaryterms-export'!C:C,0),
IF(AND(NOT(ISBLANK(INDEX('glossaryterms-export'!H:H,_xlpm.rowNum))),ISBLANK(INDEX('glossaryterms-export'!I:I,_xlpm.rowNum))),"Ready to Fix",""))</f>
        <v/>
      </c>
    </row>
    <row r="2834" spans="6:6">
      <c r="F2834" s="1" t="str" cm="1">
        <f t="array" ref="F2834">_xlfn.LET(_xlpm.rowNum,MATCH(E2834,'glossaryterms-export'!C:C,0),
IF(AND(NOT(ISBLANK(INDEX('glossaryterms-export'!H:H,_xlpm.rowNum))),ISBLANK(INDEX('glossaryterms-export'!I:I,_xlpm.rowNum))),"Ready to Fix",""))</f>
        <v/>
      </c>
    </row>
    <row r="2835" spans="6:6">
      <c r="F2835" s="1" t="str" cm="1">
        <f t="array" ref="F2835">_xlfn.LET(_xlpm.rowNum,MATCH(E2835,'glossaryterms-export'!C:C,0),
IF(AND(NOT(ISBLANK(INDEX('glossaryterms-export'!H:H,_xlpm.rowNum))),ISBLANK(INDEX('glossaryterms-export'!I:I,_xlpm.rowNum))),"Ready to Fix",""))</f>
        <v/>
      </c>
    </row>
    <row r="2836" spans="6:6">
      <c r="F2836" s="1" t="str" cm="1">
        <f t="array" ref="F2836">_xlfn.LET(_xlpm.rowNum,MATCH(E2836,'glossaryterms-export'!C:C,0),
IF(AND(NOT(ISBLANK(INDEX('glossaryterms-export'!H:H,_xlpm.rowNum))),ISBLANK(INDEX('glossaryterms-export'!I:I,_xlpm.rowNum))),"Ready to Fix",""))</f>
        <v/>
      </c>
    </row>
    <row r="2837" spans="6:6">
      <c r="F2837" s="1" t="str" cm="1">
        <f t="array" ref="F2837">_xlfn.LET(_xlpm.rowNum,MATCH(E2837,'glossaryterms-export'!C:C,0),
IF(AND(NOT(ISBLANK(INDEX('glossaryterms-export'!H:H,_xlpm.rowNum))),ISBLANK(INDEX('glossaryterms-export'!I:I,_xlpm.rowNum))),"Ready to Fix",""))</f>
        <v/>
      </c>
    </row>
    <row r="2838" spans="6:6">
      <c r="F2838" s="1" t="str" cm="1">
        <f t="array" ref="F2838">_xlfn.LET(_xlpm.rowNum,MATCH(E2838,'glossaryterms-export'!C:C,0),
IF(AND(NOT(ISBLANK(INDEX('glossaryterms-export'!H:H,_xlpm.rowNum))),ISBLANK(INDEX('glossaryterms-export'!I:I,_xlpm.rowNum))),"Ready to Fix",""))</f>
        <v/>
      </c>
    </row>
    <row r="2839" spans="6:6">
      <c r="F2839" s="1" t="str" cm="1">
        <f t="array" ref="F2839">_xlfn.LET(_xlpm.rowNum,MATCH(E2839,'glossaryterms-export'!C:C,0),
IF(AND(NOT(ISBLANK(INDEX('glossaryterms-export'!H:H,_xlpm.rowNum))),ISBLANK(INDEX('glossaryterms-export'!I:I,_xlpm.rowNum))),"Ready to Fix",""))</f>
        <v/>
      </c>
    </row>
    <row r="2840" spans="6:6">
      <c r="F2840" s="1" t="str" cm="1">
        <f t="array" ref="F2840">_xlfn.LET(_xlpm.rowNum,MATCH(E2840,'glossaryterms-export'!C:C,0),
IF(AND(NOT(ISBLANK(INDEX('glossaryterms-export'!H:H,_xlpm.rowNum))),ISBLANK(INDEX('glossaryterms-export'!I:I,_xlpm.rowNum))),"Ready to Fix",""))</f>
        <v/>
      </c>
    </row>
    <row r="2841" spans="6:6">
      <c r="F2841" s="1" t="str" cm="1">
        <f t="array" ref="F2841">_xlfn.LET(_xlpm.rowNum,MATCH(E2841,'glossaryterms-export'!C:C,0),
IF(AND(NOT(ISBLANK(INDEX('glossaryterms-export'!H:H,_xlpm.rowNum))),ISBLANK(INDEX('glossaryterms-export'!I:I,_xlpm.rowNum))),"Ready to Fix",""))</f>
        <v/>
      </c>
    </row>
    <row r="2842" spans="6:6">
      <c r="F2842" s="1" t="str" cm="1">
        <f t="array" ref="F2842">_xlfn.LET(_xlpm.rowNum,MATCH(E2842,'glossaryterms-export'!C:C,0),
IF(AND(NOT(ISBLANK(INDEX('glossaryterms-export'!H:H,_xlpm.rowNum))),ISBLANK(INDEX('glossaryterms-export'!I:I,_xlpm.rowNum))),"Ready to Fix",""))</f>
        <v/>
      </c>
    </row>
    <row r="2843" spans="6:6">
      <c r="F2843" s="1" t="str" cm="1">
        <f t="array" ref="F2843">_xlfn.LET(_xlpm.rowNum,MATCH(E2843,'glossaryterms-export'!C:C,0),
IF(AND(NOT(ISBLANK(INDEX('glossaryterms-export'!H:H,_xlpm.rowNum))),ISBLANK(INDEX('glossaryterms-export'!I:I,_xlpm.rowNum))),"Ready to Fix",""))</f>
        <v/>
      </c>
    </row>
    <row r="2844" spans="6:6">
      <c r="F2844" s="1" t="str" cm="1">
        <f t="array" ref="F2844">_xlfn.LET(_xlpm.rowNum,MATCH(E2844,'glossaryterms-export'!C:C,0),
IF(AND(NOT(ISBLANK(INDEX('glossaryterms-export'!H:H,_xlpm.rowNum))),ISBLANK(INDEX('glossaryterms-export'!I:I,_xlpm.rowNum))),"Ready to Fix",""))</f>
        <v/>
      </c>
    </row>
    <row r="2845" spans="6:6">
      <c r="F2845" s="1" t="str" cm="1">
        <f t="array" ref="F2845">_xlfn.LET(_xlpm.rowNum,MATCH(E2845,'glossaryterms-export'!C:C,0),
IF(AND(NOT(ISBLANK(INDEX('glossaryterms-export'!H:H,_xlpm.rowNum))),ISBLANK(INDEX('glossaryterms-export'!I:I,_xlpm.rowNum))),"Ready to Fix",""))</f>
        <v/>
      </c>
    </row>
    <row r="2846" spans="6:6">
      <c r="F2846" s="1" t="str" cm="1">
        <f t="array" ref="F2846">_xlfn.LET(_xlpm.rowNum,MATCH(E2846,'glossaryterms-export'!C:C,0),
IF(AND(NOT(ISBLANK(INDEX('glossaryterms-export'!H:H,_xlpm.rowNum))),ISBLANK(INDEX('glossaryterms-export'!I:I,_xlpm.rowNum))),"Ready to Fix",""))</f>
        <v/>
      </c>
    </row>
    <row r="2847" spans="6:6">
      <c r="F2847" s="1" t="str" cm="1">
        <f t="array" ref="F2847">_xlfn.LET(_xlpm.rowNum,MATCH(E2847,'glossaryterms-export'!C:C,0),
IF(AND(NOT(ISBLANK(INDEX('glossaryterms-export'!H:H,_xlpm.rowNum))),ISBLANK(INDEX('glossaryterms-export'!I:I,_xlpm.rowNum))),"Ready to Fix",""))</f>
        <v/>
      </c>
    </row>
    <row r="2848" spans="6:6">
      <c r="F2848" s="1" t="str" cm="1">
        <f t="array" ref="F2848">_xlfn.LET(_xlpm.rowNum,MATCH(E2848,'glossaryterms-export'!C:C,0),
IF(AND(NOT(ISBLANK(INDEX('glossaryterms-export'!H:H,_xlpm.rowNum))),ISBLANK(INDEX('glossaryterms-export'!I:I,_xlpm.rowNum))),"Ready to Fix",""))</f>
        <v/>
      </c>
    </row>
    <row r="2849" spans="6:6">
      <c r="F2849" s="1" t="str" cm="1">
        <f t="array" ref="F2849">_xlfn.LET(_xlpm.rowNum,MATCH(E2849,'glossaryterms-export'!C:C,0),
IF(AND(NOT(ISBLANK(INDEX('glossaryterms-export'!H:H,_xlpm.rowNum))),ISBLANK(INDEX('glossaryterms-export'!I:I,_xlpm.rowNum))),"Ready to Fix",""))</f>
        <v/>
      </c>
    </row>
    <row r="2850" spans="6:6">
      <c r="F2850" s="1" t="str" cm="1">
        <f t="array" ref="F2850">_xlfn.LET(_xlpm.rowNum,MATCH(E2850,'glossaryterms-export'!C:C,0),
IF(AND(NOT(ISBLANK(INDEX('glossaryterms-export'!H:H,_xlpm.rowNum))),ISBLANK(INDEX('glossaryterms-export'!I:I,_xlpm.rowNum))),"Ready to Fix",""))</f>
        <v/>
      </c>
    </row>
    <row r="2851" spans="6:6">
      <c r="F2851" s="1" t="str" cm="1">
        <f t="array" ref="F2851">_xlfn.LET(_xlpm.rowNum,MATCH(E2851,'glossaryterms-export'!C:C,0),
IF(AND(NOT(ISBLANK(INDEX('glossaryterms-export'!H:H,_xlpm.rowNum))),ISBLANK(INDEX('glossaryterms-export'!I:I,_xlpm.rowNum))),"Ready to Fix",""))</f>
        <v/>
      </c>
    </row>
    <row r="2852" spans="6:6">
      <c r="F2852" s="1" t="str" cm="1">
        <f t="array" ref="F2852">_xlfn.LET(_xlpm.rowNum,MATCH(E2852,'glossaryterms-export'!C:C,0),
IF(AND(NOT(ISBLANK(INDEX('glossaryterms-export'!H:H,_xlpm.rowNum))),ISBLANK(INDEX('glossaryterms-export'!I:I,_xlpm.rowNum))),"Ready to Fix",""))</f>
        <v/>
      </c>
    </row>
    <row r="2853" spans="6:6">
      <c r="F2853" s="1" t="str" cm="1">
        <f t="array" ref="F2853">_xlfn.LET(_xlpm.rowNum,MATCH(E2853,'glossaryterms-export'!C:C,0),
IF(AND(NOT(ISBLANK(INDEX('glossaryterms-export'!H:H,_xlpm.rowNum))),ISBLANK(INDEX('glossaryterms-export'!I:I,_xlpm.rowNum))),"Ready to Fix",""))</f>
        <v/>
      </c>
    </row>
    <row r="2854" spans="6:6">
      <c r="F2854" s="1" t="str" cm="1">
        <f t="array" ref="F2854">_xlfn.LET(_xlpm.rowNum,MATCH(E2854,'glossaryterms-export'!C:C,0),
IF(AND(NOT(ISBLANK(INDEX('glossaryterms-export'!H:H,_xlpm.rowNum))),ISBLANK(INDEX('glossaryterms-export'!I:I,_xlpm.rowNum))),"Ready to Fix",""))</f>
        <v/>
      </c>
    </row>
    <row r="2855" spans="6:6">
      <c r="F2855" s="1" t="str" cm="1">
        <f t="array" ref="F2855">_xlfn.LET(_xlpm.rowNum,MATCH(E2855,'glossaryterms-export'!C:C,0),
IF(AND(NOT(ISBLANK(INDEX('glossaryterms-export'!H:H,_xlpm.rowNum))),ISBLANK(INDEX('glossaryterms-export'!I:I,_xlpm.rowNum))),"Ready to Fix",""))</f>
        <v/>
      </c>
    </row>
    <row r="2856" spans="6:6">
      <c r="F2856" s="1" t="str" cm="1">
        <f t="array" ref="F2856">_xlfn.LET(_xlpm.rowNum,MATCH(E2856,'glossaryterms-export'!C:C,0),
IF(AND(NOT(ISBLANK(INDEX('glossaryterms-export'!H:H,_xlpm.rowNum))),ISBLANK(INDEX('glossaryterms-export'!I:I,_xlpm.rowNum))),"Ready to Fix",""))</f>
        <v/>
      </c>
    </row>
    <row r="2857" spans="6:6">
      <c r="F2857" s="1" t="str" cm="1">
        <f t="array" ref="F2857">_xlfn.LET(_xlpm.rowNum,MATCH(E2857,'glossaryterms-export'!C:C,0),
IF(AND(NOT(ISBLANK(INDEX('glossaryterms-export'!H:H,_xlpm.rowNum))),ISBLANK(INDEX('glossaryterms-export'!I:I,_xlpm.rowNum))),"Ready to Fix",""))</f>
        <v/>
      </c>
    </row>
    <row r="2858" spans="6:6">
      <c r="F2858" s="1" t="str" cm="1">
        <f t="array" ref="F2858">_xlfn.LET(_xlpm.rowNum,MATCH(E2858,'glossaryterms-export'!C:C,0),
IF(AND(NOT(ISBLANK(INDEX('glossaryterms-export'!H:H,_xlpm.rowNum))),ISBLANK(INDEX('glossaryterms-export'!I:I,_xlpm.rowNum))),"Ready to Fix",""))</f>
        <v/>
      </c>
    </row>
    <row r="2859" spans="6:6">
      <c r="F2859" s="1" t="str" cm="1">
        <f t="array" ref="F2859">_xlfn.LET(_xlpm.rowNum,MATCH(E2859,'glossaryterms-export'!C:C,0),
IF(AND(NOT(ISBLANK(INDEX('glossaryterms-export'!H:H,_xlpm.rowNum))),ISBLANK(INDEX('glossaryterms-export'!I:I,_xlpm.rowNum))),"Ready to Fix",""))</f>
        <v/>
      </c>
    </row>
    <row r="2860" spans="6:6">
      <c r="F2860" s="1" t="str" cm="1">
        <f t="array" ref="F2860">_xlfn.LET(_xlpm.rowNum,MATCH(E2860,'glossaryterms-export'!C:C,0),
IF(AND(NOT(ISBLANK(INDEX('glossaryterms-export'!H:H,_xlpm.rowNum))),ISBLANK(INDEX('glossaryterms-export'!I:I,_xlpm.rowNum))),"Ready to Fix",""))</f>
        <v/>
      </c>
    </row>
    <row r="2861" spans="6:6">
      <c r="F2861" s="1" t="str" cm="1">
        <f t="array" ref="F2861">_xlfn.LET(_xlpm.rowNum,MATCH(E2861,'glossaryterms-export'!C:C,0),
IF(AND(NOT(ISBLANK(INDEX('glossaryterms-export'!H:H,_xlpm.rowNum))),ISBLANK(INDEX('glossaryterms-export'!I:I,_xlpm.rowNum))),"Ready to Fix",""))</f>
        <v/>
      </c>
    </row>
    <row r="2862" spans="6:6">
      <c r="F2862" s="1" t="str" cm="1">
        <f t="array" ref="F2862">_xlfn.LET(_xlpm.rowNum,MATCH(E2862,'glossaryterms-export'!C:C,0),
IF(AND(NOT(ISBLANK(INDEX('glossaryterms-export'!H:H,_xlpm.rowNum))),ISBLANK(INDEX('glossaryterms-export'!I:I,_xlpm.rowNum))),"Ready to Fix",""))</f>
        <v/>
      </c>
    </row>
    <row r="2863" spans="6:6">
      <c r="F2863" s="1" t="str" cm="1">
        <f t="array" ref="F2863">_xlfn.LET(_xlpm.rowNum,MATCH(E2863,'glossaryterms-export'!C:C,0),
IF(AND(NOT(ISBLANK(INDEX('glossaryterms-export'!H:H,_xlpm.rowNum))),ISBLANK(INDEX('glossaryterms-export'!I:I,_xlpm.rowNum))),"Ready to Fix",""))</f>
        <v/>
      </c>
    </row>
    <row r="2864" spans="6:6">
      <c r="F2864" s="1" t="str" cm="1">
        <f t="array" ref="F2864">_xlfn.LET(_xlpm.rowNum,MATCH(E2864,'glossaryterms-export'!C:C,0),
IF(AND(NOT(ISBLANK(INDEX('glossaryterms-export'!H:H,_xlpm.rowNum))),ISBLANK(INDEX('glossaryterms-export'!I:I,_xlpm.rowNum))),"Ready to Fix",""))</f>
        <v/>
      </c>
    </row>
    <row r="2865" spans="6:6">
      <c r="F2865" s="1" t="str" cm="1">
        <f t="array" ref="F2865">_xlfn.LET(_xlpm.rowNum,MATCH(E2865,'glossaryterms-export'!C:C,0),
IF(AND(NOT(ISBLANK(INDEX('glossaryterms-export'!H:H,_xlpm.rowNum))),ISBLANK(INDEX('glossaryterms-export'!I:I,_xlpm.rowNum))),"Ready to Fix",""))</f>
        <v/>
      </c>
    </row>
    <row r="2866" spans="6:6">
      <c r="F2866" s="1" t="str" cm="1">
        <f t="array" ref="F2866">_xlfn.LET(_xlpm.rowNum,MATCH(E2866,'glossaryterms-export'!C:C,0),
IF(AND(NOT(ISBLANK(INDEX('glossaryterms-export'!H:H,_xlpm.rowNum))),ISBLANK(INDEX('glossaryterms-export'!I:I,_xlpm.rowNum))),"Ready to Fix",""))</f>
        <v/>
      </c>
    </row>
    <row r="2867" spans="6:6">
      <c r="F2867" s="1" t="str" cm="1">
        <f t="array" ref="F2867">_xlfn.LET(_xlpm.rowNum,MATCH(E2867,'glossaryterms-export'!C:C,0),
IF(AND(NOT(ISBLANK(INDEX('glossaryterms-export'!H:H,_xlpm.rowNum))),ISBLANK(INDEX('glossaryterms-export'!I:I,_xlpm.rowNum))),"Ready to Fix",""))</f>
        <v/>
      </c>
    </row>
    <row r="2868" spans="6:6">
      <c r="F2868" s="1" t="str" cm="1">
        <f t="array" ref="F2868">_xlfn.LET(_xlpm.rowNum,MATCH(E2868,'glossaryterms-export'!C:C,0),
IF(AND(NOT(ISBLANK(INDEX('glossaryterms-export'!H:H,_xlpm.rowNum))),ISBLANK(INDEX('glossaryterms-export'!I:I,_xlpm.rowNum))),"Ready to Fix",""))</f>
        <v/>
      </c>
    </row>
    <row r="2869" spans="6:6">
      <c r="F2869" s="1" t="str" cm="1">
        <f t="array" ref="F2869">_xlfn.LET(_xlpm.rowNum,MATCH(E2869,'glossaryterms-export'!C:C,0),
IF(AND(NOT(ISBLANK(INDEX('glossaryterms-export'!H:H,_xlpm.rowNum))),ISBLANK(INDEX('glossaryterms-export'!I:I,_xlpm.rowNum))),"Ready to Fix",""))</f>
        <v/>
      </c>
    </row>
    <row r="2870" spans="6:6">
      <c r="F2870" s="1" t="str" cm="1">
        <f t="array" ref="F2870">_xlfn.LET(_xlpm.rowNum,MATCH(E2870,'glossaryterms-export'!C:C,0),
IF(AND(NOT(ISBLANK(INDEX('glossaryterms-export'!H:H,_xlpm.rowNum))),ISBLANK(INDEX('glossaryterms-export'!I:I,_xlpm.rowNum))),"Ready to Fix",""))</f>
        <v/>
      </c>
    </row>
    <row r="2871" spans="6:6">
      <c r="F2871" s="1" t="str" cm="1">
        <f t="array" ref="F2871">_xlfn.LET(_xlpm.rowNum,MATCH(E2871,'glossaryterms-export'!C:C,0),
IF(AND(NOT(ISBLANK(INDEX('glossaryterms-export'!H:H,_xlpm.rowNum))),ISBLANK(INDEX('glossaryterms-export'!I:I,_xlpm.rowNum))),"Ready to Fix",""))</f>
        <v/>
      </c>
    </row>
    <row r="2872" spans="6:6">
      <c r="F2872" s="1" t="str" cm="1">
        <f t="array" ref="F2872">_xlfn.LET(_xlpm.rowNum,MATCH(E2872,'glossaryterms-export'!C:C,0),
IF(AND(NOT(ISBLANK(INDEX('glossaryterms-export'!H:H,_xlpm.rowNum))),ISBLANK(INDEX('glossaryterms-export'!I:I,_xlpm.rowNum))),"Ready to Fix",""))</f>
        <v/>
      </c>
    </row>
    <row r="2873" spans="6:6">
      <c r="F2873" s="1" t="str" cm="1">
        <f t="array" ref="F2873">_xlfn.LET(_xlpm.rowNum,MATCH(E2873,'glossaryterms-export'!C:C,0),
IF(AND(NOT(ISBLANK(INDEX('glossaryterms-export'!H:H,_xlpm.rowNum))),ISBLANK(INDEX('glossaryterms-export'!I:I,_xlpm.rowNum))),"Ready to Fix",""))</f>
        <v/>
      </c>
    </row>
    <row r="2874" spans="6:6">
      <c r="F2874" s="1" t="str" cm="1">
        <f t="array" ref="F2874">_xlfn.LET(_xlpm.rowNum,MATCH(E2874,'glossaryterms-export'!C:C,0),
IF(AND(NOT(ISBLANK(INDEX('glossaryterms-export'!H:H,_xlpm.rowNum))),ISBLANK(INDEX('glossaryterms-export'!I:I,_xlpm.rowNum))),"Ready to Fix",""))</f>
        <v/>
      </c>
    </row>
    <row r="2875" spans="6:6">
      <c r="F2875" s="1" t="str" cm="1">
        <f t="array" ref="F2875">_xlfn.LET(_xlpm.rowNum,MATCH(E2875,'glossaryterms-export'!C:C,0),
IF(AND(NOT(ISBLANK(INDEX('glossaryterms-export'!H:H,_xlpm.rowNum))),ISBLANK(INDEX('glossaryterms-export'!I:I,_xlpm.rowNum))),"Ready to Fix",""))</f>
        <v/>
      </c>
    </row>
    <row r="2876" spans="6:6">
      <c r="F2876" s="1" t="str" cm="1">
        <f t="array" ref="F2876">_xlfn.LET(_xlpm.rowNum,MATCH(E2876,'glossaryterms-export'!C:C,0),
IF(AND(NOT(ISBLANK(INDEX('glossaryterms-export'!H:H,_xlpm.rowNum))),ISBLANK(INDEX('glossaryterms-export'!I:I,_xlpm.rowNum))),"Ready to Fix",""))</f>
        <v/>
      </c>
    </row>
    <row r="2877" spans="6:6">
      <c r="F2877" s="1" t="str" cm="1">
        <f t="array" ref="F2877">_xlfn.LET(_xlpm.rowNum,MATCH(E2877,'glossaryterms-export'!C:C,0),
IF(AND(NOT(ISBLANK(INDEX('glossaryterms-export'!H:H,_xlpm.rowNum))),ISBLANK(INDEX('glossaryterms-export'!I:I,_xlpm.rowNum))),"Ready to Fix",""))</f>
        <v/>
      </c>
    </row>
    <row r="2878" spans="6:6">
      <c r="F2878" s="1" t="str" cm="1">
        <f t="array" ref="F2878">_xlfn.LET(_xlpm.rowNum,MATCH(E2878,'glossaryterms-export'!C:C,0),
IF(AND(NOT(ISBLANK(INDEX('glossaryterms-export'!H:H,_xlpm.rowNum))),ISBLANK(INDEX('glossaryterms-export'!I:I,_xlpm.rowNum))),"Ready to Fix",""))</f>
        <v/>
      </c>
    </row>
    <row r="2879" spans="6:6">
      <c r="F2879" s="1" t="str" cm="1">
        <f t="array" ref="F2879">_xlfn.LET(_xlpm.rowNum,MATCH(E2879,'glossaryterms-export'!C:C,0),
IF(AND(NOT(ISBLANK(INDEX('glossaryterms-export'!H:H,_xlpm.rowNum))),ISBLANK(INDEX('glossaryterms-export'!I:I,_xlpm.rowNum))),"Ready to Fix",""))</f>
        <v/>
      </c>
    </row>
    <row r="2880" spans="6:6">
      <c r="F2880" s="1" t="str" cm="1">
        <f t="array" ref="F2880">_xlfn.LET(_xlpm.rowNum,MATCH(E2880,'glossaryterms-export'!C:C,0),
IF(AND(NOT(ISBLANK(INDEX('glossaryterms-export'!H:H,_xlpm.rowNum))),ISBLANK(INDEX('glossaryterms-export'!I:I,_xlpm.rowNum))),"Ready to Fix",""))</f>
        <v/>
      </c>
    </row>
    <row r="2881" spans="6:6">
      <c r="F2881" s="1" t="str" cm="1">
        <f t="array" ref="F2881">_xlfn.LET(_xlpm.rowNum,MATCH(E2881,'glossaryterms-export'!C:C,0),
IF(AND(NOT(ISBLANK(INDEX('glossaryterms-export'!H:H,_xlpm.rowNum))),ISBLANK(INDEX('glossaryterms-export'!I:I,_xlpm.rowNum))),"Ready to Fix",""))</f>
        <v/>
      </c>
    </row>
    <row r="2882" spans="6:6">
      <c r="F2882" s="1" t="str" cm="1">
        <f t="array" ref="F2882">_xlfn.LET(_xlpm.rowNum,MATCH(E2882,'glossaryterms-export'!C:C,0),
IF(AND(NOT(ISBLANK(INDEX('glossaryterms-export'!H:H,_xlpm.rowNum))),ISBLANK(INDEX('glossaryterms-export'!I:I,_xlpm.rowNum))),"Ready to Fix",""))</f>
        <v/>
      </c>
    </row>
    <row r="2883" spans="6:6">
      <c r="F2883" s="1" t="str" cm="1">
        <f t="array" ref="F2883">_xlfn.LET(_xlpm.rowNum,MATCH(E2883,'glossaryterms-export'!C:C,0),
IF(AND(NOT(ISBLANK(INDEX('glossaryterms-export'!H:H,_xlpm.rowNum))),ISBLANK(INDEX('glossaryterms-export'!I:I,_xlpm.rowNum))),"Ready to Fix",""))</f>
        <v/>
      </c>
    </row>
    <row r="2884" spans="6:6">
      <c r="F2884" s="1" t="str" cm="1">
        <f t="array" ref="F2884">_xlfn.LET(_xlpm.rowNum,MATCH(E2884,'glossaryterms-export'!C:C,0),
IF(AND(NOT(ISBLANK(INDEX('glossaryterms-export'!H:H,_xlpm.rowNum))),ISBLANK(INDEX('glossaryterms-export'!I:I,_xlpm.rowNum))),"Ready to Fix",""))</f>
        <v/>
      </c>
    </row>
    <row r="2885" spans="6:6">
      <c r="F2885" s="1" t="str" cm="1">
        <f t="array" ref="F2885">_xlfn.LET(_xlpm.rowNum,MATCH(E2885,'glossaryterms-export'!C:C,0),
IF(AND(NOT(ISBLANK(INDEX('glossaryterms-export'!H:H,_xlpm.rowNum))),ISBLANK(INDEX('glossaryterms-export'!I:I,_xlpm.rowNum))),"Ready to Fix",""))</f>
        <v/>
      </c>
    </row>
    <row r="2886" spans="6:6">
      <c r="F2886" s="1" t="str" cm="1">
        <f t="array" ref="F2886">_xlfn.LET(_xlpm.rowNum,MATCH(E2886,'glossaryterms-export'!C:C,0),
IF(AND(NOT(ISBLANK(INDEX('glossaryterms-export'!H:H,_xlpm.rowNum))),ISBLANK(INDEX('glossaryterms-export'!I:I,_xlpm.rowNum))),"Ready to Fix",""))</f>
        <v/>
      </c>
    </row>
    <row r="2887" spans="6:6">
      <c r="F2887" s="1" t="str" cm="1">
        <f t="array" ref="F2887">_xlfn.LET(_xlpm.rowNum,MATCH(E2887,'glossaryterms-export'!C:C,0),
IF(AND(NOT(ISBLANK(INDEX('glossaryterms-export'!H:H,_xlpm.rowNum))),ISBLANK(INDEX('glossaryterms-export'!I:I,_xlpm.rowNum))),"Ready to Fix",""))</f>
        <v/>
      </c>
    </row>
    <row r="2888" spans="6:6">
      <c r="F2888" s="1" t="str" cm="1">
        <f t="array" ref="F2888">_xlfn.LET(_xlpm.rowNum,MATCH(E2888,'glossaryterms-export'!C:C,0),
IF(AND(NOT(ISBLANK(INDEX('glossaryterms-export'!H:H,_xlpm.rowNum))),ISBLANK(INDEX('glossaryterms-export'!I:I,_xlpm.rowNum))),"Ready to Fix",""))</f>
        <v/>
      </c>
    </row>
    <row r="2889" spans="6:6">
      <c r="F2889" s="1" t="str" cm="1">
        <f t="array" ref="F2889">_xlfn.LET(_xlpm.rowNum,MATCH(E2889,'glossaryterms-export'!C:C,0),
IF(AND(NOT(ISBLANK(INDEX('glossaryterms-export'!H:H,_xlpm.rowNum))),ISBLANK(INDEX('glossaryterms-export'!I:I,_xlpm.rowNum))),"Ready to Fix",""))</f>
        <v/>
      </c>
    </row>
    <row r="2890" spans="6:6">
      <c r="F2890" s="1" t="str" cm="1">
        <f t="array" ref="F2890">_xlfn.LET(_xlpm.rowNum,MATCH(E2890,'glossaryterms-export'!C:C,0),
IF(AND(NOT(ISBLANK(INDEX('glossaryterms-export'!H:H,_xlpm.rowNum))),ISBLANK(INDEX('glossaryterms-export'!I:I,_xlpm.rowNum))),"Ready to Fix",""))</f>
        <v/>
      </c>
    </row>
    <row r="2891" spans="6:6">
      <c r="F2891" s="1" t="str" cm="1">
        <f t="array" ref="F2891">_xlfn.LET(_xlpm.rowNum,MATCH(E2891,'glossaryterms-export'!C:C,0),
IF(AND(NOT(ISBLANK(INDEX('glossaryterms-export'!H:H,_xlpm.rowNum))),ISBLANK(INDEX('glossaryterms-export'!I:I,_xlpm.rowNum))),"Ready to Fix",""))</f>
        <v/>
      </c>
    </row>
    <row r="2892" spans="6:6">
      <c r="F2892" s="1" t="str" cm="1">
        <f t="array" ref="F2892">_xlfn.LET(_xlpm.rowNum,MATCH(E2892,'glossaryterms-export'!C:C,0),
IF(AND(NOT(ISBLANK(INDEX('glossaryterms-export'!H:H,_xlpm.rowNum))),ISBLANK(INDEX('glossaryterms-export'!I:I,_xlpm.rowNum))),"Ready to Fix",""))</f>
        <v/>
      </c>
    </row>
    <row r="2893" spans="6:6">
      <c r="F2893" s="1" t="str" cm="1">
        <f t="array" ref="F2893">_xlfn.LET(_xlpm.rowNum,MATCH(E2893,'glossaryterms-export'!C:C,0),
IF(AND(NOT(ISBLANK(INDEX('glossaryterms-export'!H:H,_xlpm.rowNum))),ISBLANK(INDEX('glossaryterms-export'!I:I,_xlpm.rowNum))),"Ready to Fix",""))</f>
        <v/>
      </c>
    </row>
    <row r="2894" spans="6:6">
      <c r="F2894" s="1" t="str" cm="1">
        <f t="array" ref="F2894">_xlfn.LET(_xlpm.rowNum,MATCH(E2894,'glossaryterms-export'!C:C,0),
IF(AND(NOT(ISBLANK(INDEX('glossaryterms-export'!H:H,_xlpm.rowNum))),ISBLANK(INDEX('glossaryterms-export'!I:I,_xlpm.rowNum))),"Ready to Fix",""))</f>
        <v/>
      </c>
    </row>
    <row r="2895" spans="6:6">
      <c r="F2895" s="1" t="str" cm="1">
        <f t="array" ref="F2895">_xlfn.LET(_xlpm.rowNum,MATCH(E2895,'glossaryterms-export'!C:C,0),
IF(AND(NOT(ISBLANK(INDEX('glossaryterms-export'!H:H,_xlpm.rowNum))),ISBLANK(INDEX('glossaryterms-export'!I:I,_xlpm.rowNum))),"Ready to Fix",""))</f>
        <v/>
      </c>
    </row>
    <row r="2896" spans="6:6">
      <c r="F2896" s="1" t="str" cm="1">
        <f t="array" ref="F2896">_xlfn.LET(_xlpm.rowNum,MATCH(E2896,'glossaryterms-export'!C:C,0),
IF(AND(NOT(ISBLANK(INDEX('glossaryterms-export'!H:H,_xlpm.rowNum))),ISBLANK(INDEX('glossaryterms-export'!I:I,_xlpm.rowNum))),"Ready to Fix",""))</f>
        <v/>
      </c>
    </row>
    <row r="2897" spans="6:6">
      <c r="F2897" s="1" t="str" cm="1">
        <f t="array" ref="F2897">_xlfn.LET(_xlpm.rowNum,MATCH(E2897,'glossaryterms-export'!C:C,0),
IF(AND(NOT(ISBLANK(INDEX('glossaryterms-export'!H:H,_xlpm.rowNum))),ISBLANK(INDEX('glossaryterms-export'!I:I,_xlpm.rowNum))),"Ready to Fix",""))</f>
        <v/>
      </c>
    </row>
    <row r="2898" spans="6:6">
      <c r="F2898" s="1" t="str" cm="1">
        <f t="array" ref="F2898">_xlfn.LET(_xlpm.rowNum,MATCH(E2898,'glossaryterms-export'!C:C,0),
IF(AND(NOT(ISBLANK(INDEX('glossaryterms-export'!H:H,_xlpm.rowNum))),ISBLANK(INDEX('glossaryterms-export'!I:I,_xlpm.rowNum))),"Ready to Fix",""))</f>
        <v/>
      </c>
    </row>
    <row r="2899" spans="6:6">
      <c r="F2899" s="1" t="str" cm="1">
        <f t="array" ref="F2899">_xlfn.LET(_xlpm.rowNum,MATCH(E2899,'glossaryterms-export'!C:C,0),
IF(AND(NOT(ISBLANK(INDEX('glossaryterms-export'!H:H,_xlpm.rowNum))),ISBLANK(INDEX('glossaryterms-export'!I:I,_xlpm.rowNum))),"Ready to Fix",""))</f>
        <v/>
      </c>
    </row>
    <row r="2900" spans="6:6">
      <c r="F2900" s="1" t="str" cm="1">
        <f t="array" ref="F2900">_xlfn.LET(_xlpm.rowNum,MATCH(E2900,'glossaryterms-export'!C:C,0),
IF(AND(NOT(ISBLANK(INDEX('glossaryterms-export'!H:H,_xlpm.rowNum))),ISBLANK(INDEX('glossaryterms-export'!I:I,_xlpm.rowNum))),"Ready to Fix",""))</f>
        <v/>
      </c>
    </row>
    <row r="2901" spans="6:6">
      <c r="F2901" s="1" t="str" cm="1">
        <f t="array" ref="F2901">_xlfn.LET(_xlpm.rowNum,MATCH(E2901,'glossaryterms-export'!C:C,0),
IF(AND(NOT(ISBLANK(INDEX('glossaryterms-export'!H:H,_xlpm.rowNum))),ISBLANK(INDEX('glossaryterms-export'!I:I,_xlpm.rowNum))),"Ready to Fix",""))</f>
        <v/>
      </c>
    </row>
    <row r="2902" spans="6:6">
      <c r="F2902" s="1" t="str" cm="1">
        <f t="array" ref="F2902">_xlfn.LET(_xlpm.rowNum,MATCH(E2902,'glossaryterms-export'!C:C,0),
IF(AND(NOT(ISBLANK(INDEX('glossaryterms-export'!H:H,_xlpm.rowNum))),ISBLANK(INDEX('glossaryterms-export'!I:I,_xlpm.rowNum))),"Ready to Fix",""))</f>
        <v/>
      </c>
    </row>
    <row r="2903" spans="6:6">
      <c r="F2903" s="1" t="str" cm="1">
        <f t="array" ref="F2903">_xlfn.LET(_xlpm.rowNum,MATCH(E2903,'glossaryterms-export'!C:C,0),
IF(AND(NOT(ISBLANK(INDEX('glossaryterms-export'!H:H,_xlpm.rowNum))),ISBLANK(INDEX('glossaryterms-export'!I:I,_xlpm.rowNum))),"Ready to Fix",""))</f>
        <v/>
      </c>
    </row>
    <row r="2904" spans="6:6">
      <c r="F2904" s="1" t="str" cm="1">
        <f t="array" ref="F2904">_xlfn.LET(_xlpm.rowNum,MATCH(E2904,'glossaryterms-export'!C:C,0),
IF(AND(NOT(ISBLANK(INDEX('glossaryterms-export'!H:H,_xlpm.rowNum))),ISBLANK(INDEX('glossaryterms-export'!I:I,_xlpm.rowNum))),"Ready to Fix",""))</f>
        <v/>
      </c>
    </row>
    <row r="2905" spans="6:6">
      <c r="F2905" s="1" t="str" cm="1">
        <f t="array" ref="F2905">_xlfn.LET(_xlpm.rowNum,MATCH(E2905,'glossaryterms-export'!C:C,0),
IF(AND(NOT(ISBLANK(INDEX('glossaryterms-export'!H:H,_xlpm.rowNum))),ISBLANK(INDEX('glossaryterms-export'!I:I,_xlpm.rowNum))),"Ready to Fix",""))</f>
        <v/>
      </c>
    </row>
    <row r="2906" spans="6:6">
      <c r="F2906" s="1" t="str" cm="1">
        <f t="array" ref="F2906">_xlfn.LET(_xlpm.rowNum,MATCH(E2906,'glossaryterms-export'!C:C,0),
IF(AND(NOT(ISBLANK(INDEX('glossaryterms-export'!H:H,_xlpm.rowNum))),ISBLANK(INDEX('glossaryterms-export'!I:I,_xlpm.rowNum))),"Ready to Fix",""))</f>
        <v/>
      </c>
    </row>
    <row r="2907" spans="6:6">
      <c r="F2907" s="1" t="str" cm="1">
        <f t="array" ref="F2907">_xlfn.LET(_xlpm.rowNum,MATCH(E2907,'glossaryterms-export'!C:C,0),
IF(AND(NOT(ISBLANK(INDEX('glossaryterms-export'!H:H,_xlpm.rowNum))),ISBLANK(INDEX('glossaryterms-export'!I:I,_xlpm.rowNum))),"Ready to Fix",""))</f>
        <v/>
      </c>
    </row>
    <row r="2908" spans="6:6">
      <c r="F2908" s="1" t="str" cm="1">
        <f t="array" ref="F2908">_xlfn.LET(_xlpm.rowNum,MATCH(E2908,'glossaryterms-export'!C:C,0),
IF(AND(NOT(ISBLANK(INDEX('glossaryterms-export'!H:H,_xlpm.rowNum))),ISBLANK(INDEX('glossaryterms-export'!I:I,_xlpm.rowNum))),"Ready to Fix",""))</f>
        <v/>
      </c>
    </row>
    <row r="2909" spans="6:6">
      <c r="F2909" s="1" t="str" cm="1">
        <f t="array" ref="F2909">_xlfn.LET(_xlpm.rowNum,MATCH(E2909,'glossaryterms-export'!C:C,0),
IF(AND(NOT(ISBLANK(INDEX('glossaryterms-export'!H:H,_xlpm.rowNum))),ISBLANK(INDEX('glossaryterms-export'!I:I,_xlpm.rowNum))),"Ready to Fix",""))</f>
        <v/>
      </c>
    </row>
    <row r="2910" spans="6:6">
      <c r="F2910" s="1" t="str" cm="1">
        <f t="array" ref="F2910">_xlfn.LET(_xlpm.rowNum,MATCH(E2910,'glossaryterms-export'!C:C,0),
IF(AND(NOT(ISBLANK(INDEX('glossaryterms-export'!H:H,_xlpm.rowNum))),ISBLANK(INDEX('glossaryterms-export'!I:I,_xlpm.rowNum))),"Ready to Fix",""))</f>
        <v/>
      </c>
    </row>
    <row r="2911" spans="6:6">
      <c r="F2911" s="1" t="str" cm="1">
        <f t="array" ref="F2911">_xlfn.LET(_xlpm.rowNum,MATCH(E2911,'glossaryterms-export'!C:C,0),
IF(AND(NOT(ISBLANK(INDEX('glossaryterms-export'!H:H,_xlpm.rowNum))),ISBLANK(INDEX('glossaryterms-export'!I:I,_xlpm.rowNum))),"Ready to Fix",""))</f>
        <v/>
      </c>
    </row>
    <row r="2912" spans="6:6">
      <c r="F2912" s="1" t="str" cm="1">
        <f t="array" ref="F2912">_xlfn.LET(_xlpm.rowNum,MATCH(E2912,'glossaryterms-export'!C:C,0),
IF(AND(NOT(ISBLANK(INDEX('glossaryterms-export'!H:H,_xlpm.rowNum))),ISBLANK(INDEX('glossaryterms-export'!I:I,_xlpm.rowNum))),"Ready to Fix",""))</f>
        <v/>
      </c>
    </row>
    <row r="2913" spans="6:6">
      <c r="F2913" s="1" t="str" cm="1">
        <f t="array" ref="F2913">_xlfn.LET(_xlpm.rowNum,MATCH(E2913,'glossaryterms-export'!C:C,0),
IF(AND(NOT(ISBLANK(INDEX('glossaryterms-export'!H:H,_xlpm.rowNum))),ISBLANK(INDEX('glossaryterms-export'!I:I,_xlpm.rowNum))),"Ready to Fix",""))</f>
        <v/>
      </c>
    </row>
    <row r="2914" spans="6:6">
      <c r="F2914" s="1" t="str" cm="1">
        <f t="array" ref="F2914">_xlfn.LET(_xlpm.rowNum,MATCH(E2914,'glossaryterms-export'!C:C,0),
IF(AND(NOT(ISBLANK(INDEX('glossaryterms-export'!H:H,_xlpm.rowNum))),ISBLANK(INDEX('glossaryterms-export'!I:I,_xlpm.rowNum))),"Ready to Fix",""))</f>
        <v/>
      </c>
    </row>
    <row r="2915" spans="6:6">
      <c r="F2915" s="1" t="str" cm="1">
        <f t="array" ref="F2915">_xlfn.LET(_xlpm.rowNum,MATCH(E2915,'glossaryterms-export'!C:C,0),
IF(AND(NOT(ISBLANK(INDEX('glossaryterms-export'!H:H,_xlpm.rowNum))),ISBLANK(INDEX('glossaryterms-export'!I:I,_xlpm.rowNum))),"Ready to Fix",""))</f>
        <v/>
      </c>
    </row>
    <row r="2916" spans="6:6">
      <c r="F2916" s="1" t="str" cm="1">
        <f t="array" ref="F2916">_xlfn.LET(_xlpm.rowNum,MATCH(E2916,'glossaryterms-export'!C:C,0),
IF(AND(NOT(ISBLANK(INDEX('glossaryterms-export'!H:H,_xlpm.rowNum))),ISBLANK(INDEX('glossaryterms-export'!I:I,_xlpm.rowNum))),"Ready to Fix",""))</f>
        <v/>
      </c>
    </row>
    <row r="2917" spans="6:6">
      <c r="F2917" s="1" t="str" cm="1">
        <f t="array" ref="F2917">_xlfn.LET(_xlpm.rowNum,MATCH(E2917,'glossaryterms-export'!C:C,0),
IF(AND(NOT(ISBLANK(INDEX('glossaryterms-export'!H:H,_xlpm.rowNum))),ISBLANK(INDEX('glossaryterms-export'!I:I,_xlpm.rowNum))),"Ready to Fix",""))</f>
        <v/>
      </c>
    </row>
    <row r="2918" spans="6:6">
      <c r="F2918" s="1" t="str" cm="1">
        <f t="array" ref="F2918">_xlfn.LET(_xlpm.rowNum,MATCH(E2918,'glossaryterms-export'!C:C,0),
IF(AND(NOT(ISBLANK(INDEX('glossaryterms-export'!H:H,_xlpm.rowNum))),ISBLANK(INDEX('glossaryterms-export'!I:I,_xlpm.rowNum))),"Ready to Fix",""))</f>
        <v/>
      </c>
    </row>
    <row r="2919" spans="6:6">
      <c r="F2919" s="1" t="str" cm="1">
        <f t="array" ref="F2919">_xlfn.LET(_xlpm.rowNum,MATCH(E2919,'glossaryterms-export'!C:C,0),
IF(AND(NOT(ISBLANK(INDEX('glossaryterms-export'!H:H,_xlpm.rowNum))),ISBLANK(INDEX('glossaryterms-export'!I:I,_xlpm.rowNum))),"Ready to Fix",""))</f>
        <v/>
      </c>
    </row>
    <row r="2920" spans="6:6">
      <c r="F2920" s="1" t="str" cm="1">
        <f t="array" ref="F2920">_xlfn.LET(_xlpm.rowNum,MATCH(E2920,'glossaryterms-export'!C:C,0),
IF(AND(NOT(ISBLANK(INDEX('glossaryterms-export'!H:H,_xlpm.rowNum))),ISBLANK(INDEX('glossaryterms-export'!I:I,_xlpm.rowNum))),"Ready to Fix",""))</f>
        <v/>
      </c>
    </row>
    <row r="2921" spans="6:6">
      <c r="F2921" s="1" t="str" cm="1">
        <f t="array" ref="F2921">_xlfn.LET(_xlpm.rowNum,MATCH(E2921,'glossaryterms-export'!C:C,0),
IF(AND(NOT(ISBLANK(INDEX('glossaryterms-export'!H:H,_xlpm.rowNum))),ISBLANK(INDEX('glossaryterms-export'!I:I,_xlpm.rowNum))),"Ready to Fix",""))</f>
        <v/>
      </c>
    </row>
    <row r="2922" spans="6:6">
      <c r="F2922" s="1" t="str" cm="1">
        <f t="array" ref="F2922">_xlfn.LET(_xlpm.rowNum,MATCH(E2922,'glossaryterms-export'!C:C,0),
IF(AND(NOT(ISBLANK(INDEX('glossaryterms-export'!H:H,_xlpm.rowNum))),ISBLANK(INDEX('glossaryterms-export'!I:I,_xlpm.rowNum))),"Ready to Fix",""))</f>
        <v/>
      </c>
    </row>
    <row r="2923" spans="6:6">
      <c r="F2923" s="1" t="str" cm="1">
        <f t="array" ref="F2923">_xlfn.LET(_xlpm.rowNum,MATCH(E2923,'glossaryterms-export'!C:C,0),
IF(AND(NOT(ISBLANK(INDEX('glossaryterms-export'!H:H,_xlpm.rowNum))),ISBLANK(INDEX('glossaryterms-export'!I:I,_xlpm.rowNum))),"Ready to Fix",""))</f>
        <v/>
      </c>
    </row>
    <row r="2924" spans="6:6">
      <c r="F2924" s="1" t="str" cm="1">
        <f t="array" ref="F2924">_xlfn.LET(_xlpm.rowNum,MATCH(E2924,'glossaryterms-export'!C:C,0),
IF(AND(NOT(ISBLANK(INDEX('glossaryterms-export'!H:H,_xlpm.rowNum))),ISBLANK(INDEX('glossaryterms-export'!I:I,_xlpm.rowNum))),"Ready to Fix",""))</f>
        <v/>
      </c>
    </row>
    <row r="2925" spans="6:6">
      <c r="F2925" s="1" t="str" cm="1">
        <f t="array" ref="F2925">_xlfn.LET(_xlpm.rowNum,MATCH(E2925,'glossaryterms-export'!C:C,0),
IF(AND(NOT(ISBLANK(INDEX('glossaryterms-export'!H:H,_xlpm.rowNum))),ISBLANK(INDEX('glossaryterms-export'!I:I,_xlpm.rowNum))),"Ready to Fix",""))</f>
        <v/>
      </c>
    </row>
    <row r="2926" spans="6:6">
      <c r="F2926" s="1" t="str" cm="1">
        <f t="array" ref="F2926">_xlfn.LET(_xlpm.rowNum,MATCH(E2926,'glossaryterms-export'!C:C,0),
IF(AND(NOT(ISBLANK(INDEX('glossaryterms-export'!H:H,_xlpm.rowNum))),ISBLANK(INDEX('glossaryterms-export'!I:I,_xlpm.rowNum))),"Ready to Fix",""))</f>
        <v/>
      </c>
    </row>
    <row r="2927" spans="6:6">
      <c r="F2927" s="1" t="str" cm="1">
        <f t="array" ref="F2927">_xlfn.LET(_xlpm.rowNum,MATCH(E2927,'glossaryterms-export'!C:C,0),
IF(AND(NOT(ISBLANK(INDEX('glossaryterms-export'!H:H,_xlpm.rowNum))),ISBLANK(INDEX('glossaryterms-export'!I:I,_xlpm.rowNum))),"Ready to Fix",""))</f>
        <v/>
      </c>
    </row>
    <row r="2928" spans="6:6">
      <c r="F2928" s="1" t="str" cm="1">
        <f t="array" ref="F2928">_xlfn.LET(_xlpm.rowNum,MATCH(E2928,'glossaryterms-export'!C:C,0),
IF(AND(NOT(ISBLANK(INDEX('glossaryterms-export'!H:H,_xlpm.rowNum))),ISBLANK(INDEX('glossaryterms-export'!I:I,_xlpm.rowNum))),"Ready to Fix",""))</f>
        <v/>
      </c>
    </row>
    <row r="2929" spans="6:6">
      <c r="F2929" s="1" t="str" cm="1">
        <f t="array" ref="F2929">_xlfn.LET(_xlpm.rowNum,MATCH(E2929,'glossaryterms-export'!C:C,0),
IF(AND(NOT(ISBLANK(INDEX('glossaryterms-export'!H:H,_xlpm.rowNum))),ISBLANK(INDEX('glossaryterms-export'!I:I,_xlpm.rowNum))),"Ready to Fix",""))</f>
        <v/>
      </c>
    </row>
    <row r="2930" spans="6:6">
      <c r="F2930" s="1" t="str" cm="1">
        <f t="array" ref="F2930">_xlfn.LET(_xlpm.rowNum,MATCH(E2930,'glossaryterms-export'!C:C,0),
IF(AND(NOT(ISBLANK(INDEX('glossaryterms-export'!H:H,_xlpm.rowNum))),ISBLANK(INDEX('glossaryterms-export'!I:I,_xlpm.rowNum))),"Ready to Fix",""))</f>
        <v/>
      </c>
    </row>
    <row r="2931" spans="6:6">
      <c r="F2931" s="1" t="str" cm="1">
        <f t="array" ref="F2931">_xlfn.LET(_xlpm.rowNum,MATCH(E2931,'glossaryterms-export'!C:C,0),
IF(AND(NOT(ISBLANK(INDEX('glossaryterms-export'!H:H,_xlpm.rowNum))),ISBLANK(INDEX('glossaryterms-export'!I:I,_xlpm.rowNum))),"Ready to Fix",""))</f>
        <v/>
      </c>
    </row>
    <row r="2932" spans="6:6">
      <c r="F2932" s="1" t="str" cm="1">
        <f t="array" ref="F2932">_xlfn.LET(_xlpm.rowNum,MATCH(E2932,'glossaryterms-export'!C:C,0),
IF(AND(NOT(ISBLANK(INDEX('glossaryterms-export'!H:H,_xlpm.rowNum))),ISBLANK(INDEX('glossaryterms-export'!I:I,_xlpm.rowNum))),"Ready to Fix",""))</f>
        <v/>
      </c>
    </row>
    <row r="2933" spans="6:6">
      <c r="F2933" s="1" t="str" cm="1">
        <f t="array" ref="F2933">_xlfn.LET(_xlpm.rowNum,MATCH(E2933,'glossaryterms-export'!C:C,0),
IF(AND(NOT(ISBLANK(INDEX('glossaryterms-export'!H:H,_xlpm.rowNum))),ISBLANK(INDEX('glossaryterms-export'!I:I,_xlpm.rowNum))),"Ready to Fix",""))</f>
        <v/>
      </c>
    </row>
    <row r="2934" spans="6:6">
      <c r="F2934" s="1" t="str" cm="1">
        <f t="array" ref="F2934">_xlfn.LET(_xlpm.rowNum,MATCH(E2934,'glossaryterms-export'!C:C,0),
IF(AND(NOT(ISBLANK(INDEX('glossaryterms-export'!H:H,_xlpm.rowNum))),ISBLANK(INDEX('glossaryterms-export'!I:I,_xlpm.rowNum))),"Ready to Fix",""))</f>
        <v/>
      </c>
    </row>
    <row r="2935" spans="6:6">
      <c r="F2935" s="1" t="str" cm="1">
        <f t="array" ref="F2935">_xlfn.LET(_xlpm.rowNum,MATCH(E2935,'glossaryterms-export'!C:C,0),
IF(AND(NOT(ISBLANK(INDEX('glossaryterms-export'!H:H,_xlpm.rowNum))),ISBLANK(INDEX('glossaryterms-export'!I:I,_xlpm.rowNum))),"Ready to Fix",""))</f>
        <v/>
      </c>
    </row>
    <row r="2936" spans="6:6">
      <c r="F2936" s="1" t="str" cm="1">
        <f t="array" ref="F2936">_xlfn.LET(_xlpm.rowNum,MATCH(E2936,'glossaryterms-export'!C:C,0),
IF(AND(NOT(ISBLANK(INDEX('glossaryterms-export'!H:H,_xlpm.rowNum))),ISBLANK(INDEX('glossaryterms-export'!I:I,_xlpm.rowNum))),"Ready to Fix",""))</f>
        <v/>
      </c>
    </row>
    <row r="2937" spans="6:6">
      <c r="F2937" s="1" t="str" cm="1">
        <f t="array" ref="F2937">_xlfn.LET(_xlpm.rowNum,MATCH(E2937,'glossaryterms-export'!C:C,0),
IF(AND(NOT(ISBLANK(INDEX('glossaryterms-export'!H:H,_xlpm.rowNum))),ISBLANK(INDEX('glossaryterms-export'!I:I,_xlpm.rowNum))),"Ready to Fix",""))</f>
        <v/>
      </c>
    </row>
    <row r="2938" spans="6:6">
      <c r="F2938" s="1" t="str" cm="1">
        <f t="array" ref="F2938">_xlfn.LET(_xlpm.rowNum,MATCH(E2938,'glossaryterms-export'!C:C,0),
IF(AND(NOT(ISBLANK(INDEX('glossaryterms-export'!H:H,_xlpm.rowNum))),ISBLANK(INDEX('glossaryterms-export'!I:I,_xlpm.rowNum))),"Ready to Fix",""))</f>
        <v/>
      </c>
    </row>
    <row r="2939" spans="6:6">
      <c r="F2939" s="1" t="str" cm="1">
        <f t="array" ref="F2939">_xlfn.LET(_xlpm.rowNum,MATCH(E2939,'glossaryterms-export'!C:C,0),
IF(AND(NOT(ISBLANK(INDEX('glossaryterms-export'!H:H,_xlpm.rowNum))),ISBLANK(INDEX('glossaryterms-export'!I:I,_xlpm.rowNum))),"Ready to Fix",""))</f>
        <v/>
      </c>
    </row>
    <row r="2940" spans="6:6">
      <c r="F2940" s="1" t="str" cm="1">
        <f t="array" ref="F2940">_xlfn.LET(_xlpm.rowNum,MATCH(E2940,'glossaryterms-export'!C:C,0),
IF(AND(NOT(ISBLANK(INDEX('glossaryterms-export'!H:H,_xlpm.rowNum))),ISBLANK(INDEX('glossaryterms-export'!I:I,_xlpm.rowNum))),"Ready to Fix",""))</f>
        <v/>
      </c>
    </row>
    <row r="2941" spans="6:6">
      <c r="F2941" s="1" t="str" cm="1">
        <f t="array" ref="F2941">_xlfn.LET(_xlpm.rowNum,MATCH(E2941,'glossaryterms-export'!C:C,0),
IF(AND(NOT(ISBLANK(INDEX('glossaryterms-export'!H:H,_xlpm.rowNum))),ISBLANK(INDEX('glossaryterms-export'!I:I,_xlpm.rowNum))),"Ready to Fix",""))</f>
        <v/>
      </c>
    </row>
    <row r="2942" spans="6:6">
      <c r="F2942" s="1" t="str" cm="1">
        <f t="array" ref="F2942">_xlfn.LET(_xlpm.rowNum,MATCH(E2942,'glossaryterms-export'!C:C,0),
IF(AND(NOT(ISBLANK(INDEX('glossaryterms-export'!H:H,_xlpm.rowNum))),ISBLANK(INDEX('glossaryterms-export'!I:I,_xlpm.rowNum))),"Ready to Fix",""))</f>
        <v/>
      </c>
    </row>
    <row r="2943" spans="6:6">
      <c r="F2943" s="1" t="str" cm="1">
        <f t="array" ref="F2943">_xlfn.LET(_xlpm.rowNum,MATCH(E2943,'glossaryterms-export'!C:C,0),
IF(AND(NOT(ISBLANK(INDEX('glossaryterms-export'!H:H,_xlpm.rowNum))),ISBLANK(INDEX('glossaryterms-export'!I:I,_xlpm.rowNum))),"Ready to Fix",""))</f>
        <v/>
      </c>
    </row>
    <row r="2944" spans="6:6">
      <c r="F2944" s="1" t="str" cm="1">
        <f t="array" ref="F2944">_xlfn.LET(_xlpm.rowNum,MATCH(E2944,'glossaryterms-export'!C:C,0),
IF(AND(NOT(ISBLANK(INDEX('glossaryterms-export'!H:H,_xlpm.rowNum))),ISBLANK(INDEX('glossaryterms-export'!I:I,_xlpm.rowNum))),"Ready to Fix",""))</f>
        <v/>
      </c>
    </row>
    <row r="2945" spans="6:6">
      <c r="F2945" s="1" t="str" cm="1">
        <f t="array" ref="F2945">_xlfn.LET(_xlpm.rowNum,MATCH(E2945,'glossaryterms-export'!C:C,0),
IF(AND(NOT(ISBLANK(INDEX('glossaryterms-export'!H:H,_xlpm.rowNum))),ISBLANK(INDEX('glossaryterms-export'!I:I,_xlpm.rowNum))),"Ready to Fix",""))</f>
        <v/>
      </c>
    </row>
    <row r="2946" spans="6:6">
      <c r="F2946" s="1" t="str" cm="1">
        <f t="array" ref="F2946">_xlfn.LET(_xlpm.rowNum,MATCH(E2946,'glossaryterms-export'!C:C,0),
IF(AND(NOT(ISBLANK(INDEX('glossaryterms-export'!H:H,_xlpm.rowNum))),ISBLANK(INDEX('glossaryterms-export'!I:I,_xlpm.rowNum))),"Ready to Fix",""))</f>
        <v/>
      </c>
    </row>
    <row r="2947" spans="6:6">
      <c r="F2947" s="1" t="str" cm="1">
        <f t="array" ref="F2947">_xlfn.LET(_xlpm.rowNum,MATCH(E2947,'glossaryterms-export'!C:C,0),
IF(AND(NOT(ISBLANK(INDEX('glossaryterms-export'!H:H,_xlpm.rowNum))),ISBLANK(INDEX('glossaryterms-export'!I:I,_xlpm.rowNum))),"Ready to Fix",""))</f>
        <v/>
      </c>
    </row>
    <row r="2948" spans="6:6">
      <c r="F2948" s="1" t="str" cm="1">
        <f t="array" ref="F2948">_xlfn.LET(_xlpm.rowNum,MATCH(E2948,'glossaryterms-export'!C:C,0),
IF(AND(NOT(ISBLANK(INDEX('glossaryterms-export'!H:H,_xlpm.rowNum))),ISBLANK(INDEX('glossaryterms-export'!I:I,_xlpm.rowNum))),"Ready to Fix",""))</f>
        <v/>
      </c>
    </row>
    <row r="2949" spans="6:6">
      <c r="F2949" s="1" t="str" cm="1">
        <f t="array" ref="F2949">_xlfn.LET(_xlpm.rowNum,MATCH(E2949,'glossaryterms-export'!C:C,0),
IF(AND(NOT(ISBLANK(INDEX('glossaryterms-export'!H:H,_xlpm.rowNum))),ISBLANK(INDEX('glossaryterms-export'!I:I,_xlpm.rowNum))),"Ready to Fix",""))</f>
        <v/>
      </c>
    </row>
    <row r="2950" spans="6:6">
      <c r="F2950" s="1" t="str" cm="1">
        <f t="array" ref="F2950">_xlfn.LET(_xlpm.rowNum,MATCH(E2950,'glossaryterms-export'!C:C,0),
IF(AND(NOT(ISBLANK(INDEX('glossaryterms-export'!H:H,_xlpm.rowNum))),ISBLANK(INDEX('glossaryterms-export'!I:I,_xlpm.rowNum))),"Ready to Fix",""))</f>
        <v/>
      </c>
    </row>
    <row r="2951" spans="6:6">
      <c r="F2951" s="1" t="str" cm="1">
        <f t="array" ref="F2951">_xlfn.LET(_xlpm.rowNum,MATCH(E2951,'glossaryterms-export'!C:C,0),
IF(AND(NOT(ISBLANK(INDEX('glossaryterms-export'!H:H,_xlpm.rowNum))),ISBLANK(INDEX('glossaryterms-export'!I:I,_xlpm.rowNum))),"Ready to Fix",""))</f>
        <v/>
      </c>
    </row>
    <row r="2952" spans="6:6">
      <c r="F2952" s="1" t="str" cm="1">
        <f t="array" ref="F2952">_xlfn.LET(_xlpm.rowNum,MATCH(E2952,'glossaryterms-export'!C:C,0),
IF(AND(NOT(ISBLANK(INDEX('glossaryterms-export'!H:H,_xlpm.rowNum))),ISBLANK(INDEX('glossaryterms-export'!I:I,_xlpm.rowNum))),"Ready to Fix",""))</f>
        <v/>
      </c>
    </row>
    <row r="2953" spans="6:6">
      <c r="F2953" s="1" t="str" cm="1">
        <f t="array" ref="F2953">_xlfn.LET(_xlpm.rowNum,MATCH(E2953,'glossaryterms-export'!C:C,0),
IF(AND(NOT(ISBLANK(INDEX('glossaryterms-export'!H:H,_xlpm.rowNum))),ISBLANK(INDEX('glossaryterms-export'!I:I,_xlpm.rowNum))),"Ready to Fix",""))</f>
        <v/>
      </c>
    </row>
    <row r="2954" spans="6:6">
      <c r="F2954" s="1" t="str" cm="1">
        <f t="array" ref="F2954">_xlfn.LET(_xlpm.rowNum,MATCH(E2954,'glossaryterms-export'!C:C,0),
IF(AND(NOT(ISBLANK(INDEX('glossaryterms-export'!H:H,_xlpm.rowNum))),ISBLANK(INDEX('glossaryterms-export'!I:I,_xlpm.rowNum))),"Ready to Fix",""))</f>
        <v/>
      </c>
    </row>
    <row r="2955" spans="6:6">
      <c r="F2955" s="1" t="str" cm="1">
        <f t="array" ref="F2955">_xlfn.LET(_xlpm.rowNum,MATCH(E2955,'glossaryterms-export'!C:C,0),
IF(AND(NOT(ISBLANK(INDEX('glossaryterms-export'!H:H,_xlpm.rowNum))),ISBLANK(INDEX('glossaryterms-export'!I:I,_xlpm.rowNum))),"Ready to Fix",""))</f>
        <v/>
      </c>
    </row>
    <row r="2956" spans="6:6">
      <c r="F2956" s="1" t="str" cm="1">
        <f t="array" ref="F2956">_xlfn.LET(_xlpm.rowNum,MATCH(E2956,'glossaryterms-export'!C:C,0),
IF(AND(NOT(ISBLANK(INDEX('glossaryterms-export'!H:H,_xlpm.rowNum))),ISBLANK(INDEX('glossaryterms-export'!I:I,_xlpm.rowNum))),"Ready to Fix",""))</f>
        <v/>
      </c>
    </row>
    <row r="2957" spans="6:6">
      <c r="F2957" s="1" t="str" cm="1">
        <f t="array" ref="F2957">_xlfn.LET(_xlpm.rowNum,MATCH(E2957,'glossaryterms-export'!C:C,0),
IF(AND(NOT(ISBLANK(INDEX('glossaryterms-export'!H:H,_xlpm.rowNum))),ISBLANK(INDEX('glossaryterms-export'!I:I,_xlpm.rowNum))),"Ready to Fix",""))</f>
        <v/>
      </c>
    </row>
    <row r="2958" spans="6:6">
      <c r="F2958" s="1" t="str" cm="1">
        <f t="array" ref="F2958">_xlfn.LET(_xlpm.rowNum,MATCH(E2958,'glossaryterms-export'!C:C,0),
IF(AND(NOT(ISBLANK(INDEX('glossaryterms-export'!H:H,_xlpm.rowNum))),ISBLANK(INDEX('glossaryterms-export'!I:I,_xlpm.rowNum))),"Ready to Fix",""))</f>
        <v/>
      </c>
    </row>
    <row r="2959" spans="6:6">
      <c r="F2959" s="1" t="str" cm="1">
        <f t="array" ref="F2959">_xlfn.LET(_xlpm.rowNum,MATCH(E2959,'glossaryterms-export'!C:C,0),
IF(AND(NOT(ISBLANK(INDEX('glossaryterms-export'!H:H,_xlpm.rowNum))),ISBLANK(INDEX('glossaryterms-export'!I:I,_xlpm.rowNum))),"Ready to Fix",""))</f>
        <v/>
      </c>
    </row>
    <row r="2960" spans="6:6">
      <c r="F2960" s="1" t="str" cm="1">
        <f t="array" ref="F2960">_xlfn.LET(_xlpm.rowNum,MATCH(E2960,'glossaryterms-export'!C:C,0),
IF(AND(NOT(ISBLANK(INDEX('glossaryterms-export'!H:H,_xlpm.rowNum))),ISBLANK(INDEX('glossaryterms-export'!I:I,_xlpm.rowNum))),"Ready to Fix",""))</f>
        <v/>
      </c>
    </row>
    <row r="2961" spans="6:6">
      <c r="F2961" s="1" t="str" cm="1">
        <f t="array" ref="F2961">_xlfn.LET(_xlpm.rowNum,MATCH(E2961,'glossaryterms-export'!C:C,0),
IF(AND(NOT(ISBLANK(INDEX('glossaryterms-export'!H:H,_xlpm.rowNum))),ISBLANK(INDEX('glossaryterms-export'!I:I,_xlpm.rowNum))),"Ready to Fix",""))</f>
        <v/>
      </c>
    </row>
    <row r="2962" spans="6:6">
      <c r="F2962" s="1" t="str" cm="1">
        <f t="array" ref="F2962">_xlfn.LET(_xlpm.rowNum,MATCH(E2962,'glossaryterms-export'!C:C,0),
IF(AND(NOT(ISBLANK(INDEX('glossaryterms-export'!H:H,_xlpm.rowNum))),ISBLANK(INDEX('glossaryterms-export'!I:I,_xlpm.rowNum))),"Ready to Fix",""))</f>
        <v/>
      </c>
    </row>
    <row r="2963" spans="6:6">
      <c r="F2963" s="1" t="str" cm="1">
        <f t="array" ref="F2963">_xlfn.LET(_xlpm.rowNum,MATCH(E2963,'glossaryterms-export'!C:C,0),
IF(AND(NOT(ISBLANK(INDEX('glossaryterms-export'!H:H,_xlpm.rowNum))),ISBLANK(INDEX('glossaryterms-export'!I:I,_xlpm.rowNum))),"Ready to Fix",""))</f>
        <v/>
      </c>
    </row>
    <row r="2964" spans="6:6">
      <c r="F2964" s="1" t="str" cm="1">
        <f t="array" ref="F2964">_xlfn.LET(_xlpm.rowNum,MATCH(E2964,'glossaryterms-export'!C:C,0),
IF(AND(NOT(ISBLANK(INDEX('glossaryterms-export'!H:H,_xlpm.rowNum))),ISBLANK(INDEX('glossaryterms-export'!I:I,_xlpm.rowNum))),"Ready to Fix",""))</f>
        <v/>
      </c>
    </row>
    <row r="2965" spans="6:6">
      <c r="F2965" s="1" t="str" cm="1">
        <f t="array" ref="F2965">_xlfn.LET(_xlpm.rowNum,MATCH(E2965,'glossaryterms-export'!C:C,0),
IF(AND(NOT(ISBLANK(INDEX('glossaryterms-export'!H:H,_xlpm.rowNum))),ISBLANK(INDEX('glossaryterms-export'!I:I,_xlpm.rowNum))),"Ready to Fix",""))</f>
        <v/>
      </c>
    </row>
    <row r="2966" spans="6:6">
      <c r="F2966" s="1" t="str" cm="1">
        <f t="array" ref="F2966">_xlfn.LET(_xlpm.rowNum,MATCH(E2966,'glossaryterms-export'!C:C,0),
IF(AND(NOT(ISBLANK(INDEX('glossaryterms-export'!H:H,_xlpm.rowNum))),ISBLANK(INDEX('glossaryterms-export'!I:I,_xlpm.rowNum))),"Ready to Fix",""))</f>
        <v/>
      </c>
    </row>
    <row r="2967" spans="6:6">
      <c r="F2967" s="1" t="str" cm="1">
        <f t="array" ref="F2967">_xlfn.LET(_xlpm.rowNum,MATCH(E2967,'glossaryterms-export'!C:C,0),
IF(AND(NOT(ISBLANK(INDEX('glossaryterms-export'!H:H,_xlpm.rowNum))),ISBLANK(INDEX('glossaryterms-export'!I:I,_xlpm.rowNum))),"Ready to Fix",""))</f>
        <v/>
      </c>
    </row>
    <row r="2968" spans="6:6">
      <c r="F2968" s="1" t="str" cm="1">
        <f t="array" ref="F2968">_xlfn.LET(_xlpm.rowNum,MATCH(E2968,'glossaryterms-export'!C:C,0),
IF(AND(NOT(ISBLANK(INDEX('glossaryterms-export'!H:H,_xlpm.rowNum))),ISBLANK(INDEX('glossaryterms-export'!I:I,_xlpm.rowNum))),"Ready to Fix",""))</f>
        <v/>
      </c>
    </row>
    <row r="2969" spans="6:6">
      <c r="F2969" s="1" t="str" cm="1">
        <f t="array" ref="F2969">_xlfn.LET(_xlpm.rowNum,MATCH(E2969,'glossaryterms-export'!C:C,0),
IF(AND(NOT(ISBLANK(INDEX('glossaryterms-export'!H:H,_xlpm.rowNum))),ISBLANK(INDEX('glossaryterms-export'!I:I,_xlpm.rowNum))),"Ready to Fix",""))</f>
        <v/>
      </c>
    </row>
    <row r="2970" spans="6:6">
      <c r="F2970" s="1" t="str" cm="1">
        <f t="array" ref="F2970">_xlfn.LET(_xlpm.rowNum,MATCH(E2970,'glossaryterms-export'!C:C,0),
IF(AND(NOT(ISBLANK(INDEX('glossaryterms-export'!H:H,_xlpm.rowNum))),ISBLANK(INDEX('glossaryterms-export'!I:I,_xlpm.rowNum))),"Ready to Fix",""))</f>
        <v/>
      </c>
    </row>
    <row r="2971" spans="6:6">
      <c r="F2971" s="1" t="str" cm="1">
        <f t="array" ref="F2971">_xlfn.LET(_xlpm.rowNum,MATCH(E2971,'glossaryterms-export'!C:C,0),
IF(AND(NOT(ISBLANK(INDEX('glossaryterms-export'!H:H,_xlpm.rowNum))),ISBLANK(INDEX('glossaryterms-export'!I:I,_xlpm.rowNum))),"Ready to Fix",""))</f>
        <v/>
      </c>
    </row>
    <row r="2972" spans="6:6">
      <c r="F2972" s="1" t="str" cm="1">
        <f t="array" ref="F2972">_xlfn.LET(_xlpm.rowNum,MATCH(E2972,'glossaryterms-export'!C:C,0),
IF(AND(NOT(ISBLANK(INDEX('glossaryterms-export'!H:H,_xlpm.rowNum))),ISBLANK(INDEX('glossaryterms-export'!I:I,_xlpm.rowNum))),"Ready to Fix",""))</f>
        <v/>
      </c>
    </row>
    <row r="2973" spans="6:6">
      <c r="F2973" s="1" t="str" cm="1">
        <f t="array" ref="F2973">_xlfn.LET(_xlpm.rowNum,MATCH(E2973,'glossaryterms-export'!C:C,0),
IF(AND(NOT(ISBLANK(INDEX('glossaryterms-export'!H:H,_xlpm.rowNum))),ISBLANK(INDEX('glossaryterms-export'!I:I,_xlpm.rowNum))),"Ready to Fix",""))</f>
        <v/>
      </c>
    </row>
    <row r="2974" spans="6:6">
      <c r="F2974" s="1" t="str" cm="1">
        <f t="array" ref="F2974">_xlfn.LET(_xlpm.rowNum,MATCH(E2974,'glossaryterms-export'!C:C,0),
IF(AND(NOT(ISBLANK(INDEX('glossaryterms-export'!H:H,_xlpm.rowNum))),ISBLANK(INDEX('glossaryterms-export'!I:I,_xlpm.rowNum))),"Ready to Fix",""))</f>
        <v/>
      </c>
    </row>
    <row r="2975" spans="6:6">
      <c r="F2975" s="1" t="str" cm="1">
        <f t="array" ref="F2975">_xlfn.LET(_xlpm.rowNum,MATCH(E2975,'glossaryterms-export'!C:C,0),
IF(AND(NOT(ISBLANK(INDEX('glossaryterms-export'!H:H,_xlpm.rowNum))),ISBLANK(INDEX('glossaryterms-export'!I:I,_xlpm.rowNum))),"Ready to Fix",""))</f>
        <v/>
      </c>
    </row>
    <row r="2976" spans="6:6">
      <c r="F2976" s="1" t="str" cm="1">
        <f t="array" ref="F2976">_xlfn.LET(_xlpm.rowNum,MATCH(E2976,'glossaryterms-export'!C:C,0),
IF(AND(NOT(ISBLANK(INDEX('glossaryterms-export'!H:H,_xlpm.rowNum))),ISBLANK(INDEX('glossaryterms-export'!I:I,_xlpm.rowNum))),"Ready to Fix",""))</f>
        <v/>
      </c>
    </row>
    <row r="2977" spans="6:6">
      <c r="F2977" s="1" t="str" cm="1">
        <f t="array" ref="F2977">_xlfn.LET(_xlpm.rowNum,MATCH(E2977,'glossaryterms-export'!C:C,0),
IF(AND(NOT(ISBLANK(INDEX('glossaryterms-export'!H:H,_xlpm.rowNum))),ISBLANK(INDEX('glossaryterms-export'!I:I,_xlpm.rowNum))),"Ready to Fix",""))</f>
        <v/>
      </c>
    </row>
    <row r="2978" spans="6:6">
      <c r="F2978" s="1" t="str" cm="1">
        <f t="array" ref="F2978">_xlfn.LET(_xlpm.rowNum,MATCH(E2978,'glossaryterms-export'!C:C,0),
IF(AND(NOT(ISBLANK(INDEX('glossaryterms-export'!H:H,_xlpm.rowNum))),ISBLANK(INDEX('glossaryterms-export'!I:I,_xlpm.rowNum))),"Ready to Fix",""))</f>
        <v/>
      </c>
    </row>
    <row r="2979" spans="6:6">
      <c r="F2979" s="1" t="str" cm="1">
        <f t="array" ref="F2979">_xlfn.LET(_xlpm.rowNum,MATCH(E2979,'glossaryterms-export'!C:C,0),
IF(AND(NOT(ISBLANK(INDEX('glossaryterms-export'!H:H,_xlpm.rowNum))),ISBLANK(INDEX('glossaryterms-export'!I:I,_xlpm.rowNum))),"Ready to Fix",""))</f>
        <v/>
      </c>
    </row>
    <row r="2980" spans="6:6">
      <c r="F2980" s="1" t="str" cm="1">
        <f t="array" ref="F2980">_xlfn.LET(_xlpm.rowNum,MATCH(E2980,'glossaryterms-export'!C:C,0),
IF(AND(NOT(ISBLANK(INDEX('glossaryterms-export'!H:H,_xlpm.rowNum))),ISBLANK(INDEX('glossaryterms-export'!I:I,_xlpm.rowNum))),"Ready to Fix",""))</f>
        <v/>
      </c>
    </row>
    <row r="2981" spans="6:6">
      <c r="F2981" s="1" t="str" cm="1">
        <f t="array" ref="F2981">_xlfn.LET(_xlpm.rowNum,MATCH(E2981,'glossaryterms-export'!C:C,0),
IF(AND(NOT(ISBLANK(INDEX('glossaryterms-export'!H:H,_xlpm.rowNum))),ISBLANK(INDEX('glossaryterms-export'!I:I,_xlpm.rowNum))),"Ready to Fix",""))</f>
        <v/>
      </c>
    </row>
    <row r="2982" spans="6:6">
      <c r="F2982" s="1" t="str" cm="1">
        <f t="array" ref="F2982">_xlfn.LET(_xlpm.rowNum,MATCH(E2982,'glossaryterms-export'!C:C,0),
IF(AND(NOT(ISBLANK(INDEX('glossaryterms-export'!H:H,_xlpm.rowNum))),ISBLANK(INDEX('glossaryterms-export'!I:I,_xlpm.rowNum))),"Ready to Fix",""))</f>
        <v/>
      </c>
    </row>
    <row r="2983" spans="6:6">
      <c r="F2983" s="1" t="str" cm="1">
        <f t="array" ref="F2983">_xlfn.LET(_xlpm.rowNum,MATCH(E2983,'glossaryterms-export'!C:C,0),
IF(AND(NOT(ISBLANK(INDEX('glossaryterms-export'!H:H,_xlpm.rowNum))),ISBLANK(INDEX('glossaryterms-export'!I:I,_xlpm.rowNum))),"Ready to Fix",""))</f>
        <v/>
      </c>
    </row>
    <row r="2984" spans="6:6">
      <c r="F2984" s="1" t="str" cm="1">
        <f t="array" ref="F2984">_xlfn.LET(_xlpm.rowNum,MATCH(E2984,'glossaryterms-export'!C:C,0),
IF(AND(NOT(ISBLANK(INDEX('glossaryterms-export'!H:H,_xlpm.rowNum))),ISBLANK(INDEX('glossaryterms-export'!I:I,_xlpm.rowNum))),"Ready to Fix",""))</f>
        <v/>
      </c>
    </row>
    <row r="2985" spans="6:6">
      <c r="F2985" s="1" t="str" cm="1">
        <f t="array" ref="F2985">_xlfn.LET(_xlpm.rowNum,MATCH(E2985,'glossaryterms-export'!C:C,0),
IF(AND(NOT(ISBLANK(INDEX('glossaryterms-export'!H:H,_xlpm.rowNum))),ISBLANK(INDEX('glossaryterms-export'!I:I,_xlpm.rowNum))),"Ready to Fix",""))</f>
        <v/>
      </c>
    </row>
    <row r="2986" spans="6:6">
      <c r="F2986" s="1" t="str" cm="1">
        <f t="array" ref="F2986">_xlfn.LET(_xlpm.rowNum,MATCH(E2986,'glossaryterms-export'!C:C,0),
IF(AND(NOT(ISBLANK(INDEX('glossaryterms-export'!H:H,_xlpm.rowNum))),ISBLANK(INDEX('glossaryterms-export'!I:I,_xlpm.rowNum))),"Ready to Fix",""))</f>
        <v/>
      </c>
    </row>
    <row r="2987" spans="6:6">
      <c r="F2987" s="1" t="str" cm="1">
        <f t="array" ref="F2987">_xlfn.LET(_xlpm.rowNum,MATCH(E2987,'glossaryterms-export'!C:C,0),
IF(AND(NOT(ISBLANK(INDEX('glossaryterms-export'!H:H,_xlpm.rowNum))),ISBLANK(INDEX('glossaryterms-export'!I:I,_xlpm.rowNum))),"Ready to Fix",""))</f>
        <v/>
      </c>
    </row>
    <row r="2988" spans="6:6">
      <c r="F2988" s="1" t="str" cm="1">
        <f t="array" ref="F2988">_xlfn.LET(_xlpm.rowNum,MATCH(E2988,'glossaryterms-export'!C:C,0),
IF(AND(NOT(ISBLANK(INDEX('glossaryterms-export'!H:H,_xlpm.rowNum))),ISBLANK(INDEX('glossaryterms-export'!I:I,_xlpm.rowNum))),"Ready to Fix",""))</f>
        <v/>
      </c>
    </row>
    <row r="2989" spans="6:6">
      <c r="F2989" s="1" t="str" cm="1">
        <f t="array" ref="F2989">_xlfn.LET(_xlpm.rowNum,MATCH(E2989,'glossaryterms-export'!C:C,0),
IF(AND(NOT(ISBLANK(INDEX('glossaryterms-export'!H:H,_xlpm.rowNum))),ISBLANK(INDEX('glossaryterms-export'!I:I,_xlpm.rowNum))),"Ready to Fix",""))</f>
        <v/>
      </c>
    </row>
    <row r="2990" spans="6:6">
      <c r="F2990" s="1" t="str" cm="1">
        <f t="array" ref="F2990">_xlfn.LET(_xlpm.rowNum,MATCH(E2990,'glossaryterms-export'!C:C,0),
IF(AND(NOT(ISBLANK(INDEX('glossaryterms-export'!H:H,_xlpm.rowNum))),ISBLANK(INDEX('glossaryterms-export'!I:I,_xlpm.rowNum))),"Ready to Fix",""))</f>
        <v/>
      </c>
    </row>
    <row r="2991" spans="6:6">
      <c r="F2991" s="1" t="str" cm="1">
        <f t="array" ref="F2991">_xlfn.LET(_xlpm.rowNum,MATCH(E2991,'glossaryterms-export'!C:C,0),
IF(AND(NOT(ISBLANK(INDEX('glossaryterms-export'!H:H,_xlpm.rowNum))),ISBLANK(INDEX('glossaryterms-export'!I:I,_xlpm.rowNum))),"Ready to Fix",""))</f>
        <v/>
      </c>
    </row>
    <row r="2992" spans="6:6">
      <c r="F2992" s="1" t="str" cm="1">
        <f t="array" ref="F2992">_xlfn.LET(_xlpm.rowNum,MATCH(E2992,'glossaryterms-export'!C:C,0),
IF(AND(NOT(ISBLANK(INDEX('glossaryterms-export'!H:H,_xlpm.rowNum))),ISBLANK(INDEX('glossaryterms-export'!I:I,_xlpm.rowNum))),"Ready to Fix",""))</f>
        <v/>
      </c>
    </row>
    <row r="2993" spans="6:6">
      <c r="F2993" s="1" t="str" cm="1">
        <f t="array" ref="F2993">_xlfn.LET(_xlpm.rowNum,MATCH(E2993,'glossaryterms-export'!C:C,0),
IF(AND(NOT(ISBLANK(INDEX('glossaryterms-export'!H:H,_xlpm.rowNum))),ISBLANK(INDEX('glossaryterms-export'!I:I,_xlpm.rowNum))),"Ready to Fix",""))</f>
        <v/>
      </c>
    </row>
    <row r="2994" spans="6:6">
      <c r="F2994" s="1" t="str" cm="1">
        <f t="array" ref="F2994">_xlfn.LET(_xlpm.rowNum,MATCH(E2994,'glossaryterms-export'!C:C,0),
IF(AND(NOT(ISBLANK(INDEX('glossaryterms-export'!H:H,_xlpm.rowNum))),ISBLANK(INDEX('glossaryterms-export'!I:I,_xlpm.rowNum))),"Ready to Fix",""))</f>
        <v/>
      </c>
    </row>
    <row r="2995" spans="6:6">
      <c r="F2995" s="1" t="str" cm="1">
        <f t="array" ref="F2995">_xlfn.LET(_xlpm.rowNum,MATCH(E2995,'glossaryterms-export'!C:C,0),
IF(AND(NOT(ISBLANK(INDEX('glossaryterms-export'!H:H,_xlpm.rowNum))),ISBLANK(INDEX('glossaryterms-export'!I:I,_xlpm.rowNum))),"Ready to Fix",""))</f>
        <v/>
      </c>
    </row>
    <row r="2996" spans="6:6">
      <c r="F2996" s="1" t="str" cm="1">
        <f t="array" ref="F2996">_xlfn.LET(_xlpm.rowNum,MATCH(E2996,'glossaryterms-export'!C:C,0),
IF(AND(NOT(ISBLANK(INDEX('glossaryterms-export'!H:H,_xlpm.rowNum))),ISBLANK(INDEX('glossaryterms-export'!I:I,_xlpm.rowNum))),"Ready to Fix",""))</f>
        <v/>
      </c>
    </row>
    <row r="2997" spans="6:6">
      <c r="F2997" s="1" t="str" cm="1">
        <f t="array" ref="F2997">_xlfn.LET(_xlpm.rowNum,MATCH(E2997,'glossaryterms-export'!C:C,0),
IF(AND(NOT(ISBLANK(INDEX('glossaryterms-export'!H:H,_xlpm.rowNum))),ISBLANK(INDEX('glossaryterms-export'!I:I,_xlpm.rowNum))),"Ready to Fix",""))</f>
        <v/>
      </c>
    </row>
    <row r="2998" spans="6:6">
      <c r="F2998" s="1" t="str" cm="1">
        <f t="array" ref="F2998">_xlfn.LET(_xlpm.rowNum,MATCH(E2998,'glossaryterms-export'!C:C,0),
IF(AND(NOT(ISBLANK(INDEX('glossaryterms-export'!H:H,_xlpm.rowNum))),ISBLANK(INDEX('glossaryterms-export'!I:I,_xlpm.rowNum))),"Ready to Fix",""))</f>
        <v/>
      </c>
    </row>
    <row r="2999" spans="6:6">
      <c r="F2999" s="1" t="str" cm="1">
        <f t="array" ref="F2999">_xlfn.LET(_xlpm.rowNum,MATCH(E2999,'glossaryterms-export'!C:C,0),
IF(AND(NOT(ISBLANK(INDEX('glossaryterms-export'!H:H,_xlpm.rowNum))),ISBLANK(INDEX('glossaryterms-export'!I:I,_xlpm.rowNum))),"Ready to Fix",""))</f>
        <v/>
      </c>
    </row>
    <row r="3000" spans="6:6">
      <c r="F3000" s="1" t="str" cm="1">
        <f t="array" ref="F3000">_xlfn.LET(_xlpm.rowNum,MATCH(E3000,'glossaryterms-export'!C:C,0),
IF(AND(NOT(ISBLANK(INDEX('glossaryterms-export'!H:H,_xlpm.rowNum))),ISBLANK(INDEX('glossaryterms-export'!I:I,_xlpm.rowNum))),"Ready to Fix",""))</f>
        <v/>
      </c>
    </row>
    <row r="3001" spans="6:6">
      <c r="F3001" s="1" t="str" cm="1">
        <f t="array" ref="F3001">_xlfn.LET(_xlpm.rowNum,MATCH(E3001,'glossaryterms-export'!C:C,0),
IF(AND(NOT(ISBLANK(INDEX('glossaryterms-export'!H:H,_xlpm.rowNum))),ISBLANK(INDEX('glossaryterms-export'!I:I,_xlpm.rowNum))),"Ready to Fix",""))</f>
        <v/>
      </c>
    </row>
    <row r="3002" spans="6:6">
      <c r="F3002" s="1" t="str" cm="1">
        <f t="array" ref="F3002">_xlfn.LET(_xlpm.rowNum,MATCH(E3002,'glossaryterms-export'!C:C,0),
IF(AND(NOT(ISBLANK(INDEX('glossaryterms-export'!H:H,_xlpm.rowNum))),ISBLANK(INDEX('glossaryterms-export'!I:I,_xlpm.rowNum))),"Ready to Fix",""))</f>
        <v/>
      </c>
    </row>
    <row r="3003" spans="6:6">
      <c r="F3003" s="1" t="str" cm="1">
        <f t="array" ref="F3003">_xlfn.LET(_xlpm.rowNum,MATCH(E3003,'glossaryterms-export'!C:C,0),
IF(AND(NOT(ISBLANK(INDEX('glossaryterms-export'!H:H,_xlpm.rowNum))),ISBLANK(INDEX('glossaryterms-export'!I:I,_xlpm.rowNum))),"Ready to Fix",""))</f>
        <v/>
      </c>
    </row>
    <row r="3004" spans="6:6">
      <c r="F3004" s="1" t="str" cm="1">
        <f t="array" ref="F3004">_xlfn.LET(_xlpm.rowNum,MATCH(E3004,'glossaryterms-export'!C:C,0),
IF(AND(NOT(ISBLANK(INDEX('glossaryterms-export'!H:H,_xlpm.rowNum))),ISBLANK(INDEX('glossaryterms-export'!I:I,_xlpm.rowNum))),"Ready to Fix",""))</f>
        <v/>
      </c>
    </row>
    <row r="3005" spans="6:6">
      <c r="F3005" s="1" t="str" cm="1">
        <f t="array" ref="F3005">_xlfn.LET(_xlpm.rowNum,MATCH(E3005,'glossaryterms-export'!C:C,0),
IF(AND(NOT(ISBLANK(INDEX('glossaryterms-export'!H:H,_xlpm.rowNum))),ISBLANK(INDEX('glossaryterms-export'!I:I,_xlpm.rowNum))),"Ready to Fix",""))</f>
        <v/>
      </c>
    </row>
    <row r="3006" spans="6:6">
      <c r="F3006" s="1" t="str" cm="1">
        <f t="array" ref="F3006">_xlfn.LET(_xlpm.rowNum,MATCH(E3006,'glossaryterms-export'!C:C,0),
IF(AND(NOT(ISBLANK(INDEX('glossaryterms-export'!H:H,_xlpm.rowNum))),ISBLANK(INDEX('glossaryterms-export'!I:I,_xlpm.rowNum))),"Ready to Fix",""))</f>
        <v/>
      </c>
    </row>
    <row r="3007" spans="6:6">
      <c r="F3007" s="1" t="str" cm="1">
        <f t="array" ref="F3007">_xlfn.LET(_xlpm.rowNum,MATCH(E3007,'glossaryterms-export'!C:C,0),
IF(AND(NOT(ISBLANK(INDEX('glossaryterms-export'!H:H,_xlpm.rowNum))),ISBLANK(INDEX('glossaryterms-export'!I:I,_xlpm.rowNum))),"Ready to Fix",""))</f>
        <v/>
      </c>
    </row>
    <row r="3008" spans="6:6">
      <c r="F3008" s="1" t="str" cm="1">
        <f t="array" ref="F3008">_xlfn.LET(_xlpm.rowNum,MATCH(E3008,'glossaryterms-export'!C:C,0),
IF(AND(NOT(ISBLANK(INDEX('glossaryterms-export'!H:H,_xlpm.rowNum))),ISBLANK(INDEX('glossaryterms-export'!I:I,_xlpm.rowNum))),"Ready to Fix",""))</f>
        <v/>
      </c>
    </row>
    <row r="3009" spans="6:6">
      <c r="F3009" s="1" t="str" cm="1">
        <f t="array" ref="F3009">_xlfn.LET(_xlpm.rowNum,MATCH(E3009,'glossaryterms-export'!C:C,0),
IF(AND(NOT(ISBLANK(INDEX('glossaryterms-export'!H:H,_xlpm.rowNum))),ISBLANK(INDEX('glossaryterms-export'!I:I,_xlpm.rowNum))),"Ready to Fix",""))</f>
        <v/>
      </c>
    </row>
    <row r="3010" spans="6:6">
      <c r="F3010" s="1" t="str" cm="1">
        <f t="array" ref="F3010">_xlfn.LET(_xlpm.rowNum,MATCH(E3010,'glossaryterms-export'!C:C,0),
IF(AND(NOT(ISBLANK(INDEX('glossaryterms-export'!H:H,_xlpm.rowNum))),ISBLANK(INDEX('glossaryterms-export'!I:I,_xlpm.rowNum))),"Ready to Fix",""))</f>
        <v/>
      </c>
    </row>
    <row r="3011" spans="6:6">
      <c r="F3011" s="1" t="str" cm="1">
        <f t="array" ref="F3011">_xlfn.LET(_xlpm.rowNum,MATCH(E3011,'glossaryterms-export'!C:C,0),
IF(AND(NOT(ISBLANK(INDEX('glossaryterms-export'!H:H,_xlpm.rowNum))),ISBLANK(INDEX('glossaryterms-export'!I:I,_xlpm.rowNum))),"Ready to Fix",""))</f>
        <v/>
      </c>
    </row>
    <row r="3012" spans="6:6">
      <c r="F3012" s="1" t="str" cm="1">
        <f t="array" ref="F3012">_xlfn.LET(_xlpm.rowNum,MATCH(E3012,'glossaryterms-export'!C:C,0),
IF(AND(NOT(ISBLANK(INDEX('glossaryterms-export'!H:H,_xlpm.rowNum))),ISBLANK(INDEX('glossaryterms-export'!I:I,_xlpm.rowNum))),"Ready to Fix",""))</f>
        <v/>
      </c>
    </row>
    <row r="3013" spans="6:6">
      <c r="F3013" s="1" t="str" cm="1">
        <f t="array" ref="F3013">_xlfn.LET(_xlpm.rowNum,MATCH(E3013,'glossaryterms-export'!C:C,0),
IF(AND(NOT(ISBLANK(INDEX('glossaryterms-export'!H:H,_xlpm.rowNum))),ISBLANK(INDEX('glossaryterms-export'!I:I,_xlpm.rowNum))),"Ready to Fix",""))</f>
        <v/>
      </c>
    </row>
    <row r="3014" spans="6:6">
      <c r="F3014" s="1" t="str" cm="1">
        <f t="array" ref="F3014">_xlfn.LET(_xlpm.rowNum,MATCH(E3014,'glossaryterms-export'!C:C,0),
IF(AND(NOT(ISBLANK(INDEX('glossaryterms-export'!H:H,_xlpm.rowNum))),ISBLANK(INDEX('glossaryterms-export'!I:I,_xlpm.rowNum))),"Ready to Fix",""))</f>
        <v/>
      </c>
    </row>
    <row r="3015" spans="6:6">
      <c r="F3015" s="1" t="str" cm="1">
        <f t="array" ref="F3015">_xlfn.LET(_xlpm.rowNum,MATCH(E3015,'glossaryterms-export'!C:C,0),
IF(AND(NOT(ISBLANK(INDEX('glossaryterms-export'!H:H,_xlpm.rowNum))),ISBLANK(INDEX('glossaryterms-export'!I:I,_xlpm.rowNum))),"Ready to Fix",""))</f>
        <v/>
      </c>
    </row>
    <row r="3016" spans="6:6">
      <c r="F3016" s="1" t="str" cm="1">
        <f t="array" ref="F3016">_xlfn.LET(_xlpm.rowNum,MATCH(E3016,'glossaryterms-export'!C:C,0),
IF(AND(NOT(ISBLANK(INDEX('glossaryterms-export'!H:H,_xlpm.rowNum))),ISBLANK(INDEX('glossaryterms-export'!I:I,_xlpm.rowNum))),"Ready to Fix",""))</f>
        <v/>
      </c>
    </row>
    <row r="3017" spans="6:6">
      <c r="F3017" s="1" t="str" cm="1">
        <f t="array" ref="F3017">_xlfn.LET(_xlpm.rowNum,MATCH(E3017,'glossaryterms-export'!C:C,0),
IF(AND(NOT(ISBLANK(INDEX('glossaryterms-export'!H:H,_xlpm.rowNum))),ISBLANK(INDEX('glossaryterms-export'!I:I,_xlpm.rowNum))),"Ready to Fix",""))</f>
        <v/>
      </c>
    </row>
    <row r="3018" spans="6:6">
      <c r="F3018" s="1" t="str" cm="1">
        <f t="array" ref="F3018">_xlfn.LET(_xlpm.rowNum,MATCH(E3018,'glossaryterms-export'!C:C,0),
IF(AND(NOT(ISBLANK(INDEX('glossaryterms-export'!H:H,_xlpm.rowNum))),ISBLANK(INDEX('glossaryterms-export'!I:I,_xlpm.rowNum))),"Ready to Fix",""))</f>
        <v/>
      </c>
    </row>
    <row r="3019" spans="6:6">
      <c r="F3019" s="1" t="str" cm="1">
        <f t="array" ref="F3019">_xlfn.LET(_xlpm.rowNum,MATCH(E3019,'glossaryterms-export'!C:C,0),
IF(AND(NOT(ISBLANK(INDEX('glossaryterms-export'!H:H,_xlpm.rowNum))),ISBLANK(INDEX('glossaryterms-export'!I:I,_xlpm.rowNum))),"Ready to Fix",""))</f>
        <v/>
      </c>
    </row>
    <row r="3020" spans="6:6">
      <c r="F3020" s="1" t="str" cm="1">
        <f t="array" ref="F3020">_xlfn.LET(_xlpm.rowNum,MATCH(E3020,'glossaryterms-export'!C:C,0),
IF(AND(NOT(ISBLANK(INDEX('glossaryterms-export'!H:H,_xlpm.rowNum))),ISBLANK(INDEX('glossaryterms-export'!I:I,_xlpm.rowNum))),"Ready to Fix",""))</f>
        <v/>
      </c>
    </row>
    <row r="3021" spans="6:6">
      <c r="F3021" s="1" t="str" cm="1">
        <f t="array" ref="F3021">_xlfn.LET(_xlpm.rowNum,MATCH(E3021,'glossaryterms-export'!C:C,0),
IF(AND(NOT(ISBLANK(INDEX('glossaryterms-export'!H:H,_xlpm.rowNum))),ISBLANK(INDEX('glossaryterms-export'!I:I,_xlpm.rowNum))),"Ready to Fix",""))</f>
        <v/>
      </c>
    </row>
    <row r="3022" spans="6:6">
      <c r="F3022" s="1" t="str" cm="1">
        <f t="array" ref="F3022">_xlfn.LET(_xlpm.rowNum,MATCH(E3022,'glossaryterms-export'!C:C,0),
IF(AND(NOT(ISBLANK(INDEX('glossaryterms-export'!H:H,_xlpm.rowNum))),ISBLANK(INDEX('glossaryterms-export'!I:I,_xlpm.rowNum))),"Ready to Fix",""))</f>
        <v/>
      </c>
    </row>
    <row r="3023" spans="6:6">
      <c r="F3023" s="1" t="str" cm="1">
        <f t="array" ref="F3023">_xlfn.LET(_xlpm.rowNum,MATCH(E3023,'glossaryterms-export'!C:C,0),
IF(AND(NOT(ISBLANK(INDEX('glossaryterms-export'!H:H,_xlpm.rowNum))),ISBLANK(INDEX('glossaryterms-export'!I:I,_xlpm.rowNum))),"Ready to Fix",""))</f>
        <v/>
      </c>
    </row>
    <row r="3024" spans="6:6">
      <c r="F3024" s="1" t="str" cm="1">
        <f t="array" ref="F3024">_xlfn.LET(_xlpm.rowNum,MATCH(E3024,'glossaryterms-export'!C:C,0),
IF(AND(NOT(ISBLANK(INDEX('glossaryterms-export'!H:H,_xlpm.rowNum))),ISBLANK(INDEX('glossaryterms-export'!I:I,_xlpm.rowNum))),"Ready to Fix",""))</f>
        <v/>
      </c>
    </row>
    <row r="3025" spans="6:6">
      <c r="F3025" s="1" t="str" cm="1">
        <f t="array" ref="F3025">_xlfn.LET(_xlpm.rowNum,MATCH(E3025,'glossaryterms-export'!C:C,0),
IF(AND(NOT(ISBLANK(INDEX('glossaryterms-export'!H:H,_xlpm.rowNum))),ISBLANK(INDEX('glossaryterms-export'!I:I,_xlpm.rowNum))),"Ready to Fix",""))</f>
        <v/>
      </c>
    </row>
    <row r="3026" spans="6:6">
      <c r="F3026" s="1" t="str" cm="1">
        <f t="array" ref="F3026">_xlfn.LET(_xlpm.rowNum,MATCH(E3026,'glossaryterms-export'!C:C,0),
IF(AND(NOT(ISBLANK(INDEX('glossaryterms-export'!H:H,_xlpm.rowNum))),ISBLANK(INDEX('glossaryterms-export'!I:I,_xlpm.rowNum))),"Ready to Fix",""))</f>
        <v/>
      </c>
    </row>
    <row r="3027" spans="6:6">
      <c r="F3027" s="1" t="str" cm="1">
        <f t="array" ref="F3027">_xlfn.LET(_xlpm.rowNum,MATCH(E3027,'glossaryterms-export'!C:C,0),
IF(AND(NOT(ISBLANK(INDEX('glossaryterms-export'!H:H,_xlpm.rowNum))),ISBLANK(INDEX('glossaryterms-export'!I:I,_xlpm.rowNum))),"Ready to Fix",""))</f>
        <v/>
      </c>
    </row>
    <row r="3028" spans="6:6">
      <c r="F3028" s="1" t="str" cm="1">
        <f t="array" ref="F3028">_xlfn.LET(_xlpm.rowNum,MATCH(E3028,'glossaryterms-export'!C:C,0),
IF(AND(NOT(ISBLANK(INDEX('glossaryterms-export'!H:H,_xlpm.rowNum))),ISBLANK(INDEX('glossaryterms-export'!I:I,_xlpm.rowNum))),"Ready to Fix",""))</f>
        <v/>
      </c>
    </row>
    <row r="3029" spans="6:6">
      <c r="F3029" s="1" t="str" cm="1">
        <f t="array" ref="F3029">_xlfn.LET(_xlpm.rowNum,MATCH(E3029,'glossaryterms-export'!C:C,0),
IF(AND(NOT(ISBLANK(INDEX('glossaryterms-export'!H:H,_xlpm.rowNum))),ISBLANK(INDEX('glossaryterms-export'!I:I,_xlpm.rowNum))),"Ready to Fix",""))</f>
        <v/>
      </c>
    </row>
    <row r="3030" spans="6:6">
      <c r="F3030" s="1" t="str" cm="1">
        <f t="array" ref="F3030">_xlfn.LET(_xlpm.rowNum,MATCH(E3030,'glossaryterms-export'!C:C,0),
IF(AND(NOT(ISBLANK(INDEX('glossaryterms-export'!H:H,_xlpm.rowNum))),ISBLANK(INDEX('glossaryterms-export'!I:I,_xlpm.rowNum))),"Ready to Fix",""))</f>
        <v/>
      </c>
    </row>
    <row r="3031" spans="6:6">
      <c r="F3031" s="1" t="str" cm="1">
        <f t="array" ref="F3031">_xlfn.LET(_xlpm.rowNum,MATCH(E3031,'glossaryterms-export'!C:C,0),
IF(AND(NOT(ISBLANK(INDEX('glossaryterms-export'!H:H,_xlpm.rowNum))),ISBLANK(INDEX('glossaryterms-export'!I:I,_xlpm.rowNum))),"Ready to Fix",""))</f>
        <v/>
      </c>
    </row>
    <row r="3032" spans="6:6">
      <c r="F3032" s="1" t="str" cm="1">
        <f t="array" ref="F3032">_xlfn.LET(_xlpm.rowNum,MATCH(E3032,'glossaryterms-export'!C:C,0),
IF(AND(NOT(ISBLANK(INDEX('glossaryterms-export'!H:H,_xlpm.rowNum))),ISBLANK(INDEX('glossaryterms-export'!I:I,_xlpm.rowNum))),"Ready to Fix",""))</f>
        <v/>
      </c>
    </row>
    <row r="3033" spans="6:6">
      <c r="F3033" s="1" t="str" cm="1">
        <f t="array" ref="F3033">_xlfn.LET(_xlpm.rowNum,MATCH(E3033,'glossaryterms-export'!C:C,0),
IF(AND(NOT(ISBLANK(INDEX('glossaryterms-export'!H:H,_xlpm.rowNum))),ISBLANK(INDEX('glossaryterms-export'!I:I,_xlpm.rowNum))),"Ready to Fix",""))</f>
        <v/>
      </c>
    </row>
    <row r="3034" spans="6:6">
      <c r="F3034" s="1" t="str" cm="1">
        <f t="array" ref="F3034">_xlfn.LET(_xlpm.rowNum,MATCH(E3034,'glossaryterms-export'!C:C,0),
IF(AND(NOT(ISBLANK(INDEX('glossaryterms-export'!H:H,_xlpm.rowNum))),ISBLANK(INDEX('glossaryterms-export'!I:I,_xlpm.rowNum))),"Ready to Fix",""))</f>
        <v/>
      </c>
    </row>
    <row r="3035" spans="6:6">
      <c r="F3035" s="1" t="str" cm="1">
        <f t="array" ref="F3035">_xlfn.LET(_xlpm.rowNum,MATCH(E3035,'glossaryterms-export'!C:C,0),
IF(AND(NOT(ISBLANK(INDEX('glossaryterms-export'!H:H,_xlpm.rowNum))),ISBLANK(INDEX('glossaryterms-export'!I:I,_xlpm.rowNum))),"Ready to Fix",""))</f>
        <v/>
      </c>
    </row>
    <row r="3036" spans="6:6">
      <c r="F3036" s="1" t="str" cm="1">
        <f t="array" ref="F3036">_xlfn.LET(_xlpm.rowNum,MATCH(E3036,'glossaryterms-export'!C:C,0),
IF(AND(NOT(ISBLANK(INDEX('glossaryterms-export'!H:H,_xlpm.rowNum))),ISBLANK(INDEX('glossaryterms-export'!I:I,_xlpm.rowNum))),"Ready to Fix",""))</f>
        <v/>
      </c>
    </row>
    <row r="3037" spans="6:6">
      <c r="F3037" s="1" t="str" cm="1">
        <f t="array" ref="F3037">_xlfn.LET(_xlpm.rowNum,MATCH(E3037,'glossaryterms-export'!C:C,0),
IF(AND(NOT(ISBLANK(INDEX('glossaryterms-export'!H:H,_xlpm.rowNum))),ISBLANK(INDEX('glossaryterms-export'!I:I,_xlpm.rowNum))),"Ready to Fix",""))</f>
        <v/>
      </c>
    </row>
    <row r="3038" spans="6:6">
      <c r="F3038" s="1" t="str" cm="1">
        <f t="array" ref="F3038">_xlfn.LET(_xlpm.rowNum,MATCH(E3038,'glossaryterms-export'!C:C,0),
IF(AND(NOT(ISBLANK(INDEX('glossaryterms-export'!H:H,_xlpm.rowNum))),ISBLANK(INDEX('glossaryterms-export'!I:I,_xlpm.rowNum))),"Ready to Fix",""))</f>
        <v/>
      </c>
    </row>
    <row r="3039" spans="6:6">
      <c r="F3039" s="1" t="str" cm="1">
        <f t="array" ref="F3039">_xlfn.LET(_xlpm.rowNum,MATCH(E3039,'glossaryterms-export'!C:C,0),
IF(AND(NOT(ISBLANK(INDEX('glossaryterms-export'!H:H,_xlpm.rowNum))),ISBLANK(INDEX('glossaryterms-export'!I:I,_xlpm.rowNum))),"Ready to Fix",""))</f>
        <v/>
      </c>
    </row>
    <row r="3040" spans="6:6">
      <c r="F3040" s="1" t="str" cm="1">
        <f t="array" ref="F3040">_xlfn.LET(_xlpm.rowNum,MATCH(E3040,'glossaryterms-export'!C:C,0),
IF(AND(NOT(ISBLANK(INDEX('glossaryterms-export'!H:H,_xlpm.rowNum))),ISBLANK(INDEX('glossaryterms-export'!I:I,_xlpm.rowNum))),"Ready to Fix",""))</f>
        <v/>
      </c>
    </row>
    <row r="3041" spans="6:6">
      <c r="F3041" s="1" t="str" cm="1">
        <f t="array" ref="F3041">_xlfn.LET(_xlpm.rowNum,MATCH(E3041,'glossaryterms-export'!C:C,0),
IF(AND(NOT(ISBLANK(INDEX('glossaryterms-export'!H:H,_xlpm.rowNum))),ISBLANK(INDEX('glossaryterms-export'!I:I,_xlpm.rowNum))),"Ready to Fix",""))</f>
        <v/>
      </c>
    </row>
    <row r="3042" spans="6:6">
      <c r="F3042" s="1" t="str" cm="1">
        <f t="array" ref="F3042">_xlfn.LET(_xlpm.rowNum,MATCH(E3042,'glossaryterms-export'!C:C,0),
IF(AND(NOT(ISBLANK(INDEX('glossaryterms-export'!H:H,_xlpm.rowNum))),ISBLANK(INDEX('glossaryterms-export'!I:I,_xlpm.rowNum))),"Ready to Fix",""))</f>
        <v/>
      </c>
    </row>
    <row r="3043" spans="6:6">
      <c r="F3043" s="1" t="str" cm="1">
        <f t="array" ref="F3043">_xlfn.LET(_xlpm.rowNum,MATCH(E3043,'glossaryterms-export'!C:C,0),
IF(AND(NOT(ISBLANK(INDEX('glossaryterms-export'!H:H,_xlpm.rowNum))),ISBLANK(INDEX('glossaryterms-export'!I:I,_xlpm.rowNum))),"Ready to Fix",""))</f>
        <v/>
      </c>
    </row>
    <row r="3044" spans="6:6">
      <c r="F3044" s="1" t="str" cm="1">
        <f t="array" ref="F3044">_xlfn.LET(_xlpm.rowNum,MATCH(E3044,'glossaryterms-export'!C:C,0),
IF(AND(NOT(ISBLANK(INDEX('glossaryterms-export'!H:H,_xlpm.rowNum))),ISBLANK(INDEX('glossaryterms-export'!I:I,_xlpm.rowNum))),"Ready to Fix",""))</f>
        <v/>
      </c>
    </row>
    <row r="3045" spans="6:6">
      <c r="F3045" s="1" t="str" cm="1">
        <f t="array" ref="F3045">_xlfn.LET(_xlpm.rowNum,MATCH(E3045,'glossaryterms-export'!C:C,0),
IF(AND(NOT(ISBLANK(INDEX('glossaryterms-export'!H:H,_xlpm.rowNum))),ISBLANK(INDEX('glossaryterms-export'!I:I,_xlpm.rowNum))),"Ready to Fix",""))</f>
        <v/>
      </c>
    </row>
    <row r="3046" spans="6:6">
      <c r="F3046" s="1" t="str" cm="1">
        <f t="array" ref="F3046">_xlfn.LET(_xlpm.rowNum,MATCH(E3046,'glossaryterms-export'!C:C,0),
IF(AND(NOT(ISBLANK(INDEX('glossaryterms-export'!H:H,_xlpm.rowNum))),ISBLANK(INDEX('glossaryterms-export'!I:I,_xlpm.rowNum))),"Ready to Fix",""))</f>
        <v/>
      </c>
    </row>
    <row r="3047" spans="6:6">
      <c r="F3047" s="1" t="str" cm="1">
        <f t="array" ref="F3047">_xlfn.LET(_xlpm.rowNum,MATCH(E3047,'glossaryterms-export'!C:C,0),
IF(AND(NOT(ISBLANK(INDEX('glossaryterms-export'!H:H,_xlpm.rowNum))),ISBLANK(INDEX('glossaryterms-export'!I:I,_xlpm.rowNum))),"Ready to Fix",""))</f>
        <v/>
      </c>
    </row>
    <row r="3048" spans="6:6">
      <c r="F3048" s="1" t="str" cm="1">
        <f t="array" ref="F3048">_xlfn.LET(_xlpm.rowNum,MATCH(E3048,'glossaryterms-export'!C:C,0),
IF(AND(NOT(ISBLANK(INDEX('glossaryterms-export'!H:H,_xlpm.rowNum))),ISBLANK(INDEX('glossaryterms-export'!I:I,_xlpm.rowNum))),"Ready to Fix",""))</f>
        <v/>
      </c>
    </row>
    <row r="3049" spans="6:6">
      <c r="F3049" s="1" t="str" cm="1">
        <f t="array" ref="F3049">_xlfn.LET(_xlpm.rowNum,MATCH(E3049,'glossaryterms-export'!C:C,0),
IF(AND(NOT(ISBLANK(INDEX('glossaryterms-export'!H:H,_xlpm.rowNum))),ISBLANK(INDEX('glossaryterms-export'!I:I,_xlpm.rowNum))),"Ready to Fix",""))</f>
        <v/>
      </c>
    </row>
    <row r="3050" spans="6:6">
      <c r="F3050" s="1" t="str" cm="1">
        <f t="array" ref="F3050">_xlfn.LET(_xlpm.rowNum,MATCH(E3050,'glossaryterms-export'!C:C,0),
IF(AND(NOT(ISBLANK(INDEX('glossaryterms-export'!H:H,_xlpm.rowNum))),ISBLANK(INDEX('glossaryterms-export'!I:I,_xlpm.rowNum))),"Ready to Fix",""))</f>
        <v/>
      </c>
    </row>
    <row r="3051" spans="6:6">
      <c r="F3051" s="1" t="str" cm="1">
        <f t="array" ref="F3051">_xlfn.LET(_xlpm.rowNum,MATCH(E3051,'glossaryterms-export'!C:C,0),
IF(AND(NOT(ISBLANK(INDEX('glossaryterms-export'!H:H,_xlpm.rowNum))),ISBLANK(INDEX('glossaryterms-export'!I:I,_xlpm.rowNum))),"Ready to Fix",""))</f>
        <v/>
      </c>
    </row>
    <row r="3052" spans="6:6">
      <c r="F3052" s="1" t="str" cm="1">
        <f t="array" ref="F3052">_xlfn.LET(_xlpm.rowNum,MATCH(E3052,'glossaryterms-export'!C:C,0),
IF(AND(NOT(ISBLANK(INDEX('glossaryterms-export'!H:H,_xlpm.rowNum))),ISBLANK(INDEX('glossaryterms-export'!I:I,_xlpm.rowNum))),"Ready to Fix",""))</f>
        <v/>
      </c>
    </row>
    <row r="3053" spans="6:6">
      <c r="F3053" s="1" t="str" cm="1">
        <f t="array" ref="F3053">_xlfn.LET(_xlpm.rowNum,MATCH(E3053,'glossaryterms-export'!C:C,0),
IF(AND(NOT(ISBLANK(INDEX('glossaryterms-export'!H:H,_xlpm.rowNum))),ISBLANK(INDEX('glossaryterms-export'!I:I,_xlpm.rowNum))),"Ready to Fix",""))</f>
        <v/>
      </c>
    </row>
    <row r="3054" spans="6:6">
      <c r="F3054" s="1" t="str" cm="1">
        <f t="array" ref="F3054">_xlfn.LET(_xlpm.rowNum,MATCH(E3054,'glossaryterms-export'!C:C,0),
IF(AND(NOT(ISBLANK(INDEX('glossaryterms-export'!H:H,_xlpm.rowNum))),ISBLANK(INDEX('glossaryterms-export'!I:I,_xlpm.rowNum))),"Ready to Fix",""))</f>
        <v/>
      </c>
    </row>
    <row r="3055" spans="6:6">
      <c r="F3055" s="1" t="str" cm="1">
        <f t="array" ref="F3055">_xlfn.LET(_xlpm.rowNum,MATCH(E3055,'glossaryterms-export'!C:C,0),
IF(AND(NOT(ISBLANK(INDEX('glossaryterms-export'!H:H,_xlpm.rowNum))),ISBLANK(INDEX('glossaryterms-export'!I:I,_xlpm.rowNum))),"Ready to Fix",""))</f>
        <v/>
      </c>
    </row>
    <row r="3056" spans="6:6">
      <c r="F3056" s="1" t="str" cm="1">
        <f t="array" ref="F3056">_xlfn.LET(_xlpm.rowNum,MATCH(E3056,'glossaryterms-export'!C:C,0),
IF(AND(NOT(ISBLANK(INDEX('glossaryterms-export'!H:H,_xlpm.rowNum))),ISBLANK(INDEX('glossaryterms-export'!I:I,_xlpm.rowNum))),"Ready to Fix",""))</f>
        <v/>
      </c>
    </row>
    <row r="3057" spans="6:6">
      <c r="F3057" s="1" t="str" cm="1">
        <f t="array" ref="F3057">_xlfn.LET(_xlpm.rowNum,MATCH(E3057,'glossaryterms-export'!C:C,0),
IF(AND(NOT(ISBLANK(INDEX('glossaryterms-export'!H:H,_xlpm.rowNum))),ISBLANK(INDEX('glossaryterms-export'!I:I,_xlpm.rowNum))),"Ready to Fix",""))</f>
        <v/>
      </c>
    </row>
    <row r="3058" spans="6:6">
      <c r="F3058" s="1" t="str" cm="1">
        <f t="array" ref="F3058">_xlfn.LET(_xlpm.rowNum,MATCH(E3058,'glossaryterms-export'!C:C,0),
IF(AND(NOT(ISBLANK(INDEX('glossaryterms-export'!H:H,_xlpm.rowNum))),ISBLANK(INDEX('glossaryterms-export'!I:I,_xlpm.rowNum))),"Ready to Fix",""))</f>
        <v/>
      </c>
    </row>
    <row r="3059" spans="6:6">
      <c r="F3059" s="1" t="str" cm="1">
        <f t="array" ref="F3059">_xlfn.LET(_xlpm.rowNum,MATCH(E3059,'glossaryterms-export'!C:C,0),
IF(AND(NOT(ISBLANK(INDEX('glossaryterms-export'!H:H,_xlpm.rowNum))),ISBLANK(INDEX('glossaryterms-export'!I:I,_xlpm.rowNum))),"Ready to Fix",""))</f>
        <v/>
      </c>
    </row>
    <row r="3060" spans="6:6">
      <c r="F3060" s="1" t="str" cm="1">
        <f t="array" ref="F3060">_xlfn.LET(_xlpm.rowNum,MATCH(E3060,'glossaryterms-export'!C:C,0),
IF(AND(NOT(ISBLANK(INDEX('glossaryterms-export'!H:H,_xlpm.rowNum))),ISBLANK(INDEX('glossaryterms-export'!I:I,_xlpm.rowNum))),"Ready to Fix",""))</f>
        <v/>
      </c>
    </row>
    <row r="3061" spans="6:6">
      <c r="F3061" s="1" t="str" cm="1">
        <f t="array" ref="F3061">_xlfn.LET(_xlpm.rowNum,MATCH(E3061,'glossaryterms-export'!C:C,0),
IF(AND(NOT(ISBLANK(INDEX('glossaryterms-export'!H:H,_xlpm.rowNum))),ISBLANK(INDEX('glossaryterms-export'!I:I,_xlpm.rowNum))),"Ready to Fix",""))</f>
        <v/>
      </c>
    </row>
    <row r="3062" spans="6:6">
      <c r="F3062" s="1" t="str" cm="1">
        <f t="array" ref="F3062">_xlfn.LET(_xlpm.rowNum,MATCH(E3062,'glossaryterms-export'!C:C,0),
IF(AND(NOT(ISBLANK(INDEX('glossaryterms-export'!H:H,_xlpm.rowNum))),ISBLANK(INDEX('glossaryterms-export'!I:I,_xlpm.rowNum))),"Ready to Fix",""))</f>
        <v/>
      </c>
    </row>
    <row r="3063" spans="6:6">
      <c r="F3063" s="1" t="str" cm="1">
        <f t="array" ref="F3063">_xlfn.LET(_xlpm.rowNum,MATCH(E3063,'glossaryterms-export'!C:C,0),
IF(AND(NOT(ISBLANK(INDEX('glossaryterms-export'!H:H,_xlpm.rowNum))),ISBLANK(INDEX('glossaryterms-export'!I:I,_xlpm.rowNum))),"Ready to Fix",""))</f>
        <v/>
      </c>
    </row>
    <row r="3064" spans="6:6">
      <c r="F3064" s="1" t="str" cm="1">
        <f t="array" ref="F3064">_xlfn.LET(_xlpm.rowNum,MATCH(E3064,'glossaryterms-export'!C:C,0),
IF(AND(NOT(ISBLANK(INDEX('glossaryterms-export'!H:H,_xlpm.rowNum))),ISBLANK(INDEX('glossaryterms-export'!I:I,_xlpm.rowNum))),"Ready to Fix",""))</f>
        <v/>
      </c>
    </row>
    <row r="3065" spans="6:6">
      <c r="F3065" s="1" t="str" cm="1">
        <f t="array" ref="F3065">_xlfn.LET(_xlpm.rowNum,MATCH(E3065,'glossaryterms-export'!C:C,0),
IF(AND(NOT(ISBLANK(INDEX('glossaryterms-export'!H:H,_xlpm.rowNum))),ISBLANK(INDEX('glossaryterms-export'!I:I,_xlpm.rowNum))),"Ready to Fix",""))</f>
        <v/>
      </c>
    </row>
    <row r="3066" spans="6:6">
      <c r="F3066" s="1" t="str" cm="1">
        <f t="array" ref="F3066">_xlfn.LET(_xlpm.rowNum,MATCH(E3066,'glossaryterms-export'!C:C,0),
IF(AND(NOT(ISBLANK(INDEX('glossaryterms-export'!H:H,_xlpm.rowNum))),ISBLANK(INDEX('glossaryterms-export'!I:I,_xlpm.rowNum))),"Ready to Fix",""))</f>
        <v/>
      </c>
    </row>
    <row r="3067" spans="6:6">
      <c r="F3067" s="1" t="str" cm="1">
        <f t="array" ref="F3067">_xlfn.LET(_xlpm.rowNum,MATCH(E3067,'glossaryterms-export'!C:C,0),
IF(AND(NOT(ISBLANK(INDEX('glossaryterms-export'!H:H,_xlpm.rowNum))),ISBLANK(INDEX('glossaryterms-export'!I:I,_xlpm.rowNum))),"Ready to Fix",""))</f>
        <v/>
      </c>
    </row>
    <row r="3068" spans="6:6">
      <c r="F3068" s="1" t="str" cm="1">
        <f t="array" ref="F3068">_xlfn.LET(_xlpm.rowNum,MATCH(E3068,'glossaryterms-export'!C:C,0),
IF(AND(NOT(ISBLANK(INDEX('glossaryterms-export'!H:H,_xlpm.rowNum))),ISBLANK(INDEX('glossaryterms-export'!I:I,_xlpm.rowNum))),"Ready to Fix",""))</f>
        <v/>
      </c>
    </row>
    <row r="3069" spans="6:6">
      <c r="F3069" s="1" t="str" cm="1">
        <f t="array" ref="F3069">_xlfn.LET(_xlpm.rowNum,MATCH(E3069,'glossaryterms-export'!C:C,0),
IF(AND(NOT(ISBLANK(INDEX('glossaryterms-export'!H:H,_xlpm.rowNum))),ISBLANK(INDEX('glossaryterms-export'!I:I,_xlpm.rowNum))),"Ready to Fix",""))</f>
        <v/>
      </c>
    </row>
    <row r="3070" spans="6:6">
      <c r="F3070" s="1" t="str" cm="1">
        <f t="array" ref="F3070">_xlfn.LET(_xlpm.rowNum,MATCH(E3070,'glossaryterms-export'!C:C,0),
IF(AND(NOT(ISBLANK(INDEX('glossaryterms-export'!H:H,_xlpm.rowNum))),ISBLANK(INDEX('glossaryterms-export'!I:I,_xlpm.rowNum))),"Ready to Fix",""))</f>
        <v/>
      </c>
    </row>
    <row r="3071" spans="6:6">
      <c r="F3071" s="1" t="str" cm="1">
        <f t="array" ref="F3071">_xlfn.LET(_xlpm.rowNum,MATCH(E3071,'glossaryterms-export'!C:C,0),
IF(AND(NOT(ISBLANK(INDEX('glossaryterms-export'!H:H,_xlpm.rowNum))),ISBLANK(INDEX('glossaryterms-export'!I:I,_xlpm.rowNum))),"Ready to Fix",""))</f>
        <v/>
      </c>
    </row>
    <row r="3072" spans="6:6">
      <c r="F3072" s="1" t="str" cm="1">
        <f t="array" ref="F3072">_xlfn.LET(_xlpm.rowNum,MATCH(E3072,'glossaryterms-export'!C:C,0),
IF(AND(NOT(ISBLANK(INDEX('glossaryterms-export'!H:H,_xlpm.rowNum))),ISBLANK(INDEX('glossaryterms-export'!I:I,_xlpm.rowNum))),"Ready to Fix",""))</f>
        <v/>
      </c>
    </row>
    <row r="3073" spans="6:6">
      <c r="F3073" s="1" t="str" cm="1">
        <f t="array" ref="F3073">_xlfn.LET(_xlpm.rowNum,MATCH(E3073,'glossaryterms-export'!C:C,0),
IF(AND(NOT(ISBLANK(INDEX('glossaryterms-export'!H:H,_xlpm.rowNum))),ISBLANK(INDEX('glossaryterms-export'!I:I,_xlpm.rowNum))),"Ready to Fix",""))</f>
        <v/>
      </c>
    </row>
    <row r="3074" spans="6:6">
      <c r="F3074" s="1" t="str" cm="1">
        <f t="array" ref="F3074">_xlfn.LET(_xlpm.rowNum,MATCH(E3074,'glossaryterms-export'!C:C,0),
IF(AND(NOT(ISBLANK(INDEX('glossaryterms-export'!H:H,_xlpm.rowNum))),ISBLANK(INDEX('glossaryterms-export'!I:I,_xlpm.rowNum))),"Ready to Fix",""))</f>
        <v/>
      </c>
    </row>
    <row r="3075" spans="6:6">
      <c r="F3075" s="1" t="str" cm="1">
        <f t="array" ref="F3075">_xlfn.LET(_xlpm.rowNum,MATCH(E3075,'glossaryterms-export'!C:C,0),
IF(AND(NOT(ISBLANK(INDEX('glossaryterms-export'!H:H,_xlpm.rowNum))),ISBLANK(INDEX('glossaryterms-export'!I:I,_xlpm.rowNum))),"Ready to Fix",""))</f>
        <v/>
      </c>
    </row>
    <row r="3076" spans="6:6">
      <c r="F3076" s="1" t="str" cm="1">
        <f t="array" ref="F3076">_xlfn.LET(_xlpm.rowNum,MATCH(E3076,'glossaryterms-export'!C:C,0),
IF(AND(NOT(ISBLANK(INDEX('glossaryterms-export'!H:H,_xlpm.rowNum))),ISBLANK(INDEX('glossaryterms-export'!I:I,_xlpm.rowNum))),"Ready to Fix",""))</f>
        <v/>
      </c>
    </row>
    <row r="3077" spans="6:6">
      <c r="F3077" s="1" t="str" cm="1">
        <f t="array" ref="F3077">_xlfn.LET(_xlpm.rowNum,MATCH(E3077,'glossaryterms-export'!C:C,0),
IF(AND(NOT(ISBLANK(INDEX('glossaryterms-export'!H:H,_xlpm.rowNum))),ISBLANK(INDEX('glossaryterms-export'!I:I,_xlpm.rowNum))),"Ready to Fix",""))</f>
        <v/>
      </c>
    </row>
    <row r="3078" spans="6:6">
      <c r="F3078" s="1" t="str" cm="1">
        <f t="array" ref="F3078">_xlfn.LET(_xlpm.rowNum,MATCH(E3078,'glossaryterms-export'!C:C,0),
IF(AND(NOT(ISBLANK(INDEX('glossaryterms-export'!H:H,_xlpm.rowNum))),ISBLANK(INDEX('glossaryterms-export'!I:I,_xlpm.rowNum))),"Ready to Fix",""))</f>
        <v/>
      </c>
    </row>
    <row r="3079" spans="6:6">
      <c r="F3079" s="1" t="str" cm="1">
        <f t="array" ref="F3079">_xlfn.LET(_xlpm.rowNum,MATCH(E3079,'glossaryterms-export'!C:C,0),
IF(AND(NOT(ISBLANK(INDEX('glossaryterms-export'!H:H,_xlpm.rowNum))),ISBLANK(INDEX('glossaryterms-export'!I:I,_xlpm.rowNum))),"Ready to Fix",""))</f>
        <v/>
      </c>
    </row>
    <row r="3080" spans="6:6">
      <c r="F3080" s="1" t="str" cm="1">
        <f t="array" ref="F3080">_xlfn.LET(_xlpm.rowNum,MATCH(E3080,'glossaryterms-export'!C:C,0),
IF(AND(NOT(ISBLANK(INDEX('glossaryterms-export'!H:H,_xlpm.rowNum))),ISBLANK(INDEX('glossaryterms-export'!I:I,_xlpm.rowNum))),"Ready to Fix",""))</f>
        <v/>
      </c>
    </row>
    <row r="3081" spans="6:6">
      <c r="F3081" s="1" t="str" cm="1">
        <f t="array" ref="F3081">_xlfn.LET(_xlpm.rowNum,MATCH(E3081,'glossaryterms-export'!C:C,0),
IF(AND(NOT(ISBLANK(INDEX('glossaryterms-export'!H:H,_xlpm.rowNum))),ISBLANK(INDEX('glossaryterms-export'!I:I,_xlpm.rowNum))),"Ready to Fix",""))</f>
        <v/>
      </c>
    </row>
    <row r="3082" spans="6:6">
      <c r="F3082" s="1" t="str" cm="1">
        <f t="array" ref="F3082">_xlfn.LET(_xlpm.rowNum,MATCH(E3082,'glossaryterms-export'!C:C,0),
IF(AND(NOT(ISBLANK(INDEX('glossaryterms-export'!H:H,_xlpm.rowNum))),ISBLANK(INDEX('glossaryterms-export'!I:I,_xlpm.rowNum))),"Ready to Fix",""))</f>
        <v/>
      </c>
    </row>
    <row r="3083" spans="6:6">
      <c r="F3083" s="1" t="str" cm="1">
        <f t="array" ref="F3083">_xlfn.LET(_xlpm.rowNum,MATCH(E3083,'glossaryterms-export'!C:C,0),
IF(AND(NOT(ISBLANK(INDEX('glossaryterms-export'!H:H,_xlpm.rowNum))),ISBLANK(INDEX('glossaryterms-export'!I:I,_xlpm.rowNum))),"Ready to Fix",""))</f>
        <v/>
      </c>
    </row>
    <row r="3084" spans="6:6">
      <c r="F3084" s="1" t="str" cm="1">
        <f t="array" ref="F3084">_xlfn.LET(_xlpm.rowNum,MATCH(E3084,'glossaryterms-export'!C:C,0),
IF(AND(NOT(ISBLANK(INDEX('glossaryterms-export'!H:H,_xlpm.rowNum))),ISBLANK(INDEX('glossaryterms-export'!I:I,_xlpm.rowNum))),"Ready to Fix",""))</f>
        <v/>
      </c>
    </row>
    <row r="3085" spans="6:6">
      <c r="F3085" s="1" t="str" cm="1">
        <f t="array" ref="F3085">_xlfn.LET(_xlpm.rowNum,MATCH(E3085,'glossaryterms-export'!C:C,0),
IF(AND(NOT(ISBLANK(INDEX('glossaryterms-export'!H:H,_xlpm.rowNum))),ISBLANK(INDEX('glossaryterms-export'!I:I,_xlpm.rowNum))),"Ready to Fix",""))</f>
        <v/>
      </c>
    </row>
    <row r="3086" spans="6:6">
      <c r="F3086" s="1" t="str" cm="1">
        <f t="array" ref="F3086">_xlfn.LET(_xlpm.rowNum,MATCH(E3086,'glossaryterms-export'!C:C,0),
IF(AND(NOT(ISBLANK(INDEX('glossaryterms-export'!H:H,_xlpm.rowNum))),ISBLANK(INDEX('glossaryterms-export'!I:I,_xlpm.rowNum))),"Ready to Fix",""))</f>
        <v/>
      </c>
    </row>
    <row r="3087" spans="6:6">
      <c r="F3087" s="1" t="str" cm="1">
        <f t="array" ref="F3087">_xlfn.LET(_xlpm.rowNum,MATCH(E3087,'glossaryterms-export'!C:C,0),
IF(AND(NOT(ISBLANK(INDEX('glossaryterms-export'!H:H,_xlpm.rowNum))),ISBLANK(INDEX('glossaryterms-export'!I:I,_xlpm.rowNum))),"Ready to Fix",""))</f>
        <v/>
      </c>
    </row>
    <row r="3088" spans="6:6">
      <c r="F3088" s="1" t="str" cm="1">
        <f t="array" ref="F3088">_xlfn.LET(_xlpm.rowNum,MATCH(E3088,'glossaryterms-export'!C:C,0),
IF(AND(NOT(ISBLANK(INDEX('glossaryterms-export'!H:H,_xlpm.rowNum))),ISBLANK(INDEX('glossaryterms-export'!I:I,_xlpm.rowNum))),"Ready to Fix",""))</f>
        <v/>
      </c>
    </row>
    <row r="3089" spans="6:6">
      <c r="F3089" s="1" t="str" cm="1">
        <f t="array" ref="F3089">_xlfn.LET(_xlpm.rowNum,MATCH(E3089,'glossaryterms-export'!C:C,0),
IF(AND(NOT(ISBLANK(INDEX('glossaryterms-export'!H:H,_xlpm.rowNum))),ISBLANK(INDEX('glossaryterms-export'!I:I,_xlpm.rowNum))),"Ready to Fix",""))</f>
        <v/>
      </c>
    </row>
    <row r="3090" spans="6:6">
      <c r="F3090" s="1" t="str" cm="1">
        <f t="array" ref="F3090">_xlfn.LET(_xlpm.rowNum,MATCH(E3090,'glossaryterms-export'!C:C,0),
IF(AND(NOT(ISBLANK(INDEX('glossaryterms-export'!H:H,_xlpm.rowNum))),ISBLANK(INDEX('glossaryterms-export'!I:I,_xlpm.rowNum))),"Ready to Fix",""))</f>
        <v/>
      </c>
    </row>
    <row r="3091" spans="6:6">
      <c r="F3091" s="1" t="str" cm="1">
        <f t="array" ref="F3091">_xlfn.LET(_xlpm.rowNum,MATCH(E3091,'glossaryterms-export'!C:C,0),
IF(AND(NOT(ISBLANK(INDEX('glossaryterms-export'!H:H,_xlpm.rowNum))),ISBLANK(INDEX('glossaryterms-export'!I:I,_xlpm.rowNum))),"Ready to Fix",""))</f>
        <v/>
      </c>
    </row>
    <row r="3092" spans="6:6">
      <c r="F3092" s="1" t="str" cm="1">
        <f t="array" ref="F3092">_xlfn.LET(_xlpm.rowNum,MATCH(E3092,'glossaryterms-export'!C:C,0),
IF(AND(NOT(ISBLANK(INDEX('glossaryterms-export'!H:H,_xlpm.rowNum))),ISBLANK(INDEX('glossaryterms-export'!I:I,_xlpm.rowNum))),"Ready to Fix",""))</f>
        <v/>
      </c>
    </row>
    <row r="3093" spans="6:6">
      <c r="F3093" s="1" t="str" cm="1">
        <f t="array" ref="F3093">_xlfn.LET(_xlpm.rowNum,MATCH(E3093,'glossaryterms-export'!C:C,0),
IF(AND(NOT(ISBLANK(INDEX('glossaryterms-export'!H:H,_xlpm.rowNum))),ISBLANK(INDEX('glossaryterms-export'!I:I,_xlpm.rowNum))),"Ready to Fix",""))</f>
        <v/>
      </c>
    </row>
    <row r="3094" spans="6:6">
      <c r="F3094" s="1" t="str" cm="1">
        <f t="array" ref="F3094">_xlfn.LET(_xlpm.rowNum,MATCH(E3094,'glossaryterms-export'!C:C,0),
IF(AND(NOT(ISBLANK(INDEX('glossaryterms-export'!H:H,_xlpm.rowNum))),ISBLANK(INDEX('glossaryterms-export'!I:I,_xlpm.rowNum))),"Ready to Fix",""))</f>
        <v/>
      </c>
    </row>
    <row r="3095" spans="6:6">
      <c r="F3095" s="1" t="str" cm="1">
        <f t="array" ref="F3095">_xlfn.LET(_xlpm.rowNum,MATCH(E3095,'glossaryterms-export'!C:C,0),
IF(AND(NOT(ISBLANK(INDEX('glossaryterms-export'!H:H,_xlpm.rowNum))),ISBLANK(INDEX('glossaryterms-export'!I:I,_xlpm.rowNum))),"Ready to Fix",""))</f>
        <v/>
      </c>
    </row>
    <row r="3096" spans="6:6">
      <c r="F3096" s="1" t="str" cm="1">
        <f t="array" ref="F3096">_xlfn.LET(_xlpm.rowNum,MATCH(E3096,'glossaryterms-export'!C:C,0),
IF(AND(NOT(ISBLANK(INDEX('glossaryterms-export'!H:H,_xlpm.rowNum))),ISBLANK(INDEX('glossaryterms-export'!I:I,_xlpm.rowNum))),"Ready to Fix",""))</f>
        <v/>
      </c>
    </row>
    <row r="3097" spans="6:6">
      <c r="F3097" s="1" t="str" cm="1">
        <f t="array" ref="F3097">_xlfn.LET(_xlpm.rowNum,MATCH(E3097,'glossaryterms-export'!C:C,0),
IF(AND(NOT(ISBLANK(INDEX('glossaryterms-export'!H:H,_xlpm.rowNum))),ISBLANK(INDEX('glossaryterms-export'!I:I,_xlpm.rowNum))),"Ready to Fix",""))</f>
        <v/>
      </c>
    </row>
    <row r="3098" spans="6:6">
      <c r="F3098" s="1" t="str" cm="1">
        <f t="array" ref="F3098">_xlfn.LET(_xlpm.rowNum,MATCH(E3098,'glossaryterms-export'!C:C,0),
IF(AND(NOT(ISBLANK(INDEX('glossaryterms-export'!H:H,_xlpm.rowNum))),ISBLANK(INDEX('glossaryterms-export'!I:I,_xlpm.rowNum))),"Ready to Fix",""))</f>
        <v/>
      </c>
    </row>
    <row r="3099" spans="6:6">
      <c r="F3099" s="1" t="str" cm="1">
        <f t="array" ref="F3099">_xlfn.LET(_xlpm.rowNum,MATCH(E3099,'glossaryterms-export'!C:C,0),
IF(AND(NOT(ISBLANK(INDEX('glossaryterms-export'!H:H,_xlpm.rowNum))),ISBLANK(INDEX('glossaryterms-export'!I:I,_xlpm.rowNum))),"Ready to Fix",""))</f>
        <v/>
      </c>
    </row>
    <row r="3100" spans="6:6">
      <c r="F3100" s="1" t="str" cm="1">
        <f t="array" ref="F3100">_xlfn.LET(_xlpm.rowNum,MATCH(E3100,'glossaryterms-export'!C:C,0),
IF(AND(NOT(ISBLANK(INDEX('glossaryterms-export'!H:H,_xlpm.rowNum))),ISBLANK(INDEX('glossaryterms-export'!I:I,_xlpm.rowNum))),"Ready to Fix",""))</f>
        <v/>
      </c>
    </row>
    <row r="3101" spans="6:6">
      <c r="F3101" s="1" t="str" cm="1">
        <f t="array" ref="F3101">_xlfn.LET(_xlpm.rowNum,MATCH(E3101,'glossaryterms-export'!C:C,0),
IF(AND(NOT(ISBLANK(INDEX('glossaryterms-export'!H:H,_xlpm.rowNum))),ISBLANK(INDEX('glossaryterms-export'!I:I,_xlpm.rowNum))),"Ready to Fix",""))</f>
        <v/>
      </c>
    </row>
    <row r="3102" spans="6:6">
      <c r="F3102" s="1" t="str" cm="1">
        <f t="array" ref="F3102">_xlfn.LET(_xlpm.rowNum,MATCH(E3102,'glossaryterms-export'!C:C,0),
IF(AND(NOT(ISBLANK(INDEX('glossaryterms-export'!H:H,_xlpm.rowNum))),ISBLANK(INDEX('glossaryterms-export'!I:I,_xlpm.rowNum))),"Ready to Fix",""))</f>
        <v/>
      </c>
    </row>
    <row r="3103" spans="6:6">
      <c r="F3103" s="1" t="str" cm="1">
        <f t="array" ref="F3103">_xlfn.LET(_xlpm.rowNum,MATCH(E3103,'glossaryterms-export'!C:C,0),
IF(AND(NOT(ISBLANK(INDEX('glossaryterms-export'!H:H,_xlpm.rowNum))),ISBLANK(INDEX('glossaryterms-export'!I:I,_xlpm.rowNum))),"Ready to Fix",""))</f>
        <v/>
      </c>
    </row>
    <row r="3104" spans="6:6">
      <c r="F3104" s="1" t="str" cm="1">
        <f t="array" ref="F3104">_xlfn.LET(_xlpm.rowNum,MATCH(E3104,'glossaryterms-export'!C:C,0),
IF(AND(NOT(ISBLANK(INDEX('glossaryterms-export'!H:H,_xlpm.rowNum))),ISBLANK(INDEX('glossaryterms-export'!I:I,_xlpm.rowNum))),"Ready to Fix",""))</f>
        <v/>
      </c>
    </row>
    <row r="3105" spans="6:6">
      <c r="F3105" s="1" t="str" cm="1">
        <f t="array" ref="F3105">_xlfn.LET(_xlpm.rowNum,MATCH(E3105,'glossaryterms-export'!C:C,0),
IF(AND(NOT(ISBLANK(INDEX('glossaryterms-export'!H:H,_xlpm.rowNum))),ISBLANK(INDEX('glossaryterms-export'!I:I,_xlpm.rowNum))),"Ready to Fix",""))</f>
        <v/>
      </c>
    </row>
    <row r="3106" spans="6:6">
      <c r="F3106" s="1" t="str" cm="1">
        <f t="array" ref="F3106">_xlfn.LET(_xlpm.rowNum,MATCH(E3106,'glossaryterms-export'!C:C,0),
IF(AND(NOT(ISBLANK(INDEX('glossaryterms-export'!H:H,_xlpm.rowNum))),ISBLANK(INDEX('glossaryterms-export'!I:I,_xlpm.rowNum))),"Ready to Fix",""))</f>
        <v/>
      </c>
    </row>
    <row r="3107" spans="6:6">
      <c r="F3107" s="1" t="str" cm="1">
        <f t="array" ref="F3107">_xlfn.LET(_xlpm.rowNum,MATCH(E3107,'glossaryterms-export'!C:C,0),
IF(AND(NOT(ISBLANK(INDEX('glossaryterms-export'!H:H,_xlpm.rowNum))),ISBLANK(INDEX('glossaryterms-export'!I:I,_xlpm.rowNum))),"Ready to Fix",""))</f>
        <v/>
      </c>
    </row>
    <row r="3108" spans="6:6">
      <c r="F3108" s="1" t="str" cm="1">
        <f t="array" ref="F3108">_xlfn.LET(_xlpm.rowNum,MATCH(E3108,'glossaryterms-export'!C:C,0),
IF(AND(NOT(ISBLANK(INDEX('glossaryterms-export'!H:H,_xlpm.rowNum))),ISBLANK(INDEX('glossaryterms-export'!I:I,_xlpm.rowNum))),"Ready to Fix",""))</f>
        <v/>
      </c>
    </row>
    <row r="3109" spans="6:6">
      <c r="F3109" s="1" t="str" cm="1">
        <f t="array" ref="F3109">_xlfn.LET(_xlpm.rowNum,MATCH(E3109,'glossaryterms-export'!C:C,0),
IF(AND(NOT(ISBLANK(INDEX('glossaryterms-export'!H:H,_xlpm.rowNum))),ISBLANK(INDEX('glossaryterms-export'!I:I,_xlpm.rowNum))),"Ready to Fix",""))</f>
        <v/>
      </c>
    </row>
    <row r="3110" spans="6:6">
      <c r="F3110" s="1" t="str" cm="1">
        <f t="array" ref="F3110">_xlfn.LET(_xlpm.rowNum,MATCH(E3110,'glossaryterms-export'!C:C,0),
IF(AND(NOT(ISBLANK(INDEX('glossaryterms-export'!H:H,_xlpm.rowNum))),ISBLANK(INDEX('glossaryterms-export'!I:I,_xlpm.rowNum))),"Ready to Fix",""))</f>
        <v/>
      </c>
    </row>
    <row r="3111" spans="6:6">
      <c r="F3111" s="1" t="str" cm="1">
        <f t="array" ref="F3111">_xlfn.LET(_xlpm.rowNum,MATCH(E3111,'glossaryterms-export'!C:C,0),
IF(AND(NOT(ISBLANK(INDEX('glossaryterms-export'!H:H,_xlpm.rowNum))),ISBLANK(INDEX('glossaryterms-export'!I:I,_xlpm.rowNum))),"Ready to Fix",""))</f>
        <v/>
      </c>
    </row>
    <row r="3112" spans="6:6">
      <c r="F3112" s="1" t="str" cm="1">
        <f t="array" ref="F3112">_xlfn.LET(_xlpm.rowNum,MATCH(E3112,'glossaryterms-export'!C:C,0),
IF(AND(NOT(ISBLANK(INDEX('glossaryterms-export'!H:H,_xlpm.rowNum))),ISBLANK(INDEX('glossaryterms-export'!I:I,_xlpm.rowNum))),"Ready to Fix",""))</f>
        <v/>
      </c>
    </row>
    <row r="3113" spans="6:6">
      <c r="F3113" s="1" t="str" cm="1">
        <f t="array" ref="F3113">_xlfn.LET(_xlpm.rowNum,MATCH(E3113,'glossaryterms-export'!C:C,0),
IF(AND(NOT(ISBLANK(INDEX('glossaryterms-export'!H:H,_xlpm.rowNum))),ISBLANK(INDEX('glossaryterms-export'!I:I,_xlpm.rowNum))),"Ready to Fix",""))</f>
        <v/>
      </c>
    </row>
    <row r="3114" spans="6:6">
      <c r="F3114" s="1" t="str" cm="1">
        <f t="array" ref="F3114">_xlfn.LET(_xlpm.rowNum,MATCH(E3114,'glossaryterms-export'!C:C,0),
IF(AND(NOT(ISBLANK(INDEX('glossaryterms-export'!H:H,_xlpm.rowNum))),ISBLANK(INDEX('glossaryterms-export'!I:I,_xlpm.rowNum))),"Ready to Fix",""))</f>
        <v/>
      </c>
    </row>
    <row r="3115" spans="6:6">
      <c r="F3115" s="1" t="str" cm="1">
        <f t="array" ref="F3115">_xlfn.LET(_xlpm.rowNum,MATCH(E3115,'glossaryterms-export'!C:C,0),
IF(AND(NOT(ISBLANK(INDEX('glossaryterms-export'!H:H,_xlpm.rowNum))),ISBLANK(INDEX('glossaryterms-export'!I:I,_xlpm.rowNum))),"Ready to Fix",""))</f>
        <v/>
      </c>
    </row>
    <row r="3116" spans="6:6">
      <c r="F3116" s="1" t="str" cm="1">
        <f t="array" ref="F3116">_xlfn.LET(_xlpm.rowNum,MATCH(E3116,'glossaryterms-export'!C:C,0),
IF(AND(NOT(ISBLANK(INDEX('glossaryterms-export'!H:H,_xlpm.rowNum))),ISBLANK(INDEX('glossaryterms-export'!I:I,_xlpm.rowNum))),"Ready to Fix",""))</f>
        <v/>
      </c>
    </row>
    <row r="3117" spans="6:6">
      <c r="F3117" s="1" t="str" cm="1">
        <f t="array" ref="F3117">_xlfn.LET(_xlpm.rowNum,MATCH(E3117,'glossaryterms-export'!C:C,0),
IF(AND(NOT(ISBLANK(INDEX('glossaryterms-export'!H:H,_xlpm.rowNum))),ISBLANK(INDEX('glossaryterms-export'!I:I,_xlpm.rowNum))),"Ready to Fix",""))</f>
        <v/>
      </c>
    </row>
    <row r="3118" spans="6:6">
      <c r="F3118" s="1" t="str" cm="1">
        <f t="array" ref="F3118">_xlfn.LET(_xlpm.rowNum,MATCH(E3118,'glossaryterms-export'!C:C,0),
IF(AND(NOT(ISBLANK(INDEX('glossaryterms-export'!H:H,_xlpm.rowNum))),ISBLANK(INDEX('glossaryterms-export'!I:I,_xlpm.rowNum))),"Ready to Fix",""))</f>
        <v/>
      </c>
    </row>
    <row r="3119" spans="6:6">
      <c r="F3119" s="1" t="str" cm="1">
        <f t="array" ref="F3119">_xlfn.LET(_xlpm.rowNum,MATCH(E3119,'glossaryterms-export'!C:C,0),
IF(AND(NOT(ISBLANK(INDEX('glossaryterms-export'!H:H,_xlpm.rowNum))),ISBLANK(INDEX('glossaryterms-export'!I:I,_xlpm.rowNum))),"Ready to Fix",""))</f>
        <v/>
      </c>
    </row>
    <row r="3120" spans="6:6">
      <c r="F3120" s="1" t="str" cm="1">
        <f t="array" ref="F3120">_xlfn.LET(_xlpm.rowNum,MATCH(E3120,'glossaryterms-export'!C:C,0),
IF(AND(NOT(ISBLANK(INDEX('glossaryterms-export'!H:H,_xlpm.rowNum))),ISBLANK(INDEX('glossaryterms-export'!I:I,_xlpm.rowNum))),"Ready to Fix",""))</f>
        <v/>
      </c>
    </row>
    <row r="3121" spans="6:6">
      <c r="F3121" s="1" t="str" cm="1">
        <f t="array" ref="F3121">_xlfn.LET(_xlpm.rowNum,MATCH(E3121,'glossaryterms-export'!C:C,0),
IF(AND(NOT(ISBLANK(INDEX('glossaryterms-export'!H:H,_xlpm.rowNum))),ISBLANK(INDEX('glossaryterms-export'!I:I,_xlpm.rowNum))),"Ready to Fix",""))</f>
        <v/>
      </c>
    </row>
    <row r="3122" spans="6:6">
      <c r="F3122" s="1" t="str" cm="1">
        <f t="array" ref="F3122">_xlfn.LET(_xlpm.rowNum,MATCH(E3122,'glossaryterms-export'!C:C,0),
IF(AND(NOT(ISBLANK(INDEX('glossaryterms-export'!H:H,_xlpm.rowNum))),ISBLANK(INDEX('glossaryterms-export'!I:I,_xlpm.rowNum))),"Ready to Fix",""))</f>
        <v/>
      </c>
    </row>
    <row r="3123" spans="6:6">
      <c r="F3123" s="1" t="str" cm="1">
        <f t="array" ref="F3123">_xlfn.LET(_xlpm.rowNum,MATCH(E3123,'glossaryterms-export'!C:C,0),
IF(AND(NOT(ISBLANK(INDEX('glossaryterms-export'!H:H,_xlpm.rowNum))),ISBLANK(INDEX('glossaryterms-export'!I:I,_xlpm.rowNum))),"Ready to Fix",""))</f>
        <v/>
      </c>
    </row>
    <row r="3124" spans="6:6">
      <c r="F3124" s="1" t="str" cm="1">
        <f t="array" ref="F3124">_xlfn.LET(_xlpm.rowNum,MATCH(E3124,'glossaryterms-export'!C:C,0),
IF(AND(NOT(ISBLANK(INDEX('glossaryterms-export'!H:H,_xlpm.rowNum))),ISBLANK(INDEX('glossaryterms-export'!I:I,_xlpm.rowNum))),"Ready to Fix",""))</f>
        <v/>
      </c>
    </row>
    <row r="3125" spans="6:6">
      <c r="F3125" s="1" t="str" cm="1">
        <f t="array" ref="F3125">_xlfn.LET(_xlpm.rowNum,MATCH(E3125,'glossaryterms-export'!C:C,0),
IF(AND(NOT(ISBLANK(INDEX('glossaryterms-export'!H:H,_xlpm.rowNum))),ISBLANK(INDEX('glossaryterms-export'!I:I,_xlpm.rowNum))),"Ready to Fix",""))</f>
        <v/>
      </c>
    </row>
    <row r="3126" spans="6:6">
      <c r="F3126" s="1" t="str" cm="1">
        <f t="array" ref="F3126">_xlfn.LET(_xlpm.rowNum,MATCH(E3126,'glossaryterms-export'!C:C,0),
IF(AND(NOT(ISBLANK(INDEX('glossaryterms-export'!H:H,_xlpm.rowNum))),ISBLANK(INDEX('glossaryterms-export'!I:I,_xlpm.rowNum))),"Ready to Fix",""))</f>
        <v/>
      </c>
    </row>
    <row r="3127" spans="6:6">
      <c r="F3127" s="1" t="str" cm="1">
        <f t="array" ref="F3127">_xlfn.LET(_xlpm.rowNum,MATCH(E3127,'glossaryterms-export'!C:C,0),
IF(AND(NOT(ISBLANK(INDEX('glossaryterms-export'!H:H,_xlpm.rowNum))),ISBLANK(INDEX('glossaryterms-export'!I:I,_xlpm.rowNum))),"Ready to Fix",""))</f>
        <v/>
      </c>
    </row>
    <row r="3128" spans="6:6">
      <c r="F3128" s="1" t="str" cm="1">
        <f t="array" ref="F3128">_xlfn.LET(_xlpm.rowNum,MATCH(E3128,'glossaryterms-export'!C:C,0),
IF(AND(NOT(ISBLANK(INDEX('glossaryterms-export'!H:H,_xlpm.rowNum))),ISBLANK(INDEX('glossaryterms-export'!I:I,_xlpm.rowNum))),"Ready to Fix",""))</f>
        <v/>
      </c>
    </row>
    <row r="3129" spans="6:6">
      <c r="F3129" s="1" t="str" cm="1">
        <f t="array" ref="F3129">_xlfn.LET(_xlpm.rowNum,MATCH(E3129,'glossaryterms-export'!C:C,0),
IF(AND(NOT(ISBLANK(INDEX('glossaryterms-export'!H:H,_xlpm.rowNum))),ISBLANK(INDEX('glossaryterms-export'!I:I,_xlpm.rowNum))),"Ready to Fix",""))</f>
        <v/>
      </c>
    </row>
    <row r="3130" spans="6:6">
      <c r="F3130" s="1" t="str" cm="1">
        <f t="array" ref="F3130">_xlfn.LET(_xlpm.rowNum,MATCH(E3130,'glossaryterms-export'!C:C,0),
IF(AND(NOT(ISBLANK(INDEX('glossaryterms-export'!H:H,_xlpm.rowNum))),ISBLANK(INDEX('glossaryterms-export'!I:I,_xlpm.rowNum))),"Ready to Fix",""))</f>
        <v/>
      </c>
    </row>
    <row r="3131" spans="6:6">
      <c r="F3131" s="1" t="str" cm="1">
        <f t="array" ref="F3131">_xlfn.LET(_xlpm.rowNum,MATCH(E3131,'glossaryterms-export'!C:C,0),
IF(AND(NOT(ISBLANK(INDEX('glossaryterms-export'!H:H,_xlpm.rowNum))),ISBLANK(INDEX('glossaryterms-export'!I:I,_xlpm.rowNum))),"Ready to Fix",""))</f>
        <v/>
      </c>
    </row>
    <row r="3132" spans="6:6">
      <c r="F3132" s="1" t="str" cm="1">
        <f t="array" ref="F3132">_xlfn.LET(_xlpm.rowNum,MATCH(E3132,'glossaryterms-export'!C:C,0),
IF(AND(NOT(ISBLANK(INDEX('glossaryterms-export'!H:H,_xlpm.rowNum))),ISBLANK(INDEX('glossaryterms-export'!I:I,_xlpm.rowNum))),"Ready to Fix",""))</f>
        <v/>
      </c>
    </row>
    <row r="3133" spans="6:6">
      <c r="F3133" s="1" t="str" cm="1">
        <f t="array" ref="F3133">_xlfn.LET(_xlpm.rowNum,MATCH(E3133,'glossaryterms-export'!C:C,0),
IF(AND(NOT(ISBLANK(INDEX('glossaryterms-export'!H:H,_xlpm.rowNum))),ISBLANK(INDEX('glossaryterms-export'!I:I,_xlpm.rowNum))),"Ready to Fix",""))</f>
        <v/>
      </c>
    </row>
    <row r="3134" spans="6:6">
      <c r="F3134" s="1" t="str" cm="1">
        <f t="array" ref="F3134">_xlfn.LET(_xlpm.rowNum,MATCH(E3134,'glossaryterms-export'!C:C,0),
IF(AND(NOT(ISBLANK(INDEX('glossaryterms-export'!H:H,_xlpm.rowNum))),ISBLANK(INDEX('glossaryterms-export'!I:I,_xlpm.rowNum))),"Ready to Fix",""))</f>
        <v/>
      </c>
    </row>
    <row r="3135" spans="6:6">
      <c r="F3135" s="1" t="str" cm="1">
        <f t="array" ref="F3135">_xlfn.LET(_xlpm.rowNum,MATCH(E3135,'glossaryterms-export'!C:C,0),
IF(AND(NOT(ISBLANK(INDEX('glossaryterms-export'!H:H,_xlpm.rowNum))),ISBLANK(INDEX('glossaryterms-export'!I:I,_xlpm.rowNum))),"Ready to Fix",""))</f>
        <v/>
      </c>
    </row>
    <row r="3136" spans="6:6">
      <c r="F3136" s="1" t="str" cm="1">
        <f t="array" ref="F3136">_xlfn.LET(_xlpm.rowNum,MATCH(E3136,'glossaryterms-export'!C:C,0),
IF(AND(NOT(ISBLANK(INDEX('glossaryterms-export'!H:H,_xlpm.rowNum))),ISBLANK(INDEX('glossaryterms-export'!I:I,_xlpm.rowNum))),"Ready to Fix",""))</f>
        <v/>
      </c>
    </row>
    <row r="3137" spans="6:6">
      <c r="F3137" s="1" t="str" cm="1">
        <f t="array" ref="F3137">_xlfn.LET(_xlpm.rowNum,MATCH(E3137,'glossaryterms-export'!C:C,0),
IF(AND(NOT(ISBLANK(INDEX('glossaryterms-export'!H:H,_xlpm.rowNum))),ISBLANK(INDEX('glossaryterms-export'!I:I,_xlpm.rowNum))),"Ready to Fix",""))</f>
        <v/>
      </c>
    </row>
    <row r="3138" spans="6:6">
      <c r="F3138" s="1" t="str" cm="1">
        <f t="array" ref="F3138">_xlfn.LET(_xlpm.rowNum,MATCH(E3138,'glossaryterms-export'!C:C,0),
IF(AND(NOT(ISBLANK(INDEX('glossaryterms-export'!H:H,_xlpm.rowNum))),ISBLANK(INDEX('glossaryterms-export'!I:I,_xlpm.rowNum))),"Ready to Fix",""))</f>
        <v/>
      </c>
    </row>
    <row r="3139" spans="6:6">
      <c r="F3139" s="1" t="str" cm="1">
        <f t="array" ref="F3139">_xlfn.LET(_xlpm.rowNum,MATCH(E3139,'glossaryterms-export'!C:C,0),
IF(AND(NOT(ISBLANK(INDEX('glossaryterms-export'!H:H,_xlpm.rowNum))),ISBLANK(INDEX('glossaryterms-export'!I:I,_xlpm.rowNum))),"Ready to Fix",""))</f>
        <v/>
      </c>
    </row>
    <row r="3140" spans="6:6">
      <c r="F3140" s="1" t="str" cm="1">
        <f t="array" ref="F3140">_xlfn.LET(_xlpm.rowNum,MATCH(E3140,'glossaryterms-export'!C:C,0),
IF(AND(NOT(ISBLANK(INDEX('glossaryterms-export'!H:H,_xlpm.rowNum))),ISBLANK(INDEX('glossaryterms-export'!I:I,_xlpm.rowNum))),"Ready to Fix",""))</f>
        <v/>
      </c>
    </row>
    <row r="3141" spans="6:6">
      <c r="F3141" s="1" t="str" cm="1">
        <f t="array" ref="F3141">_xlfn.LET(_xlpm.rowNum,MATCH(E3141,'glossaryterms-export'!C:C,0),
IF(AND(NOT(ISBLANK(INDEX('glossaryterms-export'!H:H,_xlpm.rowNum))),ISBLANK(INDEX('glossaryterms-export'!I:I,_xlpm.rowNum))),"Ready to Fix",""))</f>
        <v/>
      </c>
    </row>
    <row r="3142" spans="6:6">
      <c r="F3142" s="1" t="str" cm="1">
        <f t="array" ref="F3142">_xlfn.LET(_xlpm.rowNum,MATCH(E3142,'glossaryterms-export'!C:C,0),
IF(AND(NOT(ISBLANK(INDEX('glossaryterms-export'!H:H,_xlpm.rowNum))),ISBLANK(INDEX('glossaryterms-export'!I:I,_xlpm.rowNum))),"Ready to Fix",""))</f>
        <v/>
      </c>
    </row>
    <row r="3143" spans="6:6">
      <c r="F3143" s="1" t="str" cm="1">
        <f t="array" ref="F3143">_xlfn.LET(_xlpm.rowNum,MATCH(E3143,'glossaryterms-export'!C:C,0),
IF(AND(NOT(ISBLANK(INDEX('glossaryterms-export'!H:H,_xlpm.rowNum))),ISBLANK(INDEX('glossaryterms-export'!I:I,_xlpm.rowNum))),"Ready to Fix",""))</f>
        <v/>
      </c>
    </row>
    <row r="3144" spans="6:6">
      <c r="F3144" s="1" t="str" cm="1">
        <f t="array" ref="F3144">_xlfn.LET(_xlpm.rowNum,MATCH(E3144,'glossaryterms-export'!C:C,0),
IF(AND(NOT(ISBLANK(INDEX('glossaryterms-export'!H:H,_xlpm.rowNum))),ISBLANK(INDEX('glossaryterms-export'!I:I,_xlpm.rowNum))),"Ready to Fix",""))</f>
        <v/>
      </c>
    </row>
    <row r="3145" spans="6:6">
      <c r="F3145" s="1" t="str" cm="1">
        <f t="array" ref="F3145">_xlfn.LET(_xlpm.rowNum,MATCH(E3145,'glossaryterms-export'!C:C,0),
IF(AND(NOT(ISBLANK(INDEX('glossaryterms-export'!H:H,_xlpm.rowNum))),ISBLANK(INDEX('glossaryterms-export'!I:I,_xlpm.rowNum))),"Ready to Fix",""))</f>
        <v/>
      </c>
    </row>
    <row r="3146" spans="6:6">
      <c r="F3146" s="1" t="str" cm="1">
        <f t="array" ref="F3146">_xlfn.LET(_xlpm.rowNum,MATCH(E3146,'glossaryterms-export'!C:C,0),
IF(AND(NOT(ISBLANK(INDEX('glossaryterms-export'!H:H,_xlpm.rowNum))),ISBLANK(INDEX('glossaryterms-export'!I:I,_xlpm.rowNum))),"Ready to Fix",""))</f>
        <v/>
      </c>
    </row>
    <row r="3147" spans="6:6">
      <c r="F3147" s="1" t="str" cm="1">
        <f t="array" ref="F3147">_xlfn.LET(_xlpm.rowNum,MATCH(E3147,'glossaryterms-export'!C:C,0),
IF(AND(NOT(ISBLANK(INDEX('glossaryterms-export'!H:H,_xlpm.rowNum))),ISBLANK(INDEX('glossaryterms-export'!I:I,_xlpm.rowNum))),"Ready to Fix",""))</f>
        <v/>
      </c>
    </row>
    <row r="3148" spans="6:6">
      <c r="F3148" s="1" t="str" cm="1">
        <f t="array" ref="F3148">_xlfn.LET(_xlpm.rowNum,MATCH(E3148,'glossaryterms-export'!C:C,0),
IF(AND(NOT(ISBLANK(INDEX('glossaryterms-export'!H:H,_xlpm.rowNum))),ISBLANK(INDEX('glossaryterms-export'!I:I,_xlpm.rowNum))),"Ready to Fix",""))</f>
        <v/>
      </c>
    </row>
    <row r="3149" spans="6:6">
      <c r="F3149" s="1" t="str" cm="1">
        <f t="array" ref="F3149">_xlfn.LET(_xlpm.rowNum,MATCH(E3149,'glossaryterms-export'!C:C,0),
IF(AND(NOT(ISBLANK(INDEX('glossaryterms-export'!H:H,_xlpm.rowNum))),ISBLANK(INDEX('glossaryterms-export'!I:I,_xlpm.rowNum))),"Ready to Fix",""))</f>
        <v/>
      </c>
    </row>
    <row r="3150" spans="6:6">
      <c r="F3150" s="1" t="str" cm="1">
        <f t="array" ref="F3150">_xlfn.LET(_xlpm.rowNum,MATCH(E3150,'glossaryterms-export'!C:C,0),
IF(AND(NOT(ISBLANK(INDEX('glossaryterms-export'!H:H,_xlpm.rowNum))),ISBLANK(INDEX('glossaryterms-export'!I:I,_xlpm.rowNum))),"Ready to Fix",""))</f>
        <v/>
      </c>
    </row>
    <row r="3151" spans="6:6">
      <c r="F3151" s="1" t="str" cm="1">
        <f t="array" ref="F3151">_xlfn.LET(_xlpm.rowNum,MATCH(E3151,'glossaryterms-export'!C:C,0),
IF(AND(NOT(ISBLANK(INDEX('glossaryterms-export'!H:H,_xlpm.rowNum))),ISBLANK(INDEX('glossaryterms-export'!I:I,_xlpm.rowNum))),"Ready to Fix",""))</f>
        <v/>
      </c>
    </row>
    <row r="3152" spans="6:6">
      <c r="F3152" s="1" t="str" cm="1">
        <f t="array" ref="F3152">_xlfn.LET(_xlpm.rowNum,MATCH(E3152,'glossaryterms-export'!C:C,0),
IF(AND(NOT(ISBLANK(INDEX('glossaryterms-export'!H:H,_xlpm.rowNum))),ISBLANK(INDEX('glossaryterms-export'!I:I,_xlpm.rowNum))),"Ready to Fix",""))</f>
        <v/>
      </c>
    </row>
    <row r="3153" spans="6:6">
      <c r="F3153" s="1" t="str" cm="1">
        <f t="array" ref="F3153">_xlfn.LET(_xlpm.rowNum,MATCH(E3153,'glossaryterms-export'!C:C,0),
IF(AND(NOT(ISBLANK(INDEX('glossaryterms-export'!H:H,_xlpm.rowNum))),ISBLANK(INDEX('glossaryterms-export'!I:I,_xlpm.rowNum))),"Ready to Fix",""))</f>
        <v/>
      </c>
    </row>
    <row r="3154" spans="6:6">
      <c r="F3154" s="1" t="str" cm="1">
        <f t="array" ref="F3154">_xlfn.LET(_xlpm.rowNum,MATCH(E3154,'glossaryterms-export'!C:C,0),
IF(AND(NOT(ISBLANK(INDEX('glossaryterms-export'!H:H,_xlpm.rowNum))),ISBLANK(INDEX('glossaryterms-export'!I:I,_xlpm.rowNum))),"Ready to Fix",""))</f>
        <v/>
      </c>
    </row>
    <row r="3155" spans="6:6">
      <c r="F3155" s="1" t="str" cm="1">
        <f t="array" ref="F3155">_xlfn.LET(_xlpm.rowNum,MATCH(E3155,'glossaryterms-export'!C:C,0),
IF(AND(NOT(ISBLANK(INDEX('glossaryterms-export'!H:H,_xlpm.rowNum))),ISBLANK(INDEX('glossaryterms-export'!I:I,_xlpm.rowNum))),"Ready to Fix",""))</f>
        <v/>
      </c>
    </row>
    <row r="3156" spans="6:6">
      <c r="F3156" s="1" t="str" cm="1">
        <f t="array" ref="F3156">_xlfn.LET(_xlpm.rowNum,MATCH(E3156,'glossaryterms-export'!C:C,0),
IF(AND(NOT(ISBLANK(INDEX('glossaryterms-export'!H:H,_xlpm.rowNum))),ISBLANK(INDEX('glossaryterms-export'!I:I,_xlpm.rowNum))),"Ready to Fix",""))</f>
        <v/>
      </c>
    </row>
    <row r="3157" spans="6:6">
      <c r="F3157" s="1" t="str" cm="1">
        <f t="array" ref="F3157">_xlfn.LET(_xlpm.rowNum,MATCH(E3157,'glossaryterms-export'!C:C,0),
IF(AND(NOT(ISBLANK(INDEX('glossaryterms-export'!H:H,_xlpm.rowNum))),ISBLANK(INDEX('glossaryterms-export'!I:I,_xlpm.rowNum))),"Ready to Fix",""))</f>
        <v/>
      </c>
    </row>
    <row r="3158" spans="6:6">
      <c r="F3158" s="1" t="str" cm="1">
        <f t="array" ref="F3158">_xlfn.LET(_xlpm.rowNum,MATCH(E3158,'glossaryterms-export'!C:C,0),
IF(AND(NOT(ISBLANK(INDEX('glossaryterms-export'!H:H,_xlpm.rowNum))),ISBLANK(INDEX('glossaryterms-export'!I:I,_xlpm.rowNum))),"Ready to Fix",""))</f>
        <v/>
      </c>
    </row>
    <row r="3159" spans="6:6">
      <c r="F3159" s="1" t="str" cm="1">
        <f t="array" ref="F3159">_xlfn.LET(_xlpm.rowNum,MATCH(E3159,'glossaryterms-export'!C:C,0),
IF(AND(NOT(ISBLANK(INDEX('glossaryterms-export'!H:H,_xlpm.rowNum))),ISBLANK(INDEX('glossaryterms-export'!I:I,_xlpm.rowNum))),"Ready to Fix",""))</f>
        <v/>
      </c>
    </row>
    <row r="3160" spans="6:6">
      <c r="F3160" s="1" t="str" cm="1">
        <f t="array" ref="F3160">_xlfn.LET(_xlpm.rowNum,MATCH(E3160,'glossaryterms-export'!C:C,0),
IF(AND(NOT(ISBLANK(INDEX('glossaryterms-export'!H:H,_xlpm.rowNum))),ISBLANK(INDEX('glossaryterms-export'!I:I,_xlpm.rowNum))),"Ready to Fix",""))</f>
        <v/>
      </c>
    </row>
    <row r="3161" spans="6:6">
      <c r="F3161" s="1" t="str" cm="1">
        <f t="array" ref="F3161">_xlfn.LET(_xlpm.rowNum,MATCH(E3161,'glossaryterms-export'!C:C,0),
IF(AND(NOT(ISBLANK(INDEX('glossaryterms-export'!H:H,_xlpm.rowNum))),ISBLANK(INDEX('glossaryterms-export'!I:I,_xlpm.rowNum))),"Ready to Fix",""))</f>
        <v/>
      </c>
    </row>
    <row r="3162" spans="6:6">
      <c r="F3162" s="1" t="str" cm="1">
        <f t="array" ref="F3162">_xlfn.LET(_xlpm.rowNum,MATCH(E3162,'glossaryterms-export'!C:C,0),
IF(AND(NOT(ISBLANK(INDEX('glossaryterms-export'!H:H,_xlpm.rowNum))),ISBLANK(INDEX('glossaryterms-export'!I:I,_xlpm.rowNum))),"Ready to Fix",""))</f>
        <v/>
      </c>
    </row>
    <row r="3163" spans="6:6">
      <c r="F3163" s="1" t="str" cm="1">
        <f t="array" ref="F3163">_xlfn.LET(_xlpm.rowNum,MATCH(E3163,'glossaryterms-export'!C:C,0),
IF(AND(NOT(ISBLANK(INDEX('glossaryterms-export'!H:H,_xlpm.rowNum))),ISBLANK(INDEX('glossaryterms-export'!I:I,_xlpm.rowNum))),"Ready to Fix",""))</f>
        <v/>
      </c>
    </row>
    <row r="3164" spans="6:6">
      <c r="F3164" s="1" t="str" cm="1">
        <f t="array" ref="F3164">_xlfn.LET(_xlpm.rowNum,MATCH(E3164,'glossaryterms-export'!C:C,0),
IF(AND(NOT(ISBLANK(INDEX('glossaryterms-export'!H:H,_xlpm.rowNum))),ISBLANK(INDEX('glossaryterms-export'!I:I,_xlpm.rowNum))),"Ready to Fix",""))</f>
        <v/>
      </c>
    </row>
    <row r="3165" spans="6:6">
      <c r="F3165" s="1" t="str" cm="1">
        <f t="array" ref="F3165">_xlfn.LET(_xlpm.rowNum,MATCH(E3165,'glossaryterms-export'!C:C,0),
IF(AND(NOT(ISBLANK(INDEX('glossaryterms-export'!H:H,_xlpm.rowNum))),ISBLANK(INDEX('glossaryterms-export'!I:I,_xlpm.rowNum))),"Ready to Fix",""))</f>
        <v/>
      </c>
    </row>
    <row r="3166" spans="6:6">
      <c r="F3166" s="1" t="str" cm="1">
        <f t="array" ref="F3166">_xlfn.LET(_xlpm.rowNum,MATCH(E3166,'glossaryterms-export'!C:C,0),
IF(AND(NOT(ISBLANK(INDEX('glossaryterms-export'!H:H,_xlpm.rowNum))),ISBLANK(INDEX('glossaryterms-export'!I:I,_xlpm.rowNum))),"Ready to Fix",""))</f>
        <v/>
      </c>
    </row>
    <row r="3167" spans="6:6">
      <c r="F3167" s="1" t="str" cm="1">
        <f t="array" ref="F3167">_xlfn.LET(_xlpm.rowNum,MATCH(E3167,'glossaryterms-export'!C:C,0),
IF(AND(NOT(ISBLANK(INDEX('glossaryterms-export'!H:H,_xlpm.rowNum))),ISBLANK(INDEX('glossaryterms-export'!I:I,_xlpm.rowNum))),"Ready to Fix",""))</f>
        <v/>
      </c>
    </row>
    <row r="3168" spans="6:6">
      <c r="F3168" s="1" t="str" cm="1">
        <f t="array" ref="F3168">_xlfn.LET(_xlpm.rowNum,MATCH(E3168,'glossaryterms-export'!C:C,0),
IF(AND(NOT(ISBLANK(INDEX('glossaryterms-export'!H:H,_xlpm.rowNum))),ISBLANK(INDEX('glossaryterms-export'!I:I,_xlpm.rowNum))),"Ready to Fix",""))</f>
        <v/>
      </c>
    </row>
    <row r="3169" spans="6:6">
      <c r="F3169" s="1" t="str" cm="1">
        <f t="array" ref="F3169">_xlfn.LET(_xlpm.rowNum,MATCH(E3169,'glossaryterms-export'!C:C,0),
IF(AND(NOT(ISBLANK(INDEX('glossaryterms-export'!H:H,_xlpm.rowNum))),ISBLANK(INDEX('glossaryterms-export'!I:I,_xlpm.rowNum))),"Ready to Fix",""))</f>
        <v/>
      </c>
    </row>
    <row r="3170" spans="6:6">
      <c r="F3170" s="1" t="str" cm="1">
        <f t="array" ref="F3170">_xlfn.LET(_xlpm.rowNum,MATCH(E3170,'glossaryterms-export'!C:C,0),
IF(AND(NOT(ISBLANK(INDEX('glossaryterms-export'!H:H,_xlpm.rowNum))),ISBLANK(INDEX('glossaryterms-export'!I:I,_xlpm.rowNum))),"Ready to Fix",""))</f>
        <v/>
      </c>
    </row>
    <row r="3171" spans="6:6">
      <c r="F3171" s="1" t="str" cm="1">
        <f t="array" ref="F3171">_xlfn.LET(_xlpm.rowNum,MATCH(E3171,'glossaryterms-export'!C:C,0),
IF(AND(NOT(ISBLANK(INDEX('glossaryterms-export'!H:H,_xlpm.rowNum))),ISBLANK(INDEX('glossaryterms-export'!I:I,_xlpm.rowNum))),"Ready to Fix",""))</f>
        <v/>
      </c>
    </row>
    <row r="3172" spans="6:6">
      <c r="F3172" s="1" t="str" cm="1">
        <f t="array" ref="F3172">_xlfn.LET(_xlpm.rowNum,MATCH(E3172,'glossaryterms-export'!C:C,0),
IF(AND(NOT(ISBLANK(INDEX('glossaryterms-export'!H:H,_xlpm.rowNum))),ISBLANK(INDEX('glossaryterms-export'!I:I,_xlpm.rowNum))),"Ready to Fix",""))</f>
        <v/>
      </c>
    </row>
    <row r="3173" spans="6:6">
      <c r="F3173" s="1" t="str" cm="1">
        <f t="array" ref="F3173">_xlfn.LET(_xlpm.rowNum,MATCH(E3173,'glossaryterms-export'!C:C,0),
IF(AND(NOT(ISBLANK(INDEX('glossaryterms-export'!H:H,_xlpm.rowNum))),ISBLANK(INDEX('glossaryterms-export'!I:I,_xlpm.rowNum))),"Ready to Fix",""))</f>
        <v/>
      </c>
    </row>
    <row r="3174" spans="6:6">
      <c r="F3174" s="1" t="str" cm="1">
        <f t="array" ref="F3174">_xlfn.LET(_xlpm.rowNum,MATCH(E3174,'glossaryterms-export'!C:C,0),
IF(AND(NOT(ISBLANK(INDEX('glossaryterms-export'!H:H,_xlpm.rowNum))),ISBLANK(INDEX('glossaryterms-export'!I:I,_xlpm.rowNum))),"Ready to Fix",""))</f>
        <v/>
      </c>
    </row>
    <row r="3175" spans="6:6">
      <c r="F3175" s="1" t="str" cm="1">
        <f t="array" ref="F3175">_xlfn.LET(_xlpm.rowNum,MATCH(E3175,'glossaryterms-export'!C:C,0),
IF(AND(NOT(ISBLANK(INDEX('glossaryterms-export'!H:H,_xlpm.rowNum))),ISBLANK(INDEX('glossaryterms-export'!I:I,_xlpm.rowNum))),"Ready to Fix",""))</f>
        <v/>
      </c>
    </row>
    <row r="3176" spans="6:6">
      <c r="F3176" s="1" t="str" cm="1">
        <f t="array" ref="F3176">_xlfn.LET(_xlpm.rowNum,MATCH(E3176,'glossaryterms-export'!C:C,0),
IF(AND(NOT(ISBLANK(INDEX('glossaryterms-export'!H:H,_xlpm.rowNum))),ISBLANK(INDEX('glossaryterms-export'!I:I,_xlpm.rowNum))),"Ready to Fix",""))</f>
        <v/>
      </c>
    </row>
    <row r="3177" spans="6:6">
      <c r="F3177" s="1" t="str" cm="1">
        <f t="array" ref="F3177">_xlfn.LET(_xlpm.rowNum,MATCH(E3177,'glossaryterms-export'!C:C,0),
IF(AND(NOT(ISBLANK(INDEX('glossaryterms-export'!H:H,_xlpm.rowNum))),ISBLANK(INDEX('glossaryterms-export'!I:I,_xlpm.rowNum))),"Ready to Fix",""))</f>
        <v/>
      </c>
    </row>
    <row r="3178" spans="6:6">
      <c r="F3178" s="1" t="str" cm="1">
        <f t="array" ref="F3178">_xlfn.LET(_xlpm.rowNum,MATCH(E3178,'glossaryterms-export'!C:C,0),
IF(AND(NOT(ISBLANK(INDEX('glossaryterms-export'!H:H,_xlpm.rowNum))),ISBLANK(INDEX('glossaryterms-export'!I:I,_xlpm.rowNum))),"Ready to Fix",""))</f>
        <v/>
      </c>
    </row>
    <row r="3179" spans="6:6">
      <c r="F3179" s="1" t="str" cm="1">
        <f t="array" ref="F3179">_xlfn.LET(_xlpm.rowNum,MATCH(E3179,'glossaryterms-export'!C:C,0),
IF(AND(NOT(ISBLANK(INDEX('glossaryterms-export'!H:H,_xlpm.rowNum))),ISBLANK(INDEX('glossaryterms-export'!I:I,_xlpm.rowNum))),"Ready to Fix",""))</f>
        <v/>
      </c>
    </row>
    <row r="3180" spans="6:6">
      <c r="F3180" s="1" t="str" cm="1">
        <f t="array" ref="F3180">_xlfn.LET(_xlpm.rowNum,MATCH(E3180,'glossaryterms-export'!C:C,0),
IF(AND(NOT(ISBLANK(INDEX('glossaryterms-export'!H:H,_xlpm.rowNum))),ISBLANK(INDEX('glossaryterms-export'!I:I,_xlpm.rowNum))),"Ready to Fix",""))</f>
        <v/>
      </c>
    </row>
    <row r="3181" spans="6:6">
      <c r="F3181" s="1" t="str" cm="1">
        <f t="array" ref="F3181">_xlfn.LET(_xlpm.rowNum,MATCH(E3181,'glossaryterms-export'!C:C,0),
IF(AND(NOT(ISBLANK(INDEX('glossaryterms-export'!H:H,_xlpm.rowNum))),ISBLANK(INDEX('glossaryterms-export'!I:I,_xlpm.rowNum))),"Ready to Fix",""))</f>
        <v/>
      </c>
    </row>
    <row r="3182" spans="6:6">
      <c r="F3182" s="1" t="str" cm="1">
        <f t="array" ref="F3182">_xlfn.LET(_xlpm.rowNum,MATCH(E3182,'glossaryterms-export'!C:C,0),
IF(AND(NOT(ISBLANK(INDEX('glossaryterms-export'!H:H,_xlpm.rowNum))),ISBLANK(INDEX('glossaryterms-export'!I:I,_xlpm.rowNum))),"Ready to Fix",""))</f>
        <v/>
      </c>
    </row>
    <row r="3183" spans="6:6">
      <c r="F3183" s="1" t="str" cm="1">
        <f t="array" ref="F3183">_xlfn.LET(_xlpm.rowNum,MATCH(E3183,'glossaryterms-export'!C:C,0),
IF(AND(NOT(ISBLANK(INDEX('glossaryterms-export'!H:H,_xlpm.rowNum))),ISBLANK(INDEX('glossaryterms-export'!I:I,_xlpm.rowNum))),"Ready to Fix",""))</f>
        <v/>
      </c>
    </row>
    <row r="3184" spans="6:6">
      <c r="F3184" s="1" t="str" cm="1">
        <f t="array" ref="F3184">_xlfn.LET(_xlpm.rowNum,MATCH(E3184,'glossaryterms-export'!C:C,0),
IF(AND(NOT(ISBLANK(INDEX('glossaryterms-export'!H:H,_xlpm.rowNum))),ISBLANK(INDEX('glossaryterms-export'!I:I,_xlpm.rowNum))),"Ready to Fix",""))</f>
        <v/>
      </c>
    </row>
    <row r="3185" spans="6:6">
      <c r="F3185" s="1" t="str" cm="1">
        <f t="array" ref="F3185">_xlfn.LET(_xlpm.rowNum,MATCH(E3185,'glossaryterms-export'!C:C,0),
IF(AND(NOT(ISBLANK(INDEX('glossaryterms-export'!H:H,_xlpm.rowNum))),ISBLANK(INDEX('glossaryterms-export'!I:I,_xlpm.rowNum))),"Ready to Fix",""))</f>
        <v/>
      </c>
    </row>
    <row r="3186" spans="6:6">
      <c r="F3186" s="1" t="str" cm="1">
        <f t="array" ref="F3186">_xlfn.LET(_xlpm.rowNum,MATCH(E3186,'glossaryterms-export'!C:C,0),
IF(AND(NOT(ISBLANK(INDEX('glossaryterms-export'!H:H,_xlpm.rowNum))),ISBLANK(INDEX('glossaryterms-export'!I:I,_xlpm.rowNum))),"Ready to Fix",""))</f>
        <v/>
      </c>
    </row>
    <row r="3187" spans="6:6">
      <c r="F3187" s="1" t="str" cm="1">
        <f t="array" ref="F3187">_xlfn.LET(_xlpm.rowNum,MATCH(E3187,'glossaryterms-export'!C:C,0),
IF(AND(NOT(ISBLANK(INDEX('glossaryterms-export'!H:H,_xlpm.rowNum))),ISBLANK(INDEX('glossaryterms-export'!I:I,_xlpm.rowNum))),"Ready to Fix",""))</f>
        <v/>
      </c>
    </row>
    <row r="3188" spans="6:6">
      <c r="F3188" s="1" t="str" cm="1">
        <f t="array" ref="F3188">_xlfn.LET(_xlpm.rowNum,MATCH(E3188,'glossaryterms-export'!C:C,0),
IF(AND(NOT(ISBLANK(INDEX('glossaryterms-export'!H:H,_xlpm.rowNum))),ISBLANK(INDEX('glossaryterms-export'!I:I,_xlpm.rowNum))),"Ready to Fix",""))</f>
        <v/>
      </c>
    </row>
    <row r="3189" spans="6:6">
      <c r="F3189" s="1" t="str" cm="1">
        <f t="array" ref="F3189">_xlfn.LET(_xlpm.rowNum,MATCH(E3189,'glossaryterms-export'!C:C,0),
IF(AND(NOT(ISBLANK(INDEX('glossaryterms-export'!H:H,_xlpm.rowNum))),ISBLANK(INDEX('glossaryterms-export'!I:I,_xlpm.rowNum))),"Ready to Fix",""))</f>
        <v/>
      </c>
    </row>
    <row r="3190" spans="6:6">
      <c r="F3190" s="1" t="str" cm="1">
        <f t="array" ref="F3190">_xlfn.LET(_xlpm.rowNum,MATCH(E3190,'glossaryterms-export'!C:C,0),
IF(AND(NOT(ISBLANK(INDEX('glossaryterms-export'!H:H,_xlpm.rowNum))),ISBLANK(INDEX('glossaryterms-export'!I:I,_xlpm.rowNum))),"Ready to Fix",""))</f>
        <v/>
      </c>
    </row>
    <row r="3191" spans="6:6">
      <c r="F3191" s="1" t="str" cm="1">
        <f t="array" ref="F3191">_xlfn.LET(_xlpm.rowNum,MATCH(E3191,'glossaryterms-export'!C:C,0),
IF(AND(NOT(ISBLANK(INDEX('glossaryterms-export'!H:H,_xlpm.rowNum))),ISBLANK(INDEX('glossaryterms-export'!I:I,_xlpm.rowNum))),"Ready to Fix",""))</f>
        <v/>
      </c>
    </row>
    <row r="3192" spans="6:6">
      <c r="F3192" s="1" t="str" cm="1">
        <f t="array" ref="F3192">_xlfn.LET(_xlpm.rowNum,MATCH(E3192,'glossaryterms-export'!C:C,0),
IF(AND(NOT(ISBLANK(INDEX('glossaryterms-export'!H:H,_xlpm.rowNum))),ISBLANK(INDEX('glossaryterms-export'!I:I,_xlpm.rowNum))),"Ready to Fix",""))</f>
        <v/>
      </c>
    </row>
    <row r="3193" spans="6:6">
      <c r="F3193" s="1" t="str" cm="1">
        <f t="array" ref="F3193">_xlfn.LET(_xlpm.rowNum,MATCH(E3193,'glossaryterms-export'!C:C,0),
IF(AND(NOT(ISBLANK(INDEX('glossaryterms-export'!H:H,_xlpm.rowNum))),ISBLANK(INDEX('glossaryterms-export'!I:I,_xlpm.rowNum))),"Ready to Fix",""))</f>
        <v/>
      </c>
    </row>
    <row r="3194" spans="6:6">
      <c r="F3194" s="1" t="str" cm="1">
        <f t="array" ref="F3194">_xlfn.LET(_xlpm.rowNum,MATCH(E3194,'glossaryterms-export'!C:C,0),
IF(AND(NOT(ISBLANK(INDEX('glossaryterms-export'!H:H,_xlpm.rowNum))),ISBLANK(INDEX('glossaryterms-export'!I:I,_xlpm.rowNum))),"Ready to Fix",""))</f>
        <v/>
      </c>
    </row>
    <row r="3195" spans="6:6">
      <c r="F3195" s="1" t="str" cm="1">
        <f t="array" ref="F3195">_xlfn.LET(_xlpm.rowNum,MATCH(E3195,'glossaryterms-export'!C:C,0),
IF(AND(NOT(ISBLANK(INDEX('glossaryterms-export'!H:H,_xlpm.rowNum))),ISBLANK(INDEX('glossaryterms-export'!I:I,_xlpm.rowNum))),"Ready to Fix",""))</f>
        <v/>
      </c>
    </row>
    <row r="3196" spans="6:6">
      <c r="F3196" s="1" t="str" cm="1">
        <f t="array" ref="F3196">_xlfn.LET(_xlpm.rowNum,MATCH(E3196,'glossaryterms-export'!C:C,0),
IF(AND(NOT(ISBLANK(INDEX('glossaryterms-export'!H:H,_xlpm.rowNum))),ISBLANK(INDEX('glossaryterms-export'!I:I,_xlpm.rowNum))),"Ready to Fix",""))</f>
        <v/>
      </c>
    </row>
    <row r="3197" spans="6:6">
      <c r="F3197" s="1" t="str" cm="1">
        <f t="array" ref="F3197">_xlfn.LET(_xlpm.rowNum,MATCH(E3197,'glossaryterms-export'!C:C,0),
IF(AND(NOT(ISBLANK(INDEX('glossaryterms-export'!H:H,_xlpm.rowNum))),ISBLANK(INDEX('glossaryterms-export'!I:I,_xlpm.rowNum))),"Ready to Fix",""))</f>
        <v/>
      </c>
    </row>
    <row r="3198" spans="6:6">
      <c r="F3198" s="1" t="str" cm="1">
        <f t="array" ref="F3198">_xlfn.LET(_xlpm.rowNum,MATCH(E3198,'glossaryterms-export'!C:C,0),
IF(AND(NOT(ISBLANK(INDEX('glossaryterms-export'!H:H,_xlpm.rowNum))),ISBLANK(INDEX('glossaryterms-export'!I:I,_xlpm.rowNum))),"Ready to Fix",""))</f>
        <v/>
      </c>
    </row>
    <row r="3199" spans="6:6">
      <c r="F3199" s="1" t="str" cm="1">
        <f t="array" ref="F3199">_xlfn.LET(_xlpm.rowNum,MATCH(E3199,'glossaryterms-export'!C:C,0),
IF(AND(NOT(ISBLANK(INDEX('glossaryterms-export'!H:H,_xlpm.rowNum))),ISBLANK(INDEX('glossaryterms-export'!I:I,_xlpm.rowNum))),"Ready to Fix",""))</f>
        <v/>
      </c>
    </row>
    <row r="3200" spans="6:6">
      <c r="F3200" s="1" t="str" cm="1">
        <f t="array" ref="F3200">_xlfn.LET(_xlpm.rowNum,MATCH(E3200,'glossaryterms-export'!C:C,0),
IF(AND(NOT(ISBLANK(INDEX('glossaryterms-export'!H:H,_xlpm.rowNum))),ISBLANK(INDEX('glossaryterms-export'!I:I,_xlpm.rowNum))),"Ready to Fix",""))</f>
        <v/>
      </c>
    </row>
    <row r="3201" spans="6:6">
      <c r="F3201" s="1" t="str" cm="1">
        <f t="array" ref="F3201">_xlfn.LET(_xlpm.rowNum,MATCH(E3201,'glossaryterms-export'!C:C,0),
IF(AND(NOT(ISBLANK(INDEX('glossaryterms-export'!H:H,_xlpm.rowNum))),ISBLANK(INDEX('glossaryterms-export'!I:I,_xlpm.rowNum))),"Ready to Fix",""))</f>
        <v/>
      </c>
    </row>
    <row r="3202" spans="6:6">
      <c r="F3202" s="1" t="str" cm="1">
        <f t="array" ref="F3202">_xlfn.LET(_xlpm.rowNum,MATCH(E3202,'glossaryterms-export'!C:C,0),
IF(AND(NOT(ISBLANK(INDEX('glossaryterms-export'!H:H,_xlpm.rowNum))),ISBLANK(INDEX('glossaryterms-export'!I:I,_xlpm.rowNum))),"Ready to Fix",""))</f>
        <v/>
      </c>
    </row>
    <row r="3203" spans="6:6">
      <c r="F3203" s="1" t="str" cm="1">
        <f t="array" ref="F3203">_xlfn.LET(_xlpm.rowNum,MATCH(E3203,'glossaryterms-export'!C:C,0),
IF(AND(NOT(ISBLANK(INDEX('glossaryterms-export'!H:H,_xlpm.rowNum))),ISBLANK(INDEX('glossaryterms-export'!I:I,_xlpm.rowNum))),"Ready to Fix",""))</f>
        <v/>
      </c>
    </row>
    <row r="3204" spans="6:6">
      <c r="F3204" s="1" t="str" cm="1">
        <f t="array" ref="F3204">_xlfn.LET(_xlpm.rowNum,MATCH(E3204,'glossaryterms-export'!C:C,0),
IF(AND(NOT(ISBLANK(INDEX('glossaryterms-export'!H:H,_xlpm.rowNum))),ISBLANK(INDEX('glossaryterms-export'!I:I,_xlpm.rowNum))),"Ready to Fix",""))</f>
        <v/>
      </c>
    </row>
    <row r="3205" spans="6:6">
      <c r="F3205" s="1" t="str" cm="1">
        <f t="array" ref="F3205">_xlfn.LET(_xlpm.rowNum,MATCH(E3205,'glossaryterms-export'!C:C,0),
IF(AND(NOT(ISBLANK(INDEX('glossaryterms-export'!H:H,_xlpm.rowNum))),ISBLANK(INDEX('glossaryterms-export'!I:I,_xlpm.rowNum))),"Ready to Fix",""))</f>
        <v/>
      </c>
    </row>
    <row r="3206" spans="6:6">
      <c r="F3206" s="1" t="str" cm="1">
        <f t="array" ref="F3206">_xlfn.LET(_xlpm.rowNum,MATCH(E3206,'glossaryterms-export'!C:C,0),
IF(AND(NOT(ISBLANK(INDEX('glossaryterms-export'!H:H,_xlpm.rowNum))),ISBLANK(INDEX('glossaryterms-export'!I:I,_xlpm.rowNum))),"Ready to Fix",""))</f>
        <v/>
      </c>
    </row>
    <row r="3207" spans="6:6">
      <c r="F3207" s="1" t="str" cm="1">
        <f t="array" ref="F3207">_xlfn.LET(_xlpm.rowNum,MATCH(E3207,'glossaryterms-export'!C:C,0),
IF(AND(NOT(ISBLANK(INDEX('glossaryterms-export'!H:H,_xlpm.rowNum))),ISBLANK(INDEX('glossaryterms-export'!I:I,_xlpm.rowNum))),"Ready to Fix",""))</f>
        <v/>
      </c>
    </row>
    <row r="3208" spans="6:6">
      <c r="F3208" s="1" t="str" cm="1">
        <f t="array" ref="F3208">_xlfn.LET(_xlpm.rowNum,MATCH(E3208,'glossaryterms-export'!C:C,0),
IF(AND(NOT(ISBLANK(INDEX('glossaryterms-export'!H:H,_xlpm.rowNum))),ISBLANK(INDEX('glossaryterms-export'!I:I,_xlpm.rowNum))),"Ready to Fix",""))</f>
        <v/>
      </c>
    </row>
    <row r="3209" spans="6:6">
      <c r="F3209" s="1" t="str" cm="1">
        <f t="array" ref="F3209">_xlfn.LET(_xlpm.rowNum,MATCH(E3209,'glossaryterms-export'!C:C,0),
IF(AND(NOT(ISBLANK(INDEX('glossaryterms-export'!H:H,_xlpm.rowNum))),ISBLANK(INDEX('glossaryterms-export'!I:I,_xlpm.rowNum))),"Ready to Fix",""))</f>
        <v/>
      </c>
    </row>
    <row r="3210" spans="6:6">
      <c r="F3210" s="1" t="str" cm="1">
        <f t="array" ref="F3210">_xlfn.LET(_xlpm.rowNum,MATCH(E3210,'glossaryterms-export'!C:C,0),
IF(AND(NOT(ISBLANK(INDEX('glossaryterms-export'!H:H,_xlpm.rowNum))),ISBLANK(INDEX('glossaryterms-export'!I:I,_xlpm.rowNum))),"Ready to Fix",""))</f>
        <v/>
      </c>
    </row>
    <row r="3211" spans="6:6">
      <c r="F3211" s="1" t="str" cm="1">
        <f t="array" ref="F3211">_xlfn.LET(_xlpm.rowNum,MATCH(E3211,'glossaryterms-export'!C:C,0),
IF(AND(NOT(ISBLANK(INDEX('glossaryterms-export'!H:H,_xlpm.rowNum))),ISBLANK(INDEX('glossaryterms-export'!I:I,_xlpm.rowNum))),"Ready to Fix",""))</f>
        <v/>
      </c>
    </row>
    <row r="3212" spans="6:6">
      <c r="F3212" s="1" t="str" cm="1">
        <f t="array" ref="F3212">_xlfn.LET(_xlpm.rowNum,MATCH(E3212,'glossaryterms-export'!C:C,0),
IF(AND(NOT(ISBLANK(INDEX('glossaryterms-export'!H:H,_xlpm.rowNum))),ISBLANK(INDEX('glossaryterms-export'!I:I,_xlpm.rowNum))),"Ready to Fix",""))</f>
        <v/>
      </c>
    </row>
    <row r="3213" spans="6:6">
      <c r="F3213" s="1" t="str" cm="1">
        <f t="array" ref="F3213">_xlfn.LET(_xlpm.rowNum,MATCH(E3213,'glossaryterms-export'!C:C,0),
IF(AND(NOT(ISBLANK(INDEX('glossaryterms-export'!H:H,_xlpm.rowNum))),ISBLANK(INDEX('glossaryterms-export'!I:I,_xlpm.rowNum))),"Ready to Fix",""))</f>
        <v/>
      </c>
    </row>
    <row r="3214" spans="6:6">
      <c r="F3214" s="1" t="str" cm="1">
        <f t="array" ref="F3214">_xlfn.LET(_xlpm.rowNum,MATCH(E3214,'glossaryterms-export'!C:C,0),
IF(AND(NOT(ISBLANK(INDEX('glossaryterms-export'!H:H,_xlpm.rowNum))),ISBLANK(INDEX('glossaryterms-export'!I:I,_xlpm.rowNum))),"Ready to Fix",""))</f>
        <v/>
      </c>
    </row>
    <row r="3215" spans="6:6">
      <c r="F3215" s="1" t="str" cm="1">
        <f t="array" ref="F3215">_xlfn.LET(_xlpm.rowNum,MATCH(E3215,'glossaryterms-export'!C:C,0),
IF(AND(NOT(ISBLANK(INDEX('glossaryterms-export'!H:H,_xlpm.rowNum))),ISBLANK(INDEX('glossaryterms-export'!I:I,_xlpm.rowNum))),"Ready to Fix",""))</f>
        <v/>
      </c>
    </row>
    <row r="3216" spans="6:6">
      <c r="F3216" s="1" t="str" cm="1">
        <f t="array" ref="F3216">_xlfn.LET(_xlpm.rowNum,MATCH(E3216,'glossaryterms-export'!C:C,0),
IF(AND(NOT(ISBLANK(INDEX('glossaryterms-export'!H:H,_xlpm.rowNum))),ISBLANK(INDEX('glossaryterms-export'!I:I,_xlpm.rowNum))),"Ready to Fix",""))</f>
        <v/>
      </c>
    </row>
    <row r="3217" spans="6:6">
      <c r="F3217" s="1" t="str" cm="1">
        <f t="array" ref="F3217">_xlfn.LET(_xlpm.rowNum,MATCH(E3217,'glossaryterms-export'!C:C,0),
IF(AND(NOT(ISBLANK(INDEX('glossaryterms-export'!H:H,_xlpm.rowNum))),ISBLANK(INDEX('glossaryterms-export'!I:I,_xlpm.rowNum))),"Ready to Fix",""))</f>
        <v/>
      </c>
    </row>
    <row r="3218" spans="6:6">
      <c r="F3218" s="1" t="str" cm="1">
        <f t="array" ref="F3218">_xlfn.LET(_xlpm.rowNum,MATCH(E3218,'glossaryterms-export'!C:C,0),
IF(AND(NOT(ISBLANK(INDEX('glossaryterms-export'!H:H,_xlpm.rowNum))),ISBLANK(INDEX('glossaryterms-export'!I:I,_xlpm.rowNum))),"Ready to Fix",""))</f>
        <v/>
      </c>
    </row>
    <row r="3219" spans="6:6">
      <c r="F3219" s="1" t="str" cm="1">
        <f t="array" ref="F3219">_xlfn.LET(_xlpm.rowNum,MATCH(E3219,'glossaryterms-export'!C:C,0),
IF(AND(NOT(ISBLANK(INDEX('glossaryterms-export'!H:H,_xlpm.rowNum))),ISBLANK(INDEX('glossaryterms-export'!I:I,_xlpm.rowNum))),"Ready to Fix",""))</f>
        <v/>
      </c>
    </row>
    <row r="3220" spans="6:6">
      <c r="F3220" s="1" t="str" cm="1">
        <f t="array" ref="F3220">_xlfn.LET(_xlpm.rowNum,MATCH(E3220,'glossaryterms-export'!C:C,0),
IF(AND(NOT(ISBLANK(INDEX('glossaryterms-export'!H:H,_xlpm.rowNum))),ISBLANK(INDEX('glossaryterms-export'!I:I,_xlpm.rowNum))),"Ready to Fix",""))</f>
        <v/>
      </c>
    </row>
    <row r="3221" spans="6:6">
      <c r="F3221" s="1" t="str" cm="1">
        <f t="array" ref="F3221">_xlfn.LET(_xlpm.rowNum,MATCH(E3221,'glossaryterms-export'!C:C,0),
IF(AND(NOT(ISBLANK(INDEX('glossaryterms-export'!H:H,_xlpm.rowNum))),ISBLANK(INDEX('glossaryterms-export'!I:I,_xlpm.rowNum))),"Ready to Fix",""))</f>
        <v/>
      </c>
    </row>
    <row r="3222" spans="6:6">
      <c r="F3222" s="1" t="str" cm="1">
        <f t="array" ref="F3222">_xlfn.LET(_xlpm.rowNum,MATCH(E3222,'glossaryterms-export'!C:C,0),
IF(AND(NOT(ISBLANK(INDEX('glossaryterms-export'!H:H,_xlpm.rowNum))),ISBLANK(INDEX('glossaryterms-export'!I:I,_xlpm.rowNum))),"Ready to Fix",""))</f>
        <v/>
      </c>
    </row>
    <row r="3223" spans="6:6">
      <c r="F3223" s="1" t="str" cm="1">
        <f t="array" ref="F3223">_xlfn.LET(_xlpm.rowNum,MATCH(E3223,'glossaryterms-export'!C:C,0),
IF(AND(NOT(ISBLANK(INDEX('glossaryterms-export'!H:H,_xlpm.rowNum))),ISBLANK(INDEX('glossaryterms-export'!I:I,_xlpm.rowNum))),"Ready to Fix",""))</f>
        <v/>
      </c>
    </row>
    <row r="3224" spans="6:6">
      <c r="F3224" s="1" t="str" cm="1">
        <f t="array" ref="F3224">_xlfn.LET(_xlpm.rowNum,MATCH(E3224,'glossaryterms-export'!C:C,0),
IF(AND(NOT(ISBLANK(INDEX('glossaryterms-export'!H:H,_xlpm.rowNum))),ISBLANK(INDEX('glossaryterms-export'!I:I,_xlpm.rowNum))),"Ready to Fix",""))</f>
        <v/>
      </c>
    </row>
    <row r="3225" spans="6:6">
      <c r="F3225" s="1" t="str" cm="1">
        <f t="array" ref="F3225">_xlfn.LET(_xlpm.rowNum,MATCH(E3225,'glossaryterms-export'!C:C,0),
IF(AND(NOT(ISBLANK(INDEX('glossaryterms-export'!H:H,_xlpm.rowNum))),ISBLANK(INDEX('glossaryterms-export'!I:I,_xlpm.rowNum))),"Ready to Fix",""))</f>
        <v/>
      </c>
    </row>
    <row r="3226" spans="6:6">
      <c r="F3226" s="1" t="str" cm="1">
        <f t="array" ref="F3226">_xlfn.LET(_xlpm.rowNum,MATCH(E3226,'glossaryterms-export'!C:C,0),
IF(AND(NOT(ISBLANK(INDEX('glossaryterms-export'!H:H,_xlpm.rowNum))),ISBLANK(INDEX('glossaryterms-export'!I:I,_xlpm.rowNum))),"Ready to Fix",""))</f>
        <v/>
      </c>
    </row>
    <row r="3227" spans="6:6">
      <c r="F3227" s="1" t="str" cm="1">
        <f t="array" ref="F3227">_xlfn.LET(_xlpm.rowNum,MATCH(E3227,'glossaryterms-export'!C:C,0),
IF(AND(NOT(ISBLANK(INDEX('glossaryterms-export'!H:H,_xlpm.rowNum))),ISBLANK(INDEX('glossaryterms-export'!I:I,_xlpm.rowNum))),"Ready to Fix",""))</f>
        <v/>
      </c>
    </row>
    <row r="3228" spans="6:6">
      <c r="F3228" s="1" t="str" cm="1">
        <f t="array" ref="F3228">_xlfn.LET(_xlpm.rowNum,MATCH(E3228,'glossaryterms-export'!C:C,0),
IF(AND(NOT(ISBLANK(INDEX('glossaryterms-export'!H:H,_xlpm.rowNum))),ISBLANK(INDEX('glossaryterms-export'!I:I,_xlpm.rowNum))),"Ready to Fix",""))</f>
        <v/>
      </c>
    </row>
    <row r="3229" spans="6:6">
      <c r="F3229" s="1" t="str" cm="1">
        <f t="array" ref="F3229">_xlfn.LET(_xlpm.rowNum,MATCH(E3229,'glossaryterms-export'!C:C,0),
IF(AND(NOT(ISBLANK(INDEX('glossaryterms-export'!H:H,_xlpm.rowNum))),ISBLANK(INDEX('glossaryterms-export'!I:I,_xlpm.rowNum))),"Ready to Fix",""))</f>
        <v/>
      </c>
    </row>
    <row r="3230" spans="6:6">
      <c r="F3230" s="1" t="str" cm="1">
        <f t="array" ref="F3230">_xlfn.LET(_xlpm.rowNum,MATCH(E3230,'glossaryterms-export'!C:C,0),
IF(AND(NOT(ISBLANK(INDEX('glossaryterms-export'!H:H,_xlpm.rowNum))),ISBLANK(INDEX('glossaryterms-export'!I:I,_xlpm.rowNum))),"Ready to Fix",""))</f>
        <v/>
      </c>
    </row>
    <row r="3231" spans="6:6">
      <c r="F3231" s="1" t="str" cm="1">
        <f t="array" ref="F3231">_xlfn.LET(_xlpm.rowNum,MATCH(E3231,'glossaryterms-export'!C:C,0),
IF(AND(NOT(ISBLANK(INDEX('glossaryterms-export'!H:H,_xlpm.rowNum))),ISBLANK(INDEX('glossaryterms-export'!I:I,_xlpm.rowNum))),"Ready to Fix",""))</f>
        <v/>
      </c>
    </row>
    <row r="3232" spans="6:6">
      <c r="F3232" s="1" t="str" cm="1">
        <f t="array" ref="F3232">_xlfn.LET(_xlpm.rowNum,MATCH(E3232,'glossaryterms-export'!C:C,0),
IF(AND(NOT(ISBLANK(INDEX('glossaryterms-export'!H:H,_xlpm.rowNum))),ISBLANK(INDEX('glossaryterms-export'!I:I,_xlpm.rowNum))),"Ready to Fix",""))</f>
        <v/>
      </c>
    </row>
    <row r="3233" spans="6:6">
      <c r="F3233" s="1" t="str" cm="1">
        <f t="array" ref="F3233">_xlfn.LET(_xlpm.rowNum,MATCH(E3233,'glossaryterms-export'!C:C,0),
IF(AND(NOT(ISBLANK(INDEX('glossaryterms-export'!H:H,_xlpm.rowNum))),ISBLANK(INDEX('glossaryterms-export'!I:I,_xlpm.rowNum))),"Ready to Fix",""))</f>
        <v/>
      </c>
    </row>
    <row r="3234" spans="6:6">
      <c r="F3234" s="1" t="str" cm="1">
        <f t="array" ref="F3234">_xlfn.LET(_xlpm.rowNum,MATCH(E3234,'glossaryterms-export'!C:C,0),
IF(AND(NOT(ISBLANK(INDEX('glossaryterms-export'!H:H,_xlpm.rowNum))),ISBLANK(INDEX('glossaryterms-export'!I:I,_xlpm.rowNum))),"Ready to Fix",""))</f>
        <v/>
      </c>
    </row>
    <row r="3235" spans="6:6">
      <c r="F3235" s="1" t="str" cm="1">
        <f t="array" ref="F3235">_xlfn.LET(_xlpm.rowNum,MATCH(E3235,'glossaryterms-export'!C:C,0),
IF(AND(NOT(ISBLANK(INDEX('glossaryterms-export'!H:H,_xlpm.rowNum))),ISBLANK(INDEX('glossaryterms-export'!I:I,_xlpm.rowNum))),"Ready to Fix",""))</f>
        <v/>
      </c>
    </row>
    <row r="3236" spans="6:6">
      <c r="F3236" s="1" t="str" cm="1">
        <f t="array" ref="F3236">_xlfn.LET(_xlpm.rowNum,MATCH(E3236,'glossaryterms-export'!C:C,0),
IF(AND(NOT(ISBLANK(INDEX('glossaryterms-export'!H:H,_xlpm.rowNum))),ISBLANK(INDEX('glossaryterms-export'!I:I,_xlpm.rowNum))),"Ready to Fix",""))</f>
        <v/>
      </c>
    </row>
    <row r="3237" spans="6:6">
      <c r="F3237" s="1" t="str" cm="1">
        <f t="array" ref="F3237">_xlfn.LET(_xlpm.rowNum,MATCH(E3237,'glossaryterms-export'!C:C,0),
IF(AND(NOT(ISBLANK(INDEX('glossaryterms-export'!H:H,_xlpm.rowNum))),ISBLANK(INDEX('glossaryterms-export'!I:I,_xlpm.rowNum))),"Ready to Fix",""))</f>
        <v/>
      </c>
    </row>
    <row r="3238" spans="6:6">
      <c r="F3238" s="1" t="str" cm="1">
        <f t="array" ref="F3238">_xlfn.LET(_xlpm.rowNum,MATCH(E3238,'glossaryterms-export'!C:C,0),
IF(AND(NOT(ISBLANK(INDEX('glossaryterms-export'!H:H,_xlpm.rowNum))),ISBLANK(INDEX('glossaryterms-export'!I:I,_xlpm.rowNum))),"Ready to Fix",""))</f>
        <v/>
      </c>
    </row>
    <row r="3239" spans="6:6">
      <c r="F3239" s="1" t="str" cm="1">
        <f t="array" ref="F3239">_xlfn.LET(_xlpm.rowNum,MATCH(E3239,'glossaryterms-export'!C:C,0),
IF(AND(NOT(ISBLANK(INDEX('glossaryterms-export'!H:H,_xlpm.rowNum))),ISBLANK(INDEX('glossaryterms-export'!I:I,_xlpm.rowNum))),"Ready to Fix",""))</f>
        <v/>
      </c>
    </row>
    <row r="3240" spans="6:6">
      <c r="F3240" s="1" t="str" cm="1">
        <f t="array" ref="F3240">_xlfn.LET(_xlpm.rowNum,MATCH(E3240,'glossaryterms-export'!C:C,0),
IF(AND(NOT(ISBLANK(INDEX('glossaryterms-export'!H:H,_xlpm.rowNum))),ISBLANK(INDEX('glossaryterms-export'!I:I,_xlpm.rowNum))),"Ready to Fix",""))</f>
        <v/>
      </c>
    </row>
    <row r="3241" spans="6:6">
      <c r="F3241" s="1" t="str" cm="1">
        <f t="array" ref="F3241">_xlfn.LET(_xlpm.rowNum,MATCH(E3241,'glossaryterms-export'!C:C,0),
IF(AND(NOT(ISBLANK(INDEX('glossaryterms-export'!H:H,_xlpm.rowNum))),ISBLANK(INDEX('glossaryterms-export'!I:I,_xlpm.rowNum))),"Ready to Fix",""))</f>
        <v/>
      </c>
    </row>
    <row r="3242" spans="6:6">
      <c r="F3242" s="1" t="str" cm="1">
        <f t="array" ref="F3242">_xlfn.LET(_xlpm.rowNum,MATCH(E3242,'glossaryterms-export'!C:C,0),
IF(AND(NOT(ISBLANK(INDEX('glossaryterms-export'!H:H,_xlpm.rowNum))),ISBLANK(INDEX('glossaryterms-export'!I:I,_xlpm.rowNum))),"Ready to Fix",""))</f>
        <v/>
      </c>
    </row>
    <row r="3243" spans="6:6">
      <c r="F3243" s="1" t="str" cm="1">
        <f t="array" ref="F3243">_xlfn.LET(_xlpm.rowNum,MATCH(E3243,'glossaryterms-export'!C:C,0),
IF(AND(NOT(ISBLANK(INDEX('glossaryterms-export'!H:H,_xlpm.rowNum))),ISBLANK(INDEX('glossaryterms-export'!I:I,_xlpm.rowNum))),"Ready to Fix",""))</f>
        <v/>
      </c>
    </row>
    <row r="3244" spans="6:6">
      <c r="F3244" s="1" t="str" cm="1">
        <f t="array" ref="F3244">_xlfn.LET(_xlpm.rowNum,MATCH(E3244,'glossaryterms-export'!C:C,0),
IF(AND(NOT(ISBLANK(INDEX('glossaryterms-export'!H:H,_xlpm.rowNum))),ISBLANK(INDEX('glossaryterms-export'!I:I,_xlpm.rowNum))),"Ready to Fix",""))</f>
        <v/>
      </c>
    </row>
    <row r="3245" spans="6:6">
      <c r="F3245" s="1" t="str" cm="1">
        <f t="array" ref="F3245">_xlfn.LET(_xlpm.rowNum,MATCH(E3245,'glossaryterms-export'!C:C,0),
IF(AND(NOT(ISBLANK(INDEX('glossaryterms-export'!H:H,_xlpm.rowNum))),ISBLANK(INDEX('glossaryterms-export'!I:I,_xlpm.rowNum))),"Ready to Fix",""))</f>
        <v/>
      </c>
    </row>
    <row r="3246" spans="6:6">
      <c r="F3246" s="1" t="str" cm="1">
        <f t="array" ref="F3246">_xlfn.LET(_xlpm.rowNum,MATCH(E3246,'glossaryterms-export'!C:C,0),
IF(AND(NOT(ISBLANK(INDEX('glossaryterms-export'!H:H,_xlpm.rowNum))),ISBLANK(INDEX('glossaryterms-export'!I:I,_xlpm.rowNum))),"Ready to Fix",""))</f>
        <v/>
      </c>
    </row>
    <row r="3247" spans="6:6">
      <c r="F3247" s="1" t="str" cm="1">
        <f t="array" ref="F3247">_xlfn.LET(_xlpm.rowNum,MATCH(E3247,'glossaryterms-export'!C:C,0),
IF(AND(NOT(ISBLANK(INDEX('glossaryterms-export'!H:H,_xlpm.rowNum))),ISBLANK(INDEX('glossaryterms-export'!I:I,_xlpm.rowNum))),"Ready to Fix",""))</f>
        <v/>
      </c>
    </row>
    <row r="3248" spans="6:6">
      <c r="F3248" s="1" t="str" cm="1">
        <f t="array" ref="F3248">_xlfn.LET(_xlpm.rowNum,MATCH(E3248,'glossaryterms-export'!C:C,0),
IF(AND(NOT(ISBLANK(INDEX('glossaryterms-export'!H:H,_xlpm.rowNum))),ISBLANK(INDEX('glossaryterms-export'!I:I,_xlpm.rowNum))),"Ready to Fix",""))</f>
        <v/>
      </c>
    </row>
    <row r="3249" spans="6:6">
      <c r="F3249" s="1" t="str" cm="1">
        <f t="array" ref="F3249">_xlfn.LET(_xlpm.rowNum,MATCH(E3249,'glossaryterms-export'!C:C,0),
IF(AND(NOT(ISBLANK(INDEX('glossaryterms-export'!H:H,_xlpm.rowNum))),ISBLANK(INDEX('glossaryterms-export'!I:I,_xlpm.rowNum))),"Ready to Fix",""))</f>
        <v/>
      </c>
    </row>
    <row r="3250" spans="6:6">
      <c r="F3250" s="1" t="str" cm="1">
        <f t="array" ref="F3250">_xlfn.LET(_xlpm.rowNum,MATCH(E3250,'glossaryterms-export'!C:C,0),
IF(AND(NOT(ISBLANK(INDEX('glossaryterms-export'!H:H,_xlpm.rowNum))),ISBLANK(INDEX('glossaryterms-export'!I:I,_xlpm.rowNum))),"Ready to Fix",""))</f>
        <v/>
      </c>
    </row>
    <row r="3251" spans="6:6">
      <c r="F3251" s="1" t="str" cm="1">
        <f t="array" ref="F3251">_xlfn.LET(_xlpm.rowNum,MATCH(E3251,'glossaryterms-export'!C:C,0),
IF(AND(NOT(ISBLANK(INDEX('glossaryterms-export'!H:H,_xlpm.rowNum))),ISBLANK(INDEX('glossaryterms-export'!I:I,_xlpm.rowNum))),"Ready to Fix",""))</f>
        <v/>
      </c>
    </row>
    <row r="3252" spans="6:6">
      <c r="F3252" s="1" t="str" cm="1">
        <f t="array" ref="F3252">_xlfn.LET(_xlpm.rowNum,MATCH(E3252,'glossaryterms-export'!C:C,0),
IF(AND(NOT(ISBLANK(INDEX('glossaryterms-export'!H:H,_xlpm.rowNum))),ISBLANK(INDEX('glossaryterms-export'!I:I,_xlpm.rowNum))),"Ready to Fix",""))</f>
        <v/>
      </c>
    </row>
    <row r="3253" spans="6:6">
      <c r="F3253" s="1" t="str" cm="1">
        <f t="array" ref="F3253">_xlfn.LET(_xlpm.rowNum,MATCH(E3253,'glossaryterms-export'!C:C,0),
IF(AND(NOT(ISBLANK(INDEX('glossaryterms-export'!H:H,_xlpm.rowNum))),ISBLANK(INDEX('glossaryterms-export'!I:I,_xlpm.rowNum))),"Ready to Fix",""))</f>
        <v/>
      </c>
    </row>
    <row r="3254" spans="6:6">
      <c r="F3254" s="1" t="str" cm="1">
        <f t="array" ref="F3254">_xlfn.LET(_xlpm.rowNum,MATCH(E3254,'glossaryterms-export'!C:C,0),
IF(AND(NOT(ISBLANK(INDEX('glossaryterms-export'!H:H,_xlpm.rowNum))),ISBLANK(INDEX('glossaryterms-export'!I:I,_xlpm.rowNum))),"Ready to Fix",""))</f>
        <v/>
      </c>
    </row>
    <row r="3255" spans="6:6">
      <c r="F3255" s="1" t="str" cm="1">
        <f t="array" ref="F3255">_xlfn.LET(_xlpm.rowNum,MATCH(E3255,'glossaryterms-export'!C:C,0),
IF(AND(NOT(ISBLANK(INDEX('glossaryterms-export'!H:H,_xlpm.rowNum))),ISBLANK(INDEX('glossaryterms-export'!I:I,_xlpm.rowNum))),"Ready to Fix",""))</f>
        <v/>
      </c>
    </row>
    <row r="3256" spans="6:6">
      <c r="F3256" s="1" t="str" cm="1">
        <f t="array" ref="F3256">_xlfn.LET(_xlpm.rowNum,MATCH(E3256,'glossaryterms-export'!C:C,0),
IF(AND(NOT(ISBLANK(INDEX('glossaryterms-export'!H:H,_xlpm.rowNum))),ISBLANK(INDEX('glossaryterms-export'!I:I,_xlpm.rowNum))),"Ready to Fix",""))</f>
        <v/>
      </c>
    </row>
    <row r="3257" spans="6:6">
      <c r="F3257" s="1" t="str" cm="1">
        <f t="array" ref="F3257">_xlfn.LET(_xlpm.rowNum,MATCH(E3257,'glossaryterms-export'!C:C,0),
IF(AND(NOT(ISBLANK(INDEX('glossaryterms-export'!H:H,_xlpm.rowNum))),ISBLANK(INDEX('glossaryterms-export'!I:I,_xlpm.rowNum))),"Ready to Fix",""))</f>
        <v/>
      </c>
    </row>
    <row r="3258" spans="6:6">
      <c r="F3258" s="1" t="str" cm="1">
        <f t="array" ref="F3258">_xlfn.LET(_xlpm.rowNum,MATCH(E3258,'glossaryterms-export'!C:C,0),
IF(AND(NOT(ISBLANK(INDEX('glossaryterms-export'!H:H,_xlpm.rowNum))),ISBLANK(INDEX('glossaryterms-export'!I:I,_xlpm.rowNum))),"Ready to Fix",""))</f>
        <v/>
      </c>
    </row>
    <row r="3259" spans="6:6">
      <c r="F3259" s="1" t="str" cm="1">
        <f t="array" ref="F3259">_xlfn.LET(_xlpm.rowNum,MATCH(E3259,'glossaryterms-export'!C:C,0),
IF(AND(NOT(ISBLANK(INDEX('glossaryterms-export'!H:H,_xlpm.rowNum))),ISBLANK(INDEX('glossaryterms-export'!I:I,_xlpm.rowNum))),"Ready to Fix",""))</f>
        <v/>
      </c>
    </row>
    <row r="3260" spans="6:6">
      <c r="F3260" s="1" t="str" cm="1">
        <f t="array" ref="F3260">_xlfn.LET(_xlpm.rowNum,MATCH(E3260,'glossaryterms-export'!C:C,0),
IF(AND(NOT(ISBLANK(INDEX('glossaryterms-export'!H:H,_xlpm.rowNum))),ISBLANK(INDEX('glossaryterms-export'!I:I,_xlpm.rowNum))),"Ready to Fix",""))</f>
        <v/>
      </c>
    </row>
    <row r="3261" spans="6:6">
      <c r="F3261" s="1" t="str" cm="1">
        <f t="array" ref="F3261">_xlfn.LET(_xlpm.rowNum,MATCH(E3261,'glossaryterms-export'!C:C,0),
IF(AND(NOT(ISBLANK(INDEX('glossaryterms-export'!H:H,_xlpm.rowNum))),ISBLANK(INDEX('glossaryterms-export'!I:I,_xlpm.rowNum))),"Ready to Fix",""))</f>
        <v/>
      </c>
    </row>
    <row r="3262" spans="6:6">
      <c r="F3262" s="1" t="str" cm="1">
        <f t="array" ref="F3262">_xlfn.LET(_xlpm.rowNum,MATCH(E3262,'glossaryterms-export'!C:C,0),
IF(AND(NOT(ISBLANK(INDEX('glossaryterms-export'!H:H,_xlpm.rowNum))),ISBLANK(INDEX('glossaryterms-export'!I:I,_xlpm.rowNum))),"Ready to Fix",""))</f>
        <v/>
      </c>
    </row>
    <row r="3263" spans="6:6">
      <c r="F3263" s="1" t="str" cm="1">
        <f t="array" ref="F3263">_xlfn.LET(_xlpm.rowNum,MATCH(E3263,'glossaryterms-export'!C:C,0),
IF(AND(NOT(ISBLANK(INDEX('glossaryterms-export'!H:H,_xlpm.rowNum))),ISBLANK(INDEX('glossaryterms-export'!I:I,_xlpm.rowNum))),"Ready to Fix",""))</f>
        <v/>
      </c>
    </row>
    <row r="3264" spans="6:6">
      <c r="F3264" s="1" t="str" cm="1">
        <f t="array" ref="F3264">_xlfn.LET(_xlpm.rowNum,MATCH(E3264,'glossaryterms-export'!C:C,0),
IF(AND(NOT(ISBLANK(INDEX('glossaryterms-export'!H:H,_xlpm.rowNum))),ISBLANK(INDEX('glossaryterms-export'!I:I,_xlpm.rowNum))),"Ready to Fix",""))</f>
        <v/>
      </c>
    </row>
    <row r="3265" spans="6:6">
      <c r="F3265" s="1" t="str" cm="1">
        <f t="array" ref="F3265">_xlfn.LET(_xlpm.rowNum,MATCH(E3265,'glossaryterms-export'!C:C,0),
IF(AND(NOT(ISBLANK(INDEX('glossaryterms-export'!H:H,_xlpm.rowNum))),ISBLANK(INDEX('glossaryterms-export'!I:I,_xlpm.rowNum))),"Ready to Fix",""))</f>
        <v/>
      </c>
    </row>
    <row r="3266" spans="6:6">
      <c r="F3266" s="1" t="str" cm="1">
        <f t="array" ref="F3266">_xlfn.LET(_xlpm.rowNum,MATCH(E3266,'glossaryterms-export'!C:C,0),
IF(AND(NOT(ISBLANK(INDEX('glossaryterms-export'!H:H,_xlpm.rowNum))),ISBLANK(INDEX('glossaryterms-export'!I:I,_xlpm.rowNum))),"Ready to Fix",""))</f>
        <v/>
      </c>
    </row>
    <row r="3267" spans="6:6">
      <c r="F3267" s="1" t="str" cm="1">
        <f t="array" ref="F3267">_xlfn.LET(_xlpm.rowNum,MATCH(E3267,'glossaryterms-export'!C:C,0),
IF(AND(NOT(ISBLANK(INDEX('glossaryterms-export'!H:H,_xlpm.rowNum))),ISBLANK(INDEX('glossaryterms-export'!I:I,_xlpm.rowNum))),"Ready to Fix",""))</f>
        <v/>
      </c>
    </row>
    <row r="3268" spans="6:6">
      <c r="F3268" s="1" t="str" cm="1">
        <f t="array" ref="F3268">_xlfn.LET(_xlpm.rowNum,MATCH(E3268,'glossaryterms-export'!C:C,0),
IF(AND(NOT(ISBLANK(INDEX('glossaryterms-export'!H:H,_xlpm.rowNum))),ISBLANK(INDEX('glossaryterms-export'!I:I,_xlpm.rowNum))),"Ready to Fix",""))</f>
        <v/>
      </c>
    </row>
    <row r="3269" spans="6:6">
      <c r="F3269" s="1" t="str" cm="1">
        <f t="array" ref="F3269">_xlfn.LET(_xlpm.rowNum,MATCH(E3269,'glossaryterms-export'!C:C,0),
IF(AND(NOT(ISBLANK(INDEX('glossaryterms-export'!H:H,_xlpm.rowNum))),ISBLANK(INDEX('glossaryterms-export'!I:I,_xlpm.rowNum))),"Ready to Fix",""))</f>
        <v/>
      </c>
    </row>
    <row r="3270" spans="6:6">
      <c r="F3270" s="1" t="str" cm="1">
        <f t="array" ref="F3270">_xlfn.LET(_xlpm.rowNum,MATCH(E3270,'glossaryterms-export'!C:C,0),
IF(AND(NOT(ISBLANK(INDEX('glossaryterms-export'!H:H,_xlpm.rowNum))),ISBLANK(INDEX('glossaryterms-export'!I:I,_xlpm.rowNum))),"Ready to Fix",""))</f>
        <v/>
      </c>
    </row>
    <row r="3271" spans="6:6">
      <c r="F3271" s="1" t="str" cm="1">
        <f t="array" ref="F3271">_xlfn.LET(_xlpm.rowNum,MATCH(E3271,'glossaryterms-export'!C:C,0),
IF(AND(NOT(ISBLANK(INDEX('glossaryterms-export'!H:H,_xlpm.rowNum))),ISBLANK(INDEX('glossaryterms-export'!I:I,_xlpm.rowNum))),"Ready to Fix",""))</f>
        <v/>
      </c>
    </row>
    <row r="3272" spans="6:6">
      <c r="F3272" s="1" t="str" cm="1">
        <f t="array" ref="F3272">_xlfn.LET(_xlpm.rowNum,MATCH(E3272,'glossaryterms-export'!C:C,0),
IF(AND(NOT(ISBLANK(INDEX('glossaryterms-export'!H:H,_xlpm.rowNum))),ISBLANK(INDEX('glossaryterms-export'!I:I,_xlpm.rowNum))),"Ready to Fix",""))</f>
        <v/>
      </c>
    </row>
    <row r="3273" spans="6:6">
      <c r="F3273" s="1" t="str" cm="1">
        <f t="array" ref="F3273">_xlfn.LET(_xlpm.rowNum,MATCH(E3273,'glossaryterms-export'!C:C,0),
IF(AND(NOT(ISBLANK(INDEX('glossaryterms-export'!H:H,_xlpm.rowNum))),ISBLANK(INDEX('glossaryterms-export'!I:I,_xlpm.rowNum))),"Ready to Fix",""))</f>
        <v/>
      </c>
    </row>
    <row r="3274" spans="6:6">
      <c r="F3274" s="1" t="str" cm="1">
        <f t="array" ref="F3274">_xlfn.LET(_xlpm.rowNum,MATCH(E3274,'glossaryterms-export'!C:C,0),
IF(AND(NOT(ISBLANK(INDEX('glossaryterms-export'!H:H,_xlpm.rowNum))),ISBLANK(INDEX('glossaryterms-export'!I:I,_xlpm.rowNum))),"Ready to Fix",""))</f>
        <v/>
      </c>
    </row>
    <row r="3275" spans="6:6">
      <c r="F3275" s="1" t="str" cm="1">
        <f t="array" ref="F3275">_xlfn.LET(_xlpm.rowNum,MATCH(E3275,'glossaryterms-export'!C:C,0),
IF(AND(NOT(ISBLANK(INDEX('glossaryterms-export'!H:H,_xlpm.rowNum))),ISBLANK(INDEX('glossaryterms-export'!I:I,_xlpm.rowNum))),"Ready to Fix",""))</f>
        <v/>
      </c>
    </row>
    <row r="3276" spans="6:6">
      <c r="F3276" s="1" t="str" cm="1">
        <f t="array" ref="F3276">_xlfn.LET(_xlpm.rowNum,MATCH(E3276,'glossaryterms-export'!C:C,0),
IF(AND(NOT(ISBLANK(INDEX('glossaryterms-export'!H:H,_xlpm.rowNum))),ISBLANK(INDEX('glossaryterms-export'!I:I,_xlpm.rowNum))),"Ready to Fix",""))</f>
        <v/>
      </c>
    </row>
    <row r="3277" spans="6:6">
      <c r="F3277" s="1" t="str" cm="1">
        <f t="array" ref="F3277">_xlfn.LET(_xlpm.rowNum,MATCH(E3277,'glossaryterms-export'!C:C,0),
IF(AND(NOT(ISBLANK(INDEX('glossaryterms-export'!H:H,_xlpm.rowNum))),ISBLANK(INDEX('glossaryterms-export'!I:I,_xlpm.rowNum))),"Ready to Fix",""))</f>
        <v/>
      </c>
    </row>
    <row r="3278" spans="6:6">
      <c r="F3278" s="1" t="str" cm="1">
        <f t="array" ref="F3278">_xlfn.LET(_xlpm.rowNum,MATCH(E3278,'glossaryterms-export'!C:C,0),
IF(AND(NOT(ISBLANK(INDEX('glossaryterms-export'!H:H,_xlpm.rowNum))),ISBLANK(INDEX('glossaryterms-export'!I:I,_xlpm.rowNum))),"Ready to Fix",""))</f>
        <v/>
      </c>
    </row>
    <row r="3279" spans="6:6">
      <c r="F3279" s="1" t="str" cm="1">
        <f t="array" ref="F3279">_xlfn.LET(_xlpm.rowNum,MATCH(E3279,'glossaryterms-export'!C:C,0),
IF(AND(NOT(ISBLANK(INDEX('glossaryterms-export'!H:H,_xlpm.rowNum))),ISBLANK(INDEX('glossaryterms-export'!I:I,_xlpm.rowNum))),"Ready to Fix",""))</f>
        <v/>
      </c>
    </row>
    <row r="3280" spans="6:6">
      <c r="F3280" s="1" t="str" cm="1">
        <f t="array" ref="F3280">_xlfn.LET(_xlpm.rowNum,MATCH(E3280,'glossaryterms-export'!C:C,0),
IF(AND(NOT(ISBLANK(INDEX('glossaryterms-export'!H:H,_xlpm.rowNum))),ISBLANK(INDEX('glossaryterms-export'!I:I,_xlpm.rowNum))),"Ready to Fix",""))</f>
        <v/>
      </c>
    </row>
    <row r="3281" spans="6:6">
      <c r="F3281" s="1" t="str" cm="1">
        <f t="array" ref="F3281">_xlfn.LET(_xlpm.rowNum,MATCH(E3281,'glossaryterms-export'!C:C,0),
IF(AND(NOT(ISBLANK(INDEX('glossaryterms-export'!H:H,_xlpm.rowNum))),ISBLANK(INDEX('glossaryterms-export'!I:I,_xlpm.rowNum))),"Ready to Fix",""))</f>
        <v/>
      </c>
    </row>
    <row r="3282" spans="6:6">
      <c r="F3282" s="1" t="str" cm="1">
        <f t="array" ref="F3282">_xlfn.LET(_xlpm.rowNum,MATCH(E3282,'glossaryterms-export'!C:C,0),
IF(AND(NOT(ISBLANK(INDEX('glossaryterms-export'!H:H,_xlpm.rowNum))),ISBLANK(INDEX('glossaryterms-export'!I:I,_xlpm.rowNum))),"Ready to Fix",""))</f>
        <v/>
      </c>
    </row>
    <row r="3283" spans="6:6">
      <c r="F3283" s="1" t="str" cm="1">
        <f t="array" ref="F3283">_xlfn.LET(_xlpm.rowNum,MATCH(E3283,'glossaryterms-export'!C:C,0),
IF(AND(NOT(ISBLANK(INDEX('glossaryterms-export'!H:H,_xlpm.rowNum))),ISBLANK(INDEX('glossaryterms-export'!I:I,_xlpm.rowNum))),"Ready to Fix",""))</f>
        <v/>
      </c>
    </row>
    <row r="3284" spans="6:6">
      <c r="F3284" s="1" t="str" cm="1">
        <f t="array" ref="F3284">_xlfn.LET(_xlpm.rowNum,MATCH(E3284,'glossaryterms-export'!C:C,0),
IF(AND(NOT(ISBLANK(INDEX('glossaryterms-export'!H:H,_xlpm.rowNum))),ISBLANK(INDEX('glossaryterms-export'!I:I,_xlpm.rowNum))),"Ready to Fix",""))</f>
        <v/>
      </c>
    </row>
    <row r="3285" spans="6:6">
      <c r="F3285" s="1" t="str" cm="1">
        <f t="array" ref="F3285">_xlfn.LET(_xlpm.rowNum,MATCH(E3285,'glossaryterms-export'!C:C,0),
IF(AND(NOT(ISBLANK(INDEX('glossaryterms-export'!H:H,_xlpm.rowNum))),ISBLANK(INDEX('glossaryterms-export'!I:I,_xlpm.rowNum))),"Ready to Fix",""))</f>
        <v/>
      </c>
    </row>
    <row r="3286" spans="6:6">
      <c r="F3286" s="1" t="str" cm="1">
        <f t="array" ref="F3286">_xlfn.LET(_xlpm.rowNum,MATCH(E3286,'glossaryterms-export'!C:C,0),
IF(AND(NOT(ISBLANK(INDEX('glossaryterms-export'!H:H,_xlpm.rowNum))),ISBLANK(INDEX('glossaryterms-export'!I:I,_xlpm.rowNum))),"Ready to Fix",""))</f>
        <v/>
      </c>
    </row>
    <row r="3287" spans="6:6">
      <c r="F3287" s="1" t="str" cm="1">
        <f t="array" ref="F3287">_xlfn.LET(_xlpm.rowNum,MATCH(E3287,'glossaryterms-export'!C:C,0),
IF(AND(NOT(ISBLANK(INDEX('glossaryterms-export'!H:H,_xlpm.rowNum))),ISBLANK(INDEX('glossaryterms-export'!I:I,_xlpm.rowNum))),"Ready to Fix",""))</f>
        <v/>
      </c>
    </row>
    <row r="3288" spans="6:6">
      <c r="F3288" s="1" t="str" cm="1">
        <f t="array" ref="F3288">_xlfn.LET(_xlpm.rowNum,MATCH(E3288,'glossaryterms-export'!C:C,0),
IF(AND(NOT(ISBLANK(INDEX('glossaryterms-export'!H:H,_xlpm.rowNum))),ISBLANK(INDEX('glossaryterms-export'!I:I,_xlpm.rowNum))),"Ready to Fix",""))</f>
        <v/>
      </c>
    </row>
    <row r="3289" spans="6:6">
      <c r="F3289" s="1" t="str" cm="1">
        <f t="array" ref="F3289">_xlfn.LET(_xlpm.rowNum,MATCH(E3289,'glossaryterms-export'!C:C,0),
IF(AND(NOT(ISBLANK(INDEX('glossaryterms-export'!H:H,_xlpm.rowNum))),ISBLANK(INDEX('glossaryterms-export'!I:I,_xlpm.rowNum))),"Ready to Fix",""))</f>
        <v/>
      </c>
    </row>
    <row r="3290" spans="6:6">
      <c r="F3290" s="1" t="str" cm="1">
        <f t="array" ref="F3290">_xlfn.LET(_xlpm.rowNum,MATCH(E3290,'glossaryterms-export'!C:C,0),
IF(AND(NOT(ISBLANK(INDEX('glossaryterms-export'!H:H,_xlpm.rowNum))),ISBLANK(INDEX('glossaryterms-export'!I:I,_xlpm.rowNum))),"Ready to Fix",""))</f>
        <v/>
      </c>
    </row>
    <row r="3291" spans="6:6">
      <c r="F3291" s="1" t="str" cm="1">
        <f t="array" ref="F3291">_xlfn.LET(_xlpm.rowNum,MATCH(E3291,'glossaryterms-export'!C:C,0),
IF(AND(NOT(ISBLANK(INDEX('glossaryterms-export'!H:H,_xlpm.rowNum))),ISBLANK(INDEX('glossaryterms-export'!I:I,_xlpm.rowNum))),"Ready to Fix",""))</f>
        <v/>
      </c>
    </row>
    <row r="3292" spans="6:6">
      <c r="F3292" s="1" t="str" cm="1">
        <f t="array" ref="F3292">_xlfn.LET(_xlpm.rowNum,MATCH(E3292,'glossaryterms-export'!C:C,0),
IF(AND(NOT(ISBLANK(INDEX('glossaryterms-export'!H:H,_xlpm.rowNum))),ISBLANK(INDEX('glossaryterms-export'!I:I,_xlpm.rowNum))),"Ready to Fix",""))</f>
        <v/>
      </c>
    </row>
    <row r="3293" spans="6:6">
      <c r="F3293" s="1" t="str" cm="1">
        <f t="array" ref="F3293">_xlfn.LET(_xlpm.rowNum,MATCH(E3293,'glossaryterms-export'!C:C,0),
IF(AND(NOT(ISBLANK(INDEX('glossaryterms-export'!H:H,_xlpm.rowNum))),ISBLANK(INDEX('glossaryterms-export'!I:I,_xlpm.rowNum))),"Ready to Fix",""))</f>
        <v/>
      </c>
    </row>
    <row r="3294" spans="6:6">
      <c r="F3294" s="1" t="str" cm="1">
        <f t="array" ref="F3294">_xlfn.LET(_xlpm.rowNum,MATCH(E3294,'glossaryterms-export'!C:C,0),
IF(AND(NOT(ISBLANK(INDEX('glossaryterms-export'!H:H,_xlpm.rowNum))),ISBLANK(INDEX('glossaryterms-export'!I:I,_xlpm.rowNum))),"Ready to Fix",""))</f>
        <v/>
      </c>
    </row>
    <row r="3295" spans="6:6">
      <c r="F3295" s="1" t="str" cm="1">
        <f t="array" ref="F3295">_xlfn.LET(_xlpm.rowNum,MATCH(E3295,'glossaryterms-export'!C:C,0),
IF(AND(NOT(ISBLANK(INDEX('glossaryterms-export'!H:H,_xlpm.rowNum))),ISBLANK(INDEX('glossaryterms-export'!I:I,_xlpm.rowNum))),"Ready to Fix",""))</f>
        <v/>
      </c>
    </row>
    <row r="3296" spans="6:6">
      <c r="F3296" s="1" t="str" cm="1">
        <f t="array" ref="F3296">_xlfn.LET(_xlpm.rowNum,MATCH(E3296,'glossaryterms-export'!C:C,0),
IF(AND(NOT(ISBLANK(INDEX('glossaryterms-export'!H:H,_xlpm.rowNum))),ISBLANK(INDEX('glossaryterms-export'!I:I,_xlpm.rowNum))),"Ready to Fix",""))</f>
        <v/>
      </c>
    </row>
    <row r="3297" spans="6:6">
      <c r="F3297" s="1" t="str" cm="1">
        <f t="array" ref="F3297">_xlfn.LET(_xlpm.rowNum,MATCH(E3297,'glossaryterms-export'!C:C,0),
IF(AND(NOT(ISBLANK(INDEX('glossaryterms-export'!H:H,_xlpm.rowNum))),ISBLANK(INDEX('glossaryterms-export'!I:I,_xlpm.rowNum))),"Ready to Fix",""))</f>
        <v/>
      </c>
    </row>
    <row r="3298" spans="6:6">
      <c r="F3298" s="1" t="str" cm="1">
        <f t="array" ref="F3298">_xlfn.LET(_xlpm.rowNum,MATCH(E3298,'glossaryterms-export'!C:C,0),
IF(AND(NOT(ISBLANK(INDEX('glossaryterms-export'!H:H,_xlpm.rowNum))),ISBLANK(INDEX('glossaryterms-export'!I:I,_xlpm.rowNum))),"Ready to Fix",""))</f>
        <v/>
      </c>
    </row>
    <row r="3299" spans="6:6">
      <c r="F3299" s="1" t="str" cm="1">
        <f t="array" ref="F3299">_xlfn.LET(_xlpm.rowNum,MATCH(E3299,'glossaryterms-export'!C:C,0),
IF(AND(NOT(ISBLANK(INDEX('glossaryterms-export'!H:H,_xlpm.rowNum))),ISBLANK(INDEX('glossaryterms-export'!I:I,_xlpm.rowNum))),"Ready to Fix",""))</f>
        <v/>
      </c>
    </row>
    <row r="3300" spans="6:6">
      <c r="F3300" s="1" t="str" cm="1">
        <f t="array" ref="F3300">_xlfn.LET(_xlpm.rowNum,MATCH(E3300,'glossaryterms-export'!C:C,0),
IF(AND(NOT(ISBLANK(INDEX('glossaryterms-export'!H:H,_xlpm.rowNum))),ISBLANK(INDEX('glossaryterms-export'!I:I,_xlpm.rowNum))),"Ready to Fix",""))</f>
        <v/>
      </c>
    </row>
    <row r="3301" spans="6:6">
      <c r="F3301" s="1" t="str" cm="1">
        <f t="array" ref="F3301">_xlfn.LET(_xlpm.rowNum,MATCH(E3301,'glossaryterms-export'!C:C,0),
IF(AND(NOT(ISBLANK(INDEX('glossaryterms-export'!H:H,_xlpm.rowNum))),ISBLANK(INDEX('glossaryterms-export'!I:I,_xlpm.rowNum))),"Ready to Fix",""))</f>
        <v/>
      </c>
    </row>
    <row r="3302" spans="6:6">
      <c r="F3302" s="1" t="str" cm="1">
        <f t="array" ref="F3302">_xlfn.LET(_xlpm.rowNum,MATCH(E3302,'glossaryterms-export'!C:C,0),
IF(AND(NOT(ISBLANK(INDEX('glossaryterms-export'!H:H,_xlpm.rowNum))),ISBLANK(INDEX('glossaryterms-export'!I:I,_xlpm.rowNum))),"Ready to Fix",""))</f>
        <v/>
      </c>
    </row>
    <row r="3303" spans="6:6">
      <c r="F3303" s="1" t="str" cm="1">
        <f t="array" ref="F3303">_xlfn.LET(_xlpm.rowNum,MATCH(E3303,'glossaryterms-export'!C:C,0),
IF(AND(NOT(ISBLANK(INDEX('glossaryterms-export'!H:H,_xlpm.rowNum))),ISBLANK(INDEX('glossaryterms-export'!I:I,_xlpm.rowNum))),"Ready to Fix",""))</f>
        <v/>
      </c>
    </row>
    <row r="3304" spans="6:6">
      <c r="F3304" s="1" t="str" cm="1">
        <f t="array" ref="F3304">_xlfn.LET(_xlpm.rowNum,MATCH(E3304,'glossaryterms-export'!C:C,0),
IF(AND(NOT(ISBLANK(INDEX('glossaryterms-export'!H:H,_xlpm.rowNum))),ISBLANK(INDEX('glossaryterms-export'!I:I,_xlpm.rowNum))),"Ready to Fix",""))</f>
        <v/>
      </c>
    </row>
    <row r="3305" spans="6:6">
      <c r="F3305" s="1" t="str" cm="1">
        <f t="array" ref="F3305">_xlfn.LET(_xlpm.rowNum,MATCH(E3305,'glossaryterms-export'!C:C,0),
IF(AND(NOT(ISBLANK(INDEX('glossaryterms-export'!H:H,_xlpm.rowNum))),ISBLANK(INDEX('glossaryterms-export'!I:I,_xlpm.rowNum))),"Ready to Fix",""))</f>
        <v/>
      </c>
    </row>
    <row r="3306" spans="6:6">
      <c r="F3306" s="1" t="str" cm="1">
        <f t="array" ref="F3306">_xlfn.LET(_xlpm.rowNum,MATCH(E3306,'glossaryterms-export'!C:C,0),
IF(AND(NOT(ISBLANK(INDEX('glossaryterms-export'!H:H,_xlpm.rowNum))),ISBLANK(INDEX('glossaryterms-export'!I:I,_xlpm.rowNum))),"Ready to Fix",""))</f>
        <v/>
      </c>
    </row>
    <row r="3307" spans="6:6">
      <c r="F3307" s="1" t="str" cm="1">
        <f t="array" ref="F3307">_xlfn.LET(_xlpm.rowNum,MATCH(E3307,'glossaryterms-export'!C:C,0),
IF(AND(NOT(ISBLANK(INDEX('glossaryterms-export'!H:H,_xlpm.rowNum))),ISBLANK(INDEX('glossaryterms-export'!I:I,_xlpm.rowNum))),"Ready to Fix",""))</f>
        <v/>
      </c>
    </row>
    <row r="3308" spans="6:6">
      <c r="F3308" s="1" t="str" cm="1">
        <f t="array" ref="F3308">_xlfn.LET(_xlpm.rowNum,MATCH(E3308,'glossaryterms-export'!C:C,0),
IF(AND(NOT(ISBLANK(INDEX('glossaryterms-export'!H:H,_xlpm.rowNum))),ISBLANK(INDEX('glossaryterms-export'!I:I,_xlpm.rowNum))),"Ready to Fix",""))</f>
        <v/>
      </c>
    </row>
    <row r="3309" spans="6:6">
      <c r="F3309" s="1" t="str" cm="1">
        <f t="array" ref="F3309">_xlfn.LET(_xlpm.rowNum,MATCH(E3309,'glossaryterms-export'!C:C,0),
IF(AND(NOT(ISBLANK(INDEX('glossaryterms-export'!H:H,_xlpm.rowNum))),ISBLANK(INDEX('glossaryterms-export'!I:I,_xlpm.rowNum))),"Ready to Fix",""))</f>
        <v/>
      </c>
    </row>
    <row r="3310" spans="6:6">
      <c r="F3310" s="1" t="str" cm="1">
        <f t="array" ref="F3310">_xlfn.LET(_xlpm.rowNum,MATCH(E3310,'glossaryterms-export'!C:C,0),
IF(AND(NOT(ISBLANK(INDEX('glossaryterms-export'!H:H,_xlpm.rowNum))),ISBLANK(INDEX('glossaryterms-export'!I:I,_xlpm.rowNum))),"Ready to Fix",""))</f>
        <v/>
      </c>
    </row>
    <row r="3311" spans="6:6">
      <c r="F3311" s="1" t="str" cm="1">
        <f t="array" ref="F3311">_xlfn.LET(_xlpm.rowNum,MATCH(E3311,'glossaryterms-export'!C:C,0),
IF(AND(NOT(ISBLANK(INDEX('glossaryterms-export'!H:H,_xlpm.rowNum))),ISBLANK(INDEX('glossaryterms-export'!I:I,_xlpm.rowNum))),"Ready to Fix",""))</f>
        <v/>
      </c>
    </row>
    <row r="3312" spans="6:6">
      <c r="F3312" s="1" t="str" cm="1">
        <f t="array" ref="F3312">_xlfn.LET(_xlpm.rowNum,MATCH(E3312,'glossaryterms-export'!C:C,0),
IF(AND(NOT(ISBLANK(INDEX('glossaryterms-export'!H:H,_xlpm.rowNum))),ISBLANK(INDEX('glossaryterms-export'!I:I,_xlpm.rowNum))),"Ready to Fix",""))</f>
        <v/>
      </c>
    </row>
    <row r="3313" spans="6:6">
      <c r="F3313" s="1" t="str" cm="1">
        <f t="array" ref="F3313">_xlfn.LET(_xlpm.rowNum,MATCH(E3313,'glossaryterms-export'!C:C,0),
IF(AND(NOT(ISBLANK(INDEX('glossaryterms-export'!H:H,_xlpm.rowNum))),ISBLANK(INDEX('glossaryterms-export'!I:I,_xlpm.rowNum))),"Ready to Fix",""))</f>
        <v/>
      </c>
    </row>
    <row r="3314" spans="6:6">
      <c r="F3314" s="1" t="str" cm="1">
        <f t="array" ref="F3314">_xlfn.LET(_xlpm.rowNum,MATCH(E3314,'glossaryterms-export'!C:C,0),
IF(AND(NOT(ISBLANK(INDEX('glossaryterms-export'!H:H,_xlpm.rowNum))),ISBLANK(INDEX('glossaryterms-export'!I:I,_xlpm.rowNum))),"Ready to Fix",""))</f>
        <v/>
      </c>
    </row>
    <row r="3315" spans="6:6">
      <c r="F3315" s="1" t="str" cm="1">
        <f t="array" ref="F3315">_xlfn.LET(_xlpm.rowNum,MATCH(E3315,'glossaryterms-export'!C:C,0),
IF(AND(NOT(ISBLANK(INDEX('glossaryterms-export'!H:H,_xlpm.rowNum))),ISBLANK(INDEX('glossaryterms-export'!I:I,_xlpm.rowNum))),"Ready to Fix",""))</f>
        <v/>
      </c>
    </row>
    <row r="3316" spans="6:6">
      <c r="F3316" s="1" t="str" cm="1">
        <f t="array" ref="F3316">_xlfn.LET(_xlpm.rowNum,MATCH(E3316,'glossaryterms-export'!C:C,0),
IF(AND(NOT(ISBLANK(INDEX('glossaryterms-export'!H:H,_xlpm.rowNum))),ISBLANK(INDEX('glossaryterms-export'!I:I,_xlpm.rowNum))),"Ready to Fix",""))</f>
        <v/>
      </c>
    </row>
    <row r="3317" spans="6:6">
      <c r="F3317" s="1" t="str" cm="1">
        <f t="array" ref="F3317">_xlfn.LET(_xlpm.rowNum,MATCH(E3317,'glossaryterms-export'!C:C,0),
IF(AND(NOT(ISBLANK(INDEX('glossaryterms-export'!H:H,_xlpm.rowNum))),ISBLANK(INDEX('glossaryterms-export'!I:I,_xlpm.rowNum))),"Ready to Fix",""))</f>
        <v/>
      </c>
    </row>
    <row r="3318" spans="6:6">
      <c r="F3318" s="1" t="str" cm="1">
        <f t="array" ref="F3318">_xlfn.LET(_xlpm.rowNum,MATCH(E3318,'glossaryterms-export'!C:C,0),
IF(AND(NOT(ISBLANK(INDEX('glossaryterms-export'!H:H,_xlpm.rowNum))),ISBLANK(INDEX('glossaryterms-export'!I:I,_xlpm.rowNum))),"Ready to Fix",""))</f>
        <v/>
      </c>
    </row>
    <row r="3319" spans="6:6">
      <c r="F3319" s="1" t="str" cm="1">
        <f t="array" ref="F3319">_xlfn.LET(_xlpm.rowNum,MATCH(E3319,'glossaryterms-export'!C:C,0),
IF(AND(NOT(ISBLANK(INDEX('glossaryterms-export'!H:H,_xlpm.rowNum))),ISBLANK(INDEX('glossaryterms-export'!I:I,_xlpm.rowNum))),"Ready to Fix",""))</f>
        <v/>
      </c>
    </row>
    <row r="3320" spans="6:6">
      <c r="F3320" s="1" t="str" cm="1">
        <f t="array" ref="F3320">_xlfn.LET(_xlpm.rowNum,MATCH(E3320,'glossaryterms-export'!C:C,0),
IF(AND(NOT(ISBLANK(INDEX('glossaryterms-export'!H:H,_xlpm.rowNum))),ISBLANK(INDEX('glossaryterms-export'!I:I,_xlpm.rowNum))),"Ready to Fix",""))</f>
        <v/>
      </c>
    </row>
    <row r="3321" spans="6:6">
      <c r="F3321" s="1" t="str" cm="1">
        <f t="array" ref="F3321">_xlfn.LET(_xlpm.rowNum,MATCH(E3321,'glossaryterms-export'!C:C,0),
IF(AND(NOT(ISBLANK(INDEX('glossaryterms-export'!H:H,_xlpm.rowNum))),ISBLANK(INDEX('glossaryterms-export'!I:I,_xlpm.rowNum))),"Ready to Fix",""))</f>
        <v/>
      </c>
    </row>
    <row r="3322" spans="6:6">
      <c r="F3322" s="1" t="str" cm="1">
        <f t="array" ref="F3322">_xlfn.LET(_xlpm.rowNum,MATCH(E3322,'glossaryterms-export'!C:C,0),
IF(AND(NOT(ISBLANK(INDEX('glossaryterms-export'!H:H,_xlpm.rowNum))),ISBLANK(INDEX('glossaryterms-export'!I:I,_xlpm.rowNum))),"Ready to Fix",""))</f>
        <v/>
      </c>
    </row>
    <row r="3323" spans="6:6">
      <c r="F3323" s="1" t="str" cm="1">
        <f t="array" ref="F3323">_xlfn.LET(_xlpm.rowNum,MATCH(E3323,'glossaryterms-export'!C:C,0),
IF(AND(NOT(ISBLANK(INDEX('glossaryterms-export'!H:H,_xlpm.rowNum))),ISBLANK(INDEX('glossaryterms-export'!I:I,_xlpm.rowNum))),"Ready to Fix",""))</f>
        <v/>
      </c>
    </row>
    <row r="3324" spans="6:6">
      <c r="F3324" s="1" t="str" cm="1">
        <f t="array" ref="F3324">_xlfn.LET(_xlpm.rowNum,MATCH(E3324,'glossaryterms-export'!C:C,0),
IF(AND(NOT(ISBLANK(INDEX('glossaryterms-export'!H:H,_xlpm.rowNum))),ISBLANK(INDEX('glossaryterms-export'!I:I,_xlpm.rowNum))),"Ready to Fix",""))</f>
        <v/>
      </c>
    </row>
    <row r="3325" spans="6:6">
      <c r="F3325" s="1" t="str" cm="1">
        <f t="array" ref="F3325">_xlfn.LET(_xlpm.rowNum,MATCH(E3325,'glossaryterms-export'!C:C,0),
IF(AND(NOT(ISBLANK(INDEX('glossaryterms-export'!H:H,_xlpm.rowNum))),ISBLANK(INDEX('glossaryterms-export'!I:I,_xlpm.rowNum))),"Ready to Fix",""))</f>
        <v/>
      </c>
    </row>
    <row r="3326" spans="6:6">
      <c r="F3326" s="1" t="str" cm="1">
        <f t="array" ref="F3326">_xlfn.LET(_xlpm.rowNum,MATCH(E3326,'glossaryterms-export'!C:C,0),
IF(AND(NOT(ISBLANK(INDEX('glossaryterms-export'!H:H,_xlpm.rowNum))),ISBLANK(INDEX('glossaryterms-export'!I:I,_xlpm.rowNum))),"Ready to Fix",""))</f>
        <v/>
      </c>
    </row>
    <row r="3327" spans="6:6">
      <c r="F3327" s="1" t="str" cm="1">
        <f t="array" ref="F3327">_xlfn.LET(_xlpm.rowNum,MATCH(E3327,'glossaryterms-export'!C:C,0),
IF(AND(NOT(ISBLANK(INDEX('glossaryterms-export'!H:H,_xlpm.rowNum))),ISBLANK(INDEX('glossaryterms-export'!I:I,_xlpm.rowNum))),"Ready to Fix",""))</f>
        <v/>
      </c>
    </row>
    <row r="3328" spans="6:6">
      <c r="F3328" s="1" t="str" cm="1">
        <f t="array" ref="F3328">_xlfn.LET(_xlpm.rowNum,MATCH(E3328,'glossaryterms-export'!C:C,0),
IF(AND(NOT(ISBLANK(INDEX('glossaryterms-export'!H:H,_xlpm.rowNum))),ISBLANK(INDEX('glossaryterms-export'!I:I,_xlpm.rowNum))),"Ready to Fix",""))</f>
        <v/>
      </c>
    </row>
    <row r="3329" spans="6:6">
      <c r="F3329" s="1" t="str" cm="1">
        <f t="array" ref="F3329">_xlfn.LET(_xlpm.rowNum,MATCH(E3329,'glossaryterms-export'!C:C,0),
IF(AND(NOT(ISBLANK(INDEX('glossaryterms-export'!H:H,_xlpm.rowNum))),ISBLANK(INDEX('glossaryterms-export'!I:I,_xlpm.rowNum))),"Ready to Fix",""))</f>
        <v/>
      </c>
    </row>
    <row r="3330" spans="6:6">
      <c r="F3330" s="1" t="str" cm="1">
        <f t="array" ref="F3330">_xlfn.LET(_xlpm.rowNum,MATCH(E3330,'glossaryterms-export'!C:C,0),
IF(AND(NOT(ISBLANK(INDEX('glossaryterms-export'!H:H,_xlpm.rowNum))),ISBLANK(INDEX('glossaryterms-export'!I:I,_xlpm.rowNum))),"Ready to Fix",""))</f>
        <v/>
      </c>
    </row>
    <row r="3331" spans="6:6">
      <c r="F3331" s="1" t="str" cm="1">
        <f t="array" ref="F3331">_xlfn.LET(_xlpm.rowNum,MATCH(E3331,'glossaryterms-export'!C:C,0),
IF(AND(NOT(ISBLANK(INDEX('glossaryterms-export'!H:H,_xlpm.rowNum))),ISBLANK(INDEX('glossaryterms-export'!I:I,_xlpm.rowNum))),"Ready to Fix",""))</f>
        <v/>
      </c>
    </row>
    <row r="3332" spans="6:6">
      <c r="F3332" s="1" t="str" cm="1">
        <f t="array" ref="F3332">_xlfn.LET(_xlpm.rowNum,MATCH(E3332,'glossaryterms-export'!C:C,0),
IF(AND(NOT(ISBLANK(INDEX('glossaryterms-export'!H:H,_xlpm.rowNum))),ISBLANK(INDEX('glossaryterms-export'!I:I,_xlpm.rowNum))),"Ready to Fix",""))</f>
        <v/>
      </c>
    </row>
    <row r="3333" spans="6:6">
      <c r="F3333" s="1" t="str" cm="1">
        <f t="array" ref="F3333">_xlfn.LET(_xlpm.rowNum,MATCH(E3333,'glossaryterms-export'!C:C,0),
IF(AND(NOT(ISBLANK(INDEX('glossaryterms-export'!H:H,_xlpm.rowNum))),ISBLANK(INDEX('glossaryterms-export'!I:I,_xlpm.rowNum))),"Ready to Fix",""))</f>
        <v/>
      </c>
    </row>
    <row r="3334" spans="6:6">
      <c r="F3334" s="1" t="str" cm="1">
        <f t="array" ref="F3334">_xlfn.LET(_xlpm.rowNum,MATCH(E3334,'glossaryterms-export'!C:C,0),
IF(AND(NOT(ISBLANK(INDEX('glossaryterms-export'!H:H,_xlpm.rowNum))),ISBLANK(INDEX('glossaryterms-export'!I:I,_xlpm.rowNum))),"Ready to Fix",""))</f>
        <v/>
      </c>
    </row>
    <row r="3335" spans="6:6">
      <c r="F3335" s="1" t="str" cm="1">
        <f t="array" ref="F3335">_xlfn.LET(_xlpm.rowNum,MATCH(E3335,'glossaryterms-export'!C:C,0),
IF(AND(NOT(ISBLANK(INDEX('glossaryterms-export'!H:H,_xlpm.rowNum))),ISBLANK(INDEX('glossaryterms-export'!I:I,_xlpm.rowNum))),"Ready to Fix",""))</f>
        <v/>
      </c>
    </row>
    <row r="3336" spans="6:6">
      <c r="F3336" s="1" t="str" cm="1">
        <f t="array" ref="F3336">_xlfn.LET(_xlpm.rowNum,MATCH(E3336,'glossaryterms-export'!C:C,0),
IF(AND(NOT(ISBLANK(INDEX('glossaryterms-export'!H:H,_xlpm.rowNum))),ISBLANK(INDEX('glossaryterms-export'!I:I,_xlpm.rowNum))),"Ready to Fix",""))</f>
        <v/>
      </c>
    </row>
    <row r="3337" spans="6:6">
      <c r="F3337" s="1" t="str" cm="1">
        <f t="array" ref="F3337">_xlfn.LET(_xlpm.rowNum,MATCH(E3337,'glossaryterms-export'!C:C,0),
IF(AND(NOT(ISBLANK(INDEX('glossaryterms-export'!H:H,_xlpm.rowNum))),ISBLANK(INDEX('glossaryterms-export'!I:I,_xlpm.rowNum))),"Ready to Fix",""))</f>
        <v/>
      </c>
    </row>
    <row r="3338" spans="6:6">
      <c r="F3338" s="1" t="str" cm="1">
        <f t="array" ref="F3338">_xlfn.LET(_xlpm.rowNum,MATCH(E3338,'glossaryterms-export'!C:C,0),
IF(AND(NOT(ISBLANK(INDEX('glossaryterms-export'!H:H,_xlpm.rowNum))),ISBLANK(INDEX('glossaryterms-export'!I:I,_xlpm.rowNum))),"Ready to Fix",""))</f>
        <v/>
      </c>
    </row>
    <row r="3339" spans="6:6">
      <c r="F3339" s="1" t="str" cm="1">
        <f t="array" ref="F3339">_xlfn.LET(_xlpm.rowNum,MATCH(E3339,'glossaryterms-export'!C:C,0),
IF(AND(NOT(ISBLANK(INDEX('glossaryterms-export'!H:H,_xlpm.rowNum))),ISBLANK(INDEX('glossaryterms-export'!I:I,_xlpm.rowNum))),"Ready to Fix",""))</f>
        <v/>
      </c>
    </row>
    <row r="3340" spans="6:6">
      <c r="F3340" s="1" t="str" cm="1">
        <f t="array" ref="F3340">_xlfn.LET(_xlpm.rowNum,MATCH(E3340,'glossaryterms-export'!C:C,0),
IF(AND(NOT(ISBLANK(INDEX('glossaryterms-export'!H:H,_xlpm.rowNum))),ISBLANK(INDEX('glossaryterms-export'!I:I,_xlpm.rowNum))),"Ready to Fix",""))</f>
        <v/>
      </c>
    </row>
    <row r="3341" spans="6:6">
      <c r="F3341" s="1" t="str" cm="1">
        <f t="array" ref="F3341">_xlfn.LET(_xlpm.rowNum,MATCH(E3341,'glossaryterms-export'!C:C,0),
IF(AND(NOT(ISBLANK(INDEX('glossaryterms-export'!H:H,_xlpm.rowNum))),ISBLANK(INDEX('glossaryterms-export'!I:I,_xlpm.rowNum))),"Ready to Fix",""))</f>
        <v/>
      </c>
    </row>
    <row r="3342" spans="6:6">
      <c r="F3342" s="1" t="str" cm="1">
        <f t="array" ref="F3342">_xlfn.LET(_xlpm.rowNum,MATCH(E3342,'glossaryterms-export'!C:C,0),
IF(AND(NOT(ISBLANK(INDEX('glossaryterms-export'!H:H,_xlpm.rowNum))),ISBLANK(INDEX('glossaryterms-export'!I:I,_xlpm.rowNum))),"Ready to Fix",""))</f>
        <v/>
      </c>
    </row>
    <row r="3343" spans="6:6">
      <c r="F3343" s="1" t="str" cm="1">
        <f t="array" ref="F3343">_xlfn.LET(_xlpm.rowNum,MATCH(E3343,'glossaryterms-export'!C:C,0),
IF(AND(NOT(ISBLANK(INDEX('glossaryterms-export'!H:H,_xlpm.rowNum))),ISBLANK(INDEX('glossaryterms-export'!I:I,_xlpm.rowNum))),"Ready to Fix",""))</f>
        <v/>
      </c>
    </row>
    <row r="3344" spans="6:6">
      <c r="F3344" s="1" t="str" cm="1">
        <f t="array" ref="F3344">_xlfn.LET(_xlpm.rowNum,MATCH(E3344,'glossaryterms-export'!C:C,0),
IF(AND(NOT(ISBLANK(INDEX('glossaryterms-export'!H:H,_xlpm.rowNum))),ISBLANK(INDEX('glossaryterms-export'!I:I,_xlpm.rowNum))),"Ready to Fix",""))</f>
        <v/>
      </c>
    </row>
    <row r="3345" spans="6:6">
      <c r="F3345" s="1" t="str" cm="1">
        <f t="array" ref="F3345">_xlfn.LET(_xlpm.rowNum,MATCH(E3345,'glossaryterms-export'!C:C,0),
IF(AND(NOT(ISBLANK(INDEX('glossaryterms-export'!H:H,_xlpm.rowNum))),ISBLANK(INDEX('glossaryterms-export'!I:I,_xlpm.rowNum))),"Ready to Fix",""))</f>
        <v/>
      </c>
    </row>
    <row r="3346" spans="6:6">
      <c r="F3346" s="1" t="str" cm="1">
        <f t="array" ref="F3346">_xlfn.LET(_xlpm.rowNum,MATCH(E3346,'glossaryterms-export'!C:C,0),
IF(AND(NOT(ISBLANK(INDEX('glossaryterms-export'!H:H,_xlpm.rowNum))),ISBLANK(INDEX('glossaryterms-export'!I:I,_xlpm.rowNum))),"Ready to Fix",""))</f>
        <v/>
      </c>
    </row>
    <row r="3347" spans="6:6">
      <c r="F3347" s="1" t="str" cm="1">
        <f t="array" ref="F3347">_xlfn.LET(_xlpm.rowNum,MATCH(E3347,'glossaryterms-export'!C:C,0),
IF(AND(NOT(ISBLANK(INDEX('glossaryterms-export'!H:H,_xlpm.rowNum))),ISBLANK(INDEX('glossaryterms-export'!I:I,_xlpm.rowNum))),"Ready to Fix",""))</f>
        <v/>
      </c>
    </row>
    <row r="3348" spans="6:6">
      <c r="F3348" s="1" t="str" cm="1">
        <f t="array" ref="F3348">_xlfn.LET(_xlpm.rowNum,MATCH(E3348,'glossaryterms-export'!C:C,0),
IF(AND(NOT(ISBLANK(INDEX('glossaryterms-export'!H:H,_xlpm.rowNum))),ISBLANK(INDEX('glossaryterms-export'!I:I,_xlpm.rowNum))),"Ready to Fix",""))</f>
        <v/>
      </c>
    </row>
    <row r="3349" spans="6:6">
      <c r="F3349" s="1" t="str" cm="1">
        <f t="array" ref="F3349">_xlfn.LET(_xlpm.rowNum,MATCH(E3349,'glossaryterms-export'!C:C,0),
IF(AND(NOT(ISBLANK(INDEX('glossaryterms-export'!H:H,_xlpm.rowNum))),ISBLANK(INDEX('glossaryterms-export'!I:I,_xlpm.rowNum))),"Ready to Fix",""))</f>
        <v/>
      </c>
    </row>
    <row r="3350" spans="6:6">
      <c r="F3350" s="1" t="str" cm="1">
        <f t="array" ref="F3350">_xlfn.LET(_xlpm.rowNum,MATCH(E3350,'glossaryterms-export'!C:C,0),
IF(AND(NOT(ISBLANK(INDEX('glossaryterms-export'!H:H,_xlpm.rowNum))),ISBLANK(INDEX('glossaryterms-export'!I:I,_xlpm.rowNum))),"Ready to Fix",""))</f>
        <v/>
      </c>
    </row>
    <row r="3351" spans="6:6">
      <c r="F3351" s="1" t="str" cm="1">
        <f t="array" ref="F3351">_xlfn.LET(_xlpm.rowNum,MATCH(E3351,'glossaryterms-export'!C:C,0),
IF(AND(NOT(ISBLANK(INDEX('glossaryterms-export'!H:H,_xlpm.rowNum))),ISBLANK(INDEX('glossaryterms-export'!I:I,_xlpm.rowNum))),"Ready to Fix",""))</f>
        <v/>
      </c>
    </row>
    <row r="3352" spans="6:6">
      <c r="F3352" s="1" t="str" cm="1">
        <f t="array" ref="F3352">_xlfn.LET(_xlpm.rowNum,MATCH(E3352,'glossaryterms-export'!C:C,0),
IF(AND(NOT(ISBLANK(INDEX('glossaryterms-export'!H:H,_xlpm.rowNum))),ISBLANK(INDEX('glossaryterms-export'!I:I,_xlpm.rowNum))),"Ready to Fix",""))</f>
        <v/>
      </c>
    </row>
    <row r="3353" spans="6:6">
      <c r="F3353" s="1" t="str" cm="1">
        <f t="array" ref="F3353">_xlfn.LET(_xlpm.rowNum,MATCH(E3353,'glossaryterms-export'!C:C,0),
IF(AND(NOT(ISBLANK(INDEX('glossaryterms-export'!H:H,_xlpm.rowNum))),ISBLANK(INDEX('glossaryterms-export'!I:I,_xlpm.rowNum))),"Ready to Fix",""))</f>
        <v/>
      </c>
    </row>
    <row r="3354" spans="6:6">
      <c r="F3354" s="1" t="str" cm="1">
        <f t="array" ref="F3354">_xlfn.LET(_xlpm.rowNum,MATCH(E3354,'glossaryterms-export'!C:C,0),
IF(AND(NOT(ISBLANK(INDEX('glossaryterms-export'!H:H,_xlpm.rowNum))),ISBLANK(INDEX('glossaryterms-export'!I:I,_xlpm.rowNum))),"Ready to Fix",""))</f>
        <v/>
      </c>
    </row>
    <row r="3355" spans="6:6">
      <c r="F3355" s="1" t="str" cm="1">
        <f t="array" ref="F3355">_xlfn.LET(_xlpm.rowNum,MATCH(E3355,'glossaryterms-export'!C:C,0),
IF(AND(NOT(ISBLANK(INDEX('glossaryterms-export'!H:H,_xlpm.rowNum))),ISBLANK(INDEX('glossaryterms-export'!I:I,_xlpm.rowNum))),"Ready to Fix",""))</f>
        <v/>
      </c>
    </row>
    <row r="3356" spans="6:6">
      <c r="F3356" s="1" t="str" cm="1">
        <f t="array" ref="F3356">_xlfn.LET(_xlpm.rowNum,MATCH(E3356,'glossaryterms-export'!C:C,0),
IF(AND(NOT(ISBLANK(INDEX('glossaryterms-export'!H:H,_xlpm.rowNum))),ISBLANK(INDEX('glossaryterms-export'!I:I,_xlpm.rowNum))),"Ready to Fix",""))</f>
        <v/>
      </c>
    </row>
    <row r="3357" spans="6:6">
      <c r="F3357" s="1" t="str" cm="1">
        <f t="array" ref="F3357">_xlfn.LET(_xlpm.rowNum,MATCH(E3357,'glossaryterms-export'!C:C,0),
IF(AND(NOT(ISBLANK(INDEX('glossaryterms-export'!H:H,_xlpm.rowNum))),ISBLANK(INDEX('glossaryterms-export'!I:I,_xlpm.rowNum))),"Ready to Fix",""))</f>
        <v/>
      </c>
    </row>
    <row r="3358" spans="6:6">
      <c r="F3358" s="1" t="str" cm="1">
        <f t="array" ref="F3358">_xlfn.LET(_xlpm.rowNum,MATCH(E3358,'glossaryterms-export'!C:C,0),
IF(AND(NOT(ISBLANK(INDEX('glossaryterms-export'!H:H,_xlpm.rowNum))),ISBLANK(INDEX('glossaryterms-export'!I:I,_xlpm.rowNum))),"Ready to Fix",""))</f>
        <v/>
      </c>
    </row>
    <row r="3359" spans="6:6">
      <c r="F3359" s="1" t="str" cm="1">
        <f t="array" ref="F3359">_xlfn.LET(_xlpm.rowNum,MATCH(E3359,'glossaryterms-export'!C:C,0),
IF(AND(NOT(ISBLANK(INDEX('glossaryterms-export'!H:H,_xlpm.rowNum))),ISBLANK(INDEX('glossaryterms-export'!I:I,_xlpm.rowNum))),"Ready to Fix",""))</f>
        <v/>
      </c>
    </row>
    <row r="3360" spans="6:6">
      <c r="F3360" s="1" t="str" cm="1">
        <f t="array" ref="F3360">_xlfn.LET(_xlpm.rowNum,MATCH(E3360,'glossaryterms-export'!C:C,0),
IF(AND(NOT(ISBLANK(INDEX('glossaryterms-export'!H:H,_xlpm.rowNum))),ISBLANK(INDEX('glossaryterms-export'!I:I,_xlpm.rowNum))),"Ready to Fix",""))</f>
        <v/>
      </c>
    </row>
    <row r="3361" spans="6:6">
      <c r="F3361" s="1" t="str" cm="1">
        <f t="array" ref="F3361">_xlfn.LET(_xlpm.rowNum,MATCH(E3361,'glossaryterms-export'!C:C,0),
IF(AND(NOT(ISBLANK(INDEX('glossaryterms-export'!H:H,_xlpm.rowNum))),ISBLANK(INDEX('glossaryterms-export'!I:I,_xlpm.rowNum))),"Ready to Fix",""))</f>
        <v/>
      </c>
    </row>
    <row r="3362" spans="6:6">
      <c r="F3362" s="1" t="str" cm="1">
        <f t="array" ref="F3362">_xlfn.LET(_xlpm.rowNum,MATCH(E3362,'glossaryterms-export'!C:C,0),
IF(AND(NOT(ISBLANK(INDEX('glossaryterms-export'!H:H,_xlpm.rowNum))),ISBLANK(INDEX('glossaryterms-export'!I:I,_xlpm.rowNum))),"Ready to Fix",""))</f>
        <v/>
      </c>
    </row>
    <row r="3363" spans="6:6">
      <c r="F3363" s="1" t="str" cm="1">
        <f t="array" ref="F3363">_xlfn.LET(_xlpm.rowNum,MATCH(E3363,'glossaryterms-export'!C:C,0),
IF(AND(NOT(ISBLANK(INDEX('glossaryterms-export'!H:H,_xlpm.rowNum))),ISBLANK(INDEX('glossaryterms-export'!I:I,_xlpm.rowNum))),"Ready to Fix",""))</f>
        <v/>
      </c>
    </row>
    <row r="3364" spans="6:6">
      <c r="F3364" s="1" t="str" cm="1">
        <f t="array" ref="F3364">_xlfn.LET(_xlpm.rowNum,MATCH(E3364,'glossaryterms-export'!C:C,0),
IF(AND(NOT(ISBLANK(INDEX('glossaryterms-export'!H:H,_xlpm.rowNum))),ISBLANK(INDEX('glossaryterms-export'!I:I,_xlpm.rowNum))),"Ready to Fix",""))</f>
        <v/>
      </c>
    </row>
    <row r="3365" spans="6:6">
      <c r="F3365" s="1" t="str" cm="1">
        <f t="array" ref="F3365">_xlfn.LET(_xlpm.rowNum,MATCH(E3365,'glossaryterms-export'!C:C,0),
IF(AND(NOT(ISBLANK(INDEX('glossaryterms-export'!H:H,_xlpm.rowNum))),ISBLANK(INDEX('glossaryterms-export'!I:I,_xlpm.rowNum))),"Ready to Fix",""))</f>
        <v/>
      </c>
    </row>
    <row r="3366" spans="6:6">
      <c r="F3366" s="1" t="str" cm="1">
        <f t="array" ref="F3366">_xlfn.LET(_xlpm.rowNum,MATCH(E3366,'glossaryterms-export'!C:C,0),
IF(AND(NOT(ISBLANK(INDEX('glossaryterms-export'!H:H,_xlpm.rowNum))),ISBLANK(INDEX('glossaryterms-export'!I:I,_xlpm.rowNum))),"Ready to Fix",""))</f>
        <v/>
      </c>
    </row>
    <row r="3367" spans="6:6">
      <c r="F3367" s="1" t="str" cm="1">
        <f t="array" ref="F3367">_xlfn.LET(_xlpm.rowNum,MATCH(E3367,'glossaryterms-export'!C:C,0),
IF(AND(NOT(ISBLANK(INDEX('glossaryterms-export'!H:H,_xlpm.rowNum))),ISBLANK(INDEX('glossaryterms-export'!I:I,_xlpm.rowNum))),"Ready to Fix",""))</f>
        <v/>
      </c>
    </row>
    <row r="3368" spans="6:6">
      <c r="F3368" s="1" t="str" cm="1">
        <f t="array" ref="F3368">_xlfn.LET(_xlpm.rowNum,MATCH(E3368,'glossaryterms-export'!C:C,0),
IF(AND(NOT(ISBLANK(INDEX('glossaryterms-export'!H:H,_xlpm.rowNum))),ISBLANK(INDEX('glossaryterms-export'!I:I,_xlpm.rowNum))),"Ready to Fix",""))</f>
        <v/>
      </c>
    </row>
    <row r="3369" spans="6:6">
      <c r="F3369" s="1" t="str" cm="1">
        <f t="array" ref="F3369">_xlfn.LET(_xlpm.rowNum,MATCH(E3369,'glossaryterms-export'!C:C,0),
IF(AND(NOT(ISBLANK(INDEX('glossaryterms-export'!H:H,_xlpm.rowNum))),ISBLANK(INDEX('glossaryterms-export'!I:I,_xlpm.rowNum))),"Ready to Fix",""))</f>
        <v/>
      </c>
    </row>
    <row r="3370" spans="6:6">
      <c r="F3370" s="1" t="str" cm="1">
        <f t="array" ref="F3370">_xlfn.LET(_xlpm.rowNum,MATCH(E3370,'glossaryterms-export'!C:C,0),
IF(AND(NOT(ISBLANK(INDEX('glossaryterms-export'!H:H,_xlpm.rowNum))),ISBLANK(INDEX('glossaryterms-export'!I:I,_xlpm.rowNum))),"Ready to Fix",""))</f>
        <v/>
      </c>
    </row>
    <row r="3371" spans="6:6">
      <c r="F3371" s="1" t="str" cm="1">
        <f t="array" ref="F3371">_xlfn.LET(_xlpm.rowNum,MATCH(E3371,'glossaryterms-export'!C:C,0),
IF(AND(NOT(ISBLANK(INDEX('glossaryterms-export'!H:H,_xlpm.rowNum))),ISBLANK(INDEX('glossaryterms-export'!I:I,_xlpm.rowNum))),"Ready to Fix",""))</f>
        <v/>
      </c>
    </row>
    <row r="3372" spans="6:6">
      <c r="F3372" s="1" t="str" cm="1">
        <f t="array" ref="F3372">_xlfn.LET(_xlpm.rowNum,MATCH(E3372,'glossaryterms-export'!C:C,0),
IF(AND(NOT(ISBLANK(INDEX('glossaryterms-export'!H:H,_xlpm.rowNum))),ISBLANK(INDEX('glossaryterms-export'!I:I,_xlpm.rowNum))),"Ready to Fix",""))</f>
        <v/>
      </c>
    </row>
    <row r="3373" spans="6:6">
      <c r="F3373" s="1" t="str" cm="1">
        <f t="array" ref="F3373">_xlfn.LET(_xlpm.rowNum,MATCH(E3373,'glossaryterms-export'!C:C,0),
IF(AND(NOT(ISBLANK(INDEX('glossaryterms-export'!H:H,_xlpm.rowNum))),ISBLANK(INDEX('glossaryterms-export'!I:I,_xlpm.rowNum))),"Ready to Fix",""))</f>
        <v/>
      </c>
    </row>
    <row r="3374" spans="6:6">
      <c r="F3374" s="1" t="str" cm="1">
        <f t="array" ref="F3374">_xlfn.LET(_xlpm.rowNum,MATCH(E3374,'glossaryterms-export'!C:C,0),
IF(AND(NOT(ISBLANK(INDEX('glossaryterms-export'!H:H,_xlpm.rowNum))),ISBLANK(INDEX('glossaryterms-export'!I:I,_xlpm.rowNum))),"Ready to Fix",""))</f>
        <v/>
      </c>
    </row>
    <row r="3375" spans="6:6">
      <c r="F3375" s="1" t="str" cm="1">
        <f t="array" ref="F3375">_xlfn.LET(_xlpm.rowNum,MATCH(E3375,'glossaryterms-export'!C:C,0),
IF(AND(NOT(ISBLANK(INDEX('glossaryterms-export'!H:H,_xlpm.rowNum))),ISBLANK(INDEX('glossaryterms-export'!I:I,_xlpm.rowNum))),"Ready to Fix",""))</f>
        <v/>
      </c>
    </row>
    <row r="3376" spans="6:6">
      <c r="F3376" s="1" t="str" cm="1">
        <f t="array" ref="F3376">_xlfn.LET(_xlpm.rowNum,MATCH(E3376,'glossaryterms-export'!C:C,0),
IF(AND(NOT(ISBLANK(INDEX('glossaryterms-export'!H:H,_xlpm.rowNum))),ISBLANK(INDEX('glossaryterms-export'!I:I,_xlpm.rowNum))),"Ready to Fix",""))</f>
        <v/>
      </c>
    </row>
    <row r="3377" spans="6:6">
      <c r="F3377" s="1" t="str" cm="1">
        <f t="array" ref="F3377">_xlfn.LET(_xlpm.rowNum,MATCH(E3377,'glossaryterms-export'!C:C,0),
IF(AND(NOT(ISBLANK(INDEX('glossaryterms-export'!H:H,_xlpm.rowNum))),ISBLANK(INDEX('glossaryterms-export'!I:I,_xlpm.rowNum))),"Ready to Fix",""))</f>
        <v/>
      </c>
    </row>
    <row r="3378" spans="6:6">
      <c r="F3378" s="1" t="str" cm="1">
        <f t="array" ref="F3378">_xlfn.LET(_xlpm.rowNum,MATCH(E3378,'glossaryterms-export'!C:C,0),
IF(AND(NOT(ISBLANK(INDEX('glossaryterms-export'!H:H,_xlpm.rowNum))),ISBLANK(INDEX('glossaryterms-export'!I:I,_xlpm.rowNum))),"Ready to Fix",""))</f>
        <v/>
      </c>
    </row>
    <row r="3379" spans="6:6">
      <c r="F3379" s="1" t="str" cm="1">
        <f t="array" ref="F3379">_xlfn.LET(_xlpm.rowNum,MATCH(E3379,'glossaryterms-export'!C:C,0),
IF(AND(NOT(ISBLANK(INDEX('glossaryterms-export'!H:H,_xlpm.rowNum))),ISBLANK(INDEX('glossaryterms-export'!I:I,_xlpm.rowNum))),"Ready to Fix",""))</f>
        <v/>
      </c>
    </row>
    <row r="3380" spans="6:6">
      <c r="F3380" s="1" t="str" cm="1">
        <f t="array" ref="F3380">_xlfn.LET(_xlpm.rowNum,MATCH(E3380,'glossaryterms-export'!C:C,0),
IF(AND(NOT(ISBLANK(INDEX('glossaryterms-export'!H:H,_xlpm.rowNum))),ISBLANK(INDEX('glossaryterms-export'!I:I,_xlpm.rowNum))),"Ready to Fix",""))</f>
        <v/>
      </c>
    </row>
    <row r="3381" spans="6:6">
      <c r="F3381" s="1" t="str" cm="1">
        <f t="array" ref="F3381">_xlfn.LET(_xlpm.rowNum,MATCH(E3381,'glossaryterms-export'!C:C,0),
IF(AND(NOT(ISBLANK(INDEX('glossaryterms-export'!H:H,_xlpm.rowNum))),ISBLANK(INDEX('glossaryterms-export'!I:I,_xlpm.rowNum))),"Ready to Fix",""))</f>
        <v/>
      </c>
    </row>
    <row r="3382" spans="6:6">
      <c r="F3382" s="1" t="str" cm="1">
        <f t="array" ref="F3382">_xlfn.LET(_xlpm.rowNum,MATCH(E3382,'glossaryterms-export'!C:C,0),
IF(AND(NOT(ISBLANK(INDEX('glossaryterms-export'!H:H,_xlpm.rowNum))),ISBLANK(INDEX('glossaryterms-export'!I:I,_xlpm.rowNum))),"Ready to Fix",""))</f>
        <v/>
      </c>
    </row>
    <row r="3383" spans="6:6">
      <c r="F3383" s="1" t="str" cm="1">
        <f t="array" ref="F3383">_xlfn.LET(_xlpm.rowNum,MATCH(E3383,'glossaryterms-export'!C:C,0),
IF(AND(NOT(ISBLANK(INDEX('glossaryterms-export'!H:H,_xlpm.rowNum))),ISBLANK(INDEX('glossaryterms-export'!I:I,_xlpm.rowNum))),"Ready to Fix",""))</f>
        <v/>
      </c>
    </row>
    <row r="3384" spans="6:6">
      <c r="F3384" s="1" t="str" cm="1">
        <f t="array" ref="F3384">_xlfn.LET(_xlpm.rowNum,MATCH(E3384,'glossaryterms-export'!C:C,0),
IF(AND(NOT(ISBLANK(INDEX('glossaryterms-export'!H:H,_xlpm.rowNum))),ISBLANK(INDEX('glossaryterms-export'!I:I,_xlpm.rowNum))),"Ready to Fix",""))</f>
        <v/>
      </c>
    </row>
    <row r="3385" spans="6:6">
      <c r="F3385" s="1" t="str" cm="1">
        <f t="array" ref="F3385">_xlfn.LET(_xlpm.rowNum,MATCH(E3385,'glossaryterms-export'!C:C,0),
IF(AND(NOT(ISBLANK(INDEX('glossaryterms-export'!H:H,_xlpm.rowNum))),ISBLANK(INDEX('glossaryterms-export'!I:I,_xlpm.rowNum))),"Ready to Fix",""))</f>
        <v/>
      </c>
    </row>
    <row r="3386" spans="6:6">
      <c r="F3386" s="1" t="str" cm="1">
        <f t="array" ref="F3386">_xlfn.LET(_xlpm.rowNum,MATCH(E3386,'glossaryterms-export'!C:C,0),
IF(AND(NOT(ISBLANK(INDEX('glossaryterms-export'!H:H,_xlpm.rowNum))),ISBLANK(INDEX('glossaryterms-export'!I:I,_xlpm.rowNum))),"Ready to Fix",""))</f>
        <v/>
      </c>
    </row>
    <row r="3387" spans="6:6">
      <c r="F3387" s="1" t="str" cm="1">
        <f t="array" ref="F3387">_xlfn.LET(_xlpm.rowNum,MATCH(E3387,'glossaryterms-export'!C:C,0),
IF(AND(NOT(ISBLANK(INDEX('glossaryterms-export'!H:H,_xlpm.rowNum))),ISBLANK(INDEX('glossaryterms-export'!I:I,_xlpm.rowNum))),"Ready to Fix",""))</f>
        <v/>
      </c>
    </row>
    <row r="3388" spans="6:6">
      <c r="F3388" s="1" t="str" cm="1">
        <f t="array" ref="F3388">_xlfn.LET(_xlpm.rowNum,MATCH(E3388,'glossaryterms-export'!C:C,0),
IF(AND(NOT(ISBLANK(INDEX('glossaryterms-export'!H:H,_xlpm.rowNum))),ISBLANK(INDEX('glossaryterms-export'!I:I,_xlpm.rowNum))),"Ready to Fix",""))</f>
        <v/>
      </c>
    </row>
    <row r="3389" spans="6:6">
      <c r="F3389" s="1" t="str" cm="1">
        <f t="array" ref="F3389">_xlfn.LET(_xlpm.rowNum,MATCH(E3389,'glossaryterms-export'!C:C,0),
IF(AND(NOT(ISBLANK(INDEX('glossaryterms-export'!H:H,_xlpm.rowNum))),ISBLANK(INDEX('glossaryterms-export'!I:I,_xlpm.rowNum))),"Ready to Fix",""))</f>
        <v/>
      </c>
    </row>
    <row r="3390" spans="6:6">
      <c r="F3390" s="1" t="str" cm="1">
        <f t="array" ref="F3390">_xlfn.LET(_xlpm.rowNum,MATCH(E3390,'glossaryterms-export'!C:C,0),
IF(AND(NOT(ISBLANK(INDEX('glossaryterms-export'!H:H,_xlpm.rowNum))),ISBLANK(INDEX('glossaryterms-export'!I:I,_xlpm.rowNum))),"Ready to Fix",""))</f>
        <v/>
      </c>
    </row>
    <row r="3391" spans="6:6">
      <c r="F3391" s="1" t="str" cm="1">
        <f t="array" ref="F3391">_xlfn.LET(_xlpm.rowNum,MATCH(E3391,'glossaryterms-export'!C:C,0),
IF(AND(NOT(ISBLANK(INDEX('glossaryterms-export'!H:H,_xlpm.rowNum))),ISBLANK(INDEX('glossaryterms-export'!I:I,_xlpm.rowNum))),"Ready to Fix",""))</f>
        <v/>
      </c>
    </row>
    <row r="3392" spans="6:6">
      <c r="F3392" s="1" t="str" cm="1">
        <f t="array" ref="F3392">_xlfn.LET(_xlpm.rowNum,MATCH(E3392,'glossaryterms-export'!C:C,0),
IF(AND(NOT(ISBLANK(INDEX('glossaryterms-export'!H:H,_xlpm.rowNum))),ISBLANK(INDEX('glossaryterms-export'!I:I,_xlpm.rowNum))),"Ready to Fix",""))</f>
        <v/>
      </c>
    </row>
    <row r="3393" spans="6:6">
      <c r="F3393" s="1" t="str" cm="1">
        <f t="array" ref="F3393">_xlfn.LET(_xlpm.rowNum,MATCH(E3393,'glossaryterms-export'!C:C,0),
IF(AND(NOT(ISBLANK(INDEX('glossaryterms-export'!H:H,_xlpm.rowNum))),ISBLANK(INDEX('glossaryterms-export'!I:I,_xlpm.rowNum))),"Ready to Fix",""))</f>
        <v/>
      </c>
    </row>
    <row r="3394" spans="6:6">
      <c r="F3394" s="1" t="str" cm="1">
        <f t="array" ref="F3394">_xlfn.LET(_xlpm.rowNum,MATCH(E3394,'glossaryterms-export'!C:C,0),
IF(AND(NOT(ISBLANK(INDEX('glossaryterms-export'!H:H,_xlpm.rowNum))),ISBLANK(INDEX('glossaryterms-export'!I:I,_xlpm.rowNum))),"Ready to Fix",""))</f>
        <v/>
      </c>
    </row>
    <row r="3395" spans="6:6">
      <c r="F3395" s="1" t="str" cm="1">
        <f t="array" ref="F3395">_xlfn.LET(_xlpm.rowNum,MATCH(E3395,'glossaryterms-export'!C:C,0),
IF(AND(NOT(ISBLANK(INDEX('glossaryterms-export'!H:H,_xlpm.rowNum))),ISBLANK(INDEX('glossaryterms-export'!I:I,_xlpm.rowNum))),"Ready to Fix",""))</f>
        <v/>
      </c>
    </row>
    <row r="3396" spans="6:6">
      <c r="F3396" s="1" t="str" cm="1">
        <f t="array" ref="F3396">_xlfn.LET(_xlpm.rowNum,MATCH(E3396,'glossaryterms-export'!C:C,0),
IF(AND(NOT(ISBLANK(INDEX('glossaryterms-export'!H:H,_xlpm.rowNum))),ISBLANK(INDEX('glossaryterms-export'!I:I,_xlpm.rowNum))),"Ready to Fix",""))</f>
        <v/>
      </c>
    </row>
    <row r="3397" spans="6:6">
      <c r="F3397" s="1" t="str" cm="1">
        <f t="array" ref="F3397">_xlfn.LET(_xlpm.rowNum,MATCH(E3397,'glossaryterms-export'!C:C,0),
IF(AND(NOT(ISBLANK(INDEX('glossaryterms-export'!H:H,_xlpm.rowNum))),ISBLANK(INDEX('glossaryterms-export'!I:I,_xlpm.rowNum))),"Ready to Fix",""))</f>
        <v/>
      </c>
    </row>
    <row r="3398" spans="6:6">
      <c r="F3398" s="1" t="str" cm="1">
        <f t="array" ref="F3398">_xlfn.LET(_xlpm.rowNum,MATCH(E3398,'glossaryterms-export'!C:C,0),
IF(AND(NOT(ISBLANK(INDEX('glossaryterms-export'!H:H,_xlpm.rowNum))),ISBLANK(INDEX('glossaryterms-export'!I:I,_xlpm.rowNum))),"Ready to Fix",""))</f>
        <v/>
      </c>
    </row>
    <row r="3399" spans="6:6">
      <c r="F3399" s="1" t="str" cm="1">
        <f t="array" ref="F3399">_xlfn.LET(_xlpm.rowNum,MATCH(E3399,'glossaryterms-export'!C:C,0),
IF(AND(NOT(ISBLANK(INDEX('glossaryterms-export'!H:H,_xlpm.rowNum))),ISBLANK(INDEX('glossaryterms-export'!I:I,_xlpm.rowNum))),"Ready to Fix",""))</f>
        <v/>
      </c>
    </row>
    <row r="3400" spans="6:6">
      <c r="F3400" s="1" t="str" cm="1">
        <f t="array" ref="F3400">_xlfn.LET(_xlpm.rowNum,MATCH(E3400,'glossaryterms-export'!C:C,0),
IF(AND(NOT(ISBLANK(INDEX('glossaryterms-export'!H:H,_xlpm.rowNum))),ISBLANK(INDEX('glossaryterms-export'!I:I,_xlpm.rowNum))),"Ready to Fix",""))</f>
        <v/>
      </c>
    </row>
    <row r="3401" spans="6:6">
      <c r="F3401" s="1" t="str" cm="1">
        <f t="array" ref="F3401">_xlfn.LET(_xlpm.rowNum,MATCH(E3401,'glossaryterms-export'!C:C,0),
IF(AND(NOT(ISBLANK(INDEX('glossaryterms-export'!H:H,_xlpm.rowNum))),ISBLANK(INDEX('glossaryterms-export'!I:I,_xlpm.rowNum))),"Ready to Fix",""))</f>
        <v/>
      </c>
    </row>
    <row r="3402" spans="6:6">
      <c r="F3402" s="1" t="str" cm="1">
        <f t="array" ref="F3402">_xlfn.LET(_xlpm.rowNum,MATCH(E3402,'glossaryterms-export'!C:C,0),
IF(AND(NOT(ISBLANK(INDEX('glossaryterms-export'!H:H,_xlpm.rowNum))),ISBLANK(INDEX('glossaryterms-export'!I:I,_xlpm.rowNum))),"Ready to Fix",""))</f>
        <v/>
      </c>
    </row>
    <row r="3403" spans="6:6">
      <c r="F3403" s="1" t="str" cm="1">
        <f t="array" ref="F3403">_xlfn.LET(_xlpm.rowNum,MATCH(E3403,'glossaryterms-export'!C:C,0),
IF(AND(NOT(ISBLANK(INDEX('glossaryterms-export'!H:H,_xlpm.rowNum))),ISBLANK(INDEX('glossaryterms-export'!I:I,_xlpm.rowNum))),"Ready to Fix",""))</f>
        <v/>
      </c>
    </row>
    <row r="3404" spans="6:6">
      <c r="F3404" s="1" t="str" cm="1">
        <f t="array" ref="F3404">_xlfn.LET(_xlpm.rowNum,MATCH(E3404,'glossaryterms-export'!C:C,0),
IF(AND(NOT(ISBLANK(INDEX('glossaryterms-export'!H:H,_xlpm.rowNum))),ISBLANK(INDEX('glossaryterms-export'!I:I,_xlpm.rowNum))),"Ready to Fix",""))</f>
        <v/>
      </c>
    </row>
    <row r="3405" spans="6:6">
      <c r="F3405" s="1" t="str" cm="1">
        <f t="array" ref="F3405">_xlfn.LET(_xlpm.rowNum,MATCH(E3405,'glossaryterms-export'!C:C,0),
IF(AND(NOT(ISBLANK(INDEX('glossaryterms-export'!H:H,_xlpm.rowNum))),ISBLANK(INDEX('glossaryterms-export'!I:I,_xlpm.rowNum))),"Ready to Fix",""))</f>
        <v/>
      </c>
    </row>
    <row r="3406" spans="6:6">
      <c r="F3406" s="1" t="str" cm="1">
        <f t="array" ref="F3406">_xlfn.LET(_xlpm.rowNum,MATCH(E3406,'glossaryterms-export'!C:C,0),
IF(AND(NOT(ISBLANK(INDEX('glossaryterms-export'!H:H,_xlpm.rowNum))),ISBLANK(INDEX('glossaryterms-export'!I:I,_xlpm.rowNum))),"Ready to Fix",""))</f>
        <v/>
      </c>
    </row>
    <row r="3407" spans="6:6">
      <c r="F3407" s="1" t="str" cm="1">
        <f t="array" ref="F3407">_xlfn.LET(_xlpm.rowNum,MATCH(E3407,'glossaryterms-export'!C:C,0),
IF(AND(NOT(ISBLANK(INDEX('glossaryterms-export'!H:H,_xlpm.rowNum))),ISBLANK(INDEX('glossaryterms-export'!I:I,_xlpm.rowNum))),"Ready to Fix",""))</f>
        <v/>
      </c>
    </row>
    <row r="3408" spans="6:6">
      <c r="F3408" s="1" t="str" cm="1">
        <f t="array" ref="F3408">_xlfn.LET(_xlpm.rowNum,MATCH(E3408,'glossaryterms-export'!C:C,0),
IF(AND(NOT(ISBLANK(INDEX('glossaryterms-export'!H:H,_xlpm.rowNum))),ISBLANK(INDEX('glossaryterms-export'!I:I,_xlpm.rowNum))),"Ready to Fix",""))</f>
        <v/>
      </c>
    </row>
    <row r="3409" spans="6:6">
      <c r="F3409" s="1" t="str" cm="1">
        <f t="array" ref="F3409">_xlfn.LET(_xlpm.rowNum,MATCH(E3409,'glossaryterms-export'!C:C,0),
IF(AND(NOT(ISBLANK(INDEX('glossaryterms-export'!H:H,_xlpm.rowNum))),ISBLANK(INDEX('glossaryterms-export'!I:I,_xlpm.rowNum))),"Ready to Fix",""))</f>
        <v/>
      </c>
    </row>
    <row r="3410" spans="6:6">
      <c r="F3410" s="1" t="str" cm="1">
        <f t="array" ref="F3410">_xlfn.LET(_xlpm.rowNum,MATCH(E3410,'glossaryterms-export'!C:C,0),
IF(AND(NOT(ISBLANK(INDEX('glossaryterms-export'!H:H,_xlpm.rowNum))),ISBLANK(INDEX('glossaryterms-export'!I:I,_xlpm.rowNum))),"Ready to Fix",""))</f>
        <v/>
      </c>
    </row>
    <row r="3411" spans="6:6">
      <c r="F3411" s="1" t="str" cm="1">
        <f t="array" ref="F3411">_xlfn.LET(_xlpm.rowNum,MATCH(E3411,'glossaryterms-export'!C:C,0),
IF(AND(NOT(ISBLANK(INDEX('glossaryterms-export'!H:H,_xlpm.rowNum))),ISBLANK(INDEX('glossaryterms-export'!I:I,_xlpm.rowNum))),"Ready to Fix",""))</f>
        <v/>
      </c>
    </row>
    <row r="3412" spans="6:6">
      <c r="F3412" s="1" t="str" cm="1">
        <f t="array" ref="F3412">_xlfn.LET(_xlpm.rowNum,MATCH(E3412,'glossaryterms-export'!C:C,0),
IF(AND(NOT(ISBLANK(INDEX('glossaryterms-export'!H:H,_xlpm.rowNum))),ISBLANK(INDEX('glossaryterms-export'!I:I,_xlpm.rowNum))),"Ready to Fix",""))</f>
        <v/>
      </c>
    </row>
    <row r="3413" spans="6:6">
      <c r="F3413" s="1" t="str" cm="1">
        <f t="array" ref="F3413">_xlfn.LET(_xlpm.rowNum,MATCH(E3413,'glossaryterms-export'!C:C,0),
IF(AND(NOT(ISBLANK(INDEX('glossaryterms-export'!H:H,_xlpm.rowNum))),ISBLANK(INDEX('glossaryterms-export'!I:I,_xlpm.rowNum))),"Ready to Fix",""))</f>
        <v/>
      </c>
    </row>
    <row r="3414" spans="6:6">
      <c r="F3414" s="1" t="str" cm="1">
        <f t="array" ref="F3414">_xlfn.LET(_xlpm.rowNum,MATCH(E3414,'glossaryterms-export'!C:C,0),
IF(AND(NOT(ISBLANK(INDEX('glossaryterms-export'!H:H,_xlpm.rowNum))),ISBLANK(INDEX('glossaryterms-export'!I:I,_xlpm.rowNum))),"Ready to Fix",""))</f>
        <v/>
      </c>
    </row>
    <row r="3415" spans="6:6">
      <c r="F3415" s="1" t="str" cm="1">
        <f t="array" ref="F3415">_xlfn.LET(_xlpm.rowNum,MATCH(E3415,'glossaryterms-export'!C:C,0),
IF(AND(NOT(ISBLANK(INDEX('glossaryterms-export'!H:H,_xlpm.rowNum))),ISBLANK(INDEX('glossaryterms-export'!I:I,_xlpm.rowNum))),"Ready to Fix",""))</f>
        <v/>
      </c>
    </row>
    <row r="3416" spans="6:6">
      <c r="F3416" s="1" t="str" cm="1">
        <f t="array" ref="F3416">_xlfn.LET(_xlpm.rowNum,MATCH(E3416,'glossaryterms-export'!C:C,0),
IF(AND(NOT(ISBLANK(INDEX('glossaryterms-export'!H:H,_xlpm.rowNum))),ISBLANK(INDEX('glossaryterms-export'!I:I,_xlpm.rowNum))),"Ready to Fix",""))</f>
        <v/>
      </c>
    </row>
    <row r="3417" spans="6:6">
      <c r="F3417" s="1" t="str" cm="1">
        <f t="array" ref="F3417">_xlfn.LET(_xlpm.rowNum,MATCH(E3417,'glossaryterms-export'!C:C,0),
IF(AND(NOT(ISBLANK(INDEX('glossaryterms-export'!H:H,_xlpm.rowNum))),ISBLANK(INDEX('glossaryterms-export'!I:I,_xlpm.rowNum))),"Ready to Fix",""))</f>
        <v/>
      </c>
    </row>
    <row r="3418" spans="6:6">
      <c r="F3418" s="1" t="str" cm="1">
        <f t="array" ref="F3418">_xlfn.LET(_xlpm.rowNum,MATCH(E3418,'glossaryterms-export'!C:C,0),
IF(AND(NOT(ISBLANK(INDEX('glossaryterms-export'!H:H,_xlpm.rowNum))),ISBLANK(INDEX('glossaryterms-export'!I:I,_xlpm.rowNum))),"Ready to Fix",""))</f>
        <v/>
      </c>
    </row>
    <row r="3419" spans="6:6">
      <c r="F3419" s="1" t="str" cm="1">
        <f t="array" ref="F3419">_xlfn.LET(_xlpm.rowNum,MATCH(E3419,'glossaryterms-export'!C:C,0),
IF(AND(NOT(ISBLANK(INDEX('glossaryterms-export'!H:H,_xlpm.rowNum))),ISBLANK(INDEX('glossaryterms-export'!I:I,_xlpm.rowNum))),"Ready to Fix",""))</f>
        <v/>
      </c>
    </row>
    <row r="3420" spans="6:6">
      <c r="F3420" s="1" t="str" cm="1">
        <f t="array" ref="F3420">_xlfn.LET(_xlpm.rowNum,MATCH(E3420,'glossaryterms-export'!C:C,0),
IF(AND(NOT(ISBLANK(INDEX('glossaryterms-export'!H:H,_xlpm.rowNum))),ISBLANK(INDEX('glossaryterms-export'!I:I,_xlpm.rowNum))),"Ready to Fix",""))</f>
        <v/>
      </c>
    </row>
    <row r="3421" spans="6:6">
      <c r="F3421" s="1" t="str" cm="1">
        <f t="array" ref="F3421">_xlfn.LET(_xlpm.rowNum,MATCH(E3421,'glossaryterms-export'!C:C,0),
IF(AND(NOT(ISBLANK(INDEX('glossaryterms-export'!H:H,_xlpm.rowNum))),ISBLANK(INDEX('glossaryterms-export'!I:I,_xlpm.rowNum))),"Ready to Fix",""))</f>
        <v/>
      </c>
    </row>
    <row r="3422" spans="6:6">
      <c r="F3422" s="1" t="str" cm="1">
        <f t="array" ref="F3422">_xlfn.LET(_xlpm.rowNum,MATCH(E3422,'glossaryterms-export'!C:C,0),
IF(AND(NOT(ISBLANK(INDEX('glossaryterms-export'!H:H,_xlpm.rowNum))),ISBLANK(INDEX('glossaryterms-export'!I:I,_xlpm.rowNum))),"Ready to Fix",""))</f>
        <v/>
      </c>
    </row>
    <row r="3423" spans="6:6">
      <c r="F3423" s="1" t="str" cm="1">
        <f t="array" ref="F3423">_xlfn.LET(_xlpm.rowNum,MATCH(E3423,'glossaryterms-export'!C:C,0),
IF(AND(NOT(ISBLANK(INDEX('glossaryterms-export'!H:H,_xlpm.rowNum))),ISBLANK(INDEX('glossaryterms-export'!I:I,_xlpm.rowNum))),"Ready to Fix",""))</f>
        <v/>
      </c>
    </row>
    <row r="3424" spans="6:6">
      <c r="F3424" s="1" t="str" cm="1">
        <f t="array" ref="F3424">_xlfn.LET(_xlpm.rowNum,MATCH(E3424,'glossaryterms-export'!C:C,0),
IF(AND(NOT(ISBLANK(INDEX('glossaryterms-export'!H:H,_xlpm.rowNum))),ISBLANK(INDEX('glossaryterms-export'!I:I,_xlpm.rowNum))),"Ready to Fix",""))</f>
        <v/>
      </c>
    </row>
    <row r="3425" spans="6:6">
      <c r="F3425" s="1" t="str" cm="1">
        <f t="array" ref="F3425">_xlfn.LET(_xlpm.rowNum,MATCH(E3425,'glossaryterms-export'!C:C,0),
IF(AND(NOT(ISBLANK(INDEX('glossaryterms-export'!H:H,_xlpm.rowNum))),ISBLANK(INDEX('glossaryterms-export'!I:I,_xlpm.rowNum))),"Ready to Fix",""))</f>
        <v/>
      </c>
    </row>
    <row r="3426" spans="6:6">
      <c r="F3426" s="1" t="str" cm="1">
        <f t="array" ref="F3426">_xlfn.LET(_xlpm.rowNum,MATCH(E3426,'glossaryterms-export'!C:C,0),
IF(AND(NOT(ISBLANK(INDEX('glossaryterms-export'!H:H,_xlpm.rowNum))),ISBLANK(INDEX('glossaryterms-export'!I:I,_xlpm.rowNum))),"Ready to Fix",""))</f>
        <v/>
      </c>
    </row>
    <row r="3427" spans="6:6">
      <c r="F3427" s="1" t="str" cm="1">
        <f t="array" ref="F3427">_xlfn.LET(_xlpm.rowNum,MATCH(E3427,'glossaryterms-export'!C:C,0),
IF(AND(NOT(ISBLANK(INDEX('glossaryterms-export'!H:H,_xlpm.rowNum))),ISBLANK(INDEX('glossaryterms-export'!I:I,_xlpm.rowNum))),"Ready to Fix",""))</f>
        <v/>
      </c>
    </row>
    <row r="3428" spans="6:6">
      <c r="F3428" s="1" t="str" cm="1">
        <f t="array" ref="F3428">_xlfn.LET(_xlpm.rowNum,MATCH(E3428,'glossaryterms-export'!C:C,0),
IF(AND(NOT(ISBLANK(INDEX('glossaryterms-export'!H:H,_xlpm.rowNum))),ISBLANK(INDEX('glossaryterms-export'!I:I,_xlpm.rowNum))),"Ready to Fix",""))</f>
        <v/>
      </c>
    </row>
    <row r="3429" spans="6:6">
      <c r="F3429" s="1" t="str" cm="1">
        <f t="array" ref="F3429">_xlfn.LET(_xlpm.rowNum,MATCH(E3429,'glossaryterms-export'!C:C,0),
IF(AND(NOT(ISBLANK(INDEX('glossaryterms-export'!H:H,_xlpm.rowNum))),ISBLANK(INDEX('glossaryterms-export'!I:I,_xlpm.rowNum))),"Ready to Fix",""))</f>
        <v/>
      </c>
    </row>
    <row r="3430" spans="6:6">
      <c r="F3430" s="1" t="str" cm="1">
        <f t="array" ref="F3430">_xlfn.LET(_xlpm.rowNum,MATCH(E3430,'glossaryterms-export'!C:C,0),
IF(AND(NOT(ISBLANK(INDEX('glossaryterms-export'!H:H,_xlpm.rowNum))),ISBLANK(INDEX('glossaryterms-export'!I:I,_xlpm.rowNum))),"Ready to Fix",""))</f>
        <v/>
      </c>
    </row>
    <row r="3431" spans="6:6">
      <c r="F3431" s="1" t="str" cm="1">
        <f t="array" ref="F3431">_xlfn.LET(_xlpm.rowNum,MATCH(E3431,'glossaryterms-export'!C:C,0),
IF(AND(NOT(ISBLANK(INDEX('glossaryterms-export'!H:H,_xlpm.rowNum))),ISBLANK(INDEX('glossaryterms-export'!I:I,_xlpm.rowNum))),"Ready to Fix",""))</f>
        <v/>
      </c>
    </row>
    <row r="3432" spans="6:6">
      <c r="F3432" s="1" t="str" cm="1">
        <f t="array" ref="F3432">_xlfn.LET(_xlpm.rowNum,MATCH(E3432,'glossaryterms-export'!C:C,0),
IF(AND(NOT(ISBLANK(INDEX('glossaryterms-export'!H:H,_xlpm.rowNum))),ISBLANK(INDEX('glossaryterms-export'!I:I,_xlpm.rowNum))),"Ready to Fix",""))</f>
        <v/>
      </c>
    </row>
    <row r="3433" spans="6:6">
      <c r="F3433" s="1" t="str" cm="1">
        <f t="array" ref="F3433">_xlfn.LET(_xlpm.rowNum,MATCH(E3433,'glossaryterms-export'!C:C,0),
IF(AND(NOT(ISBLANK(INDEX('glossaryterms-export'!H:H,_xlpm.rowNum))),ISBLANK(INDEX('glossaryterms-export'!I:I,_xlpm.rowNum))),"Ready to Fix",""))</f>
        <v/>
      </c>
    </row>
    <row r="3434" spans="6:6">
      <c r="F3434" s="1" t="str" cm="1">
        <f t="array" ref="F3434">_xlfn.LET(_xlpm.rowNum,MATCH(E3434,'glossaryterms-export'!C:C,0),
IF(AND(NOT(ISBLANK(INDEX('glossaryterms-export'!H:H,_xlpm.rowNum))),ISBLANK(INDEX('glossaryterms-export'!I:I,_xlpm.rowNum))),"Ready to Fix",""))</f>
        <v/>
      </c>
    </row>
    <row r="3435" spans="6:6">
      <c r="F3435" s="1" t="str" cm="1">
        <f t="array" ref="F3435">_xlfn.LET(_xlpm.rowNum,MATCH(E3435,'glossaryterms-export'!C:C,0),
IF(AND(NOT(ISBLANK(INDEX('glossaryterms-export'!H:H,_xlpm.rowNum))),ISBLANK(INDEX('glossaryterms-export'!I:I,_xlpm.rowNum))),"Ready to Fix",""))</f>
        <v/>
      </c>
    </row>
    <row r="3436" spans="6:6">
      <c r="F3436" s="1" t="str" cm="1">
        <f t="array" ref="F3436">_xlfn.LET(_xlpm.rowNum,MATCH(E3436,'glossaryterms-export'!C:C,0),
IF(AND(NOT(ISBLANK(INDEX('glossaryterms-export'!H:H,_xlpm.rowNum))),ISBLANK(INDEX('glossaryterms-export'!I:I,_xlpm.rowNum))),"Ready to Fix",""))</f>
        <v/>
      </c>
    </row>
    <row r="3437" spans="6:6">
      <c r="F3437" s="1" t="str" cm="1">
        <f t="array" ref="F3437">_xlfn.LET(_xlpm.rowNum,MATCH(E3437,'glossaryterms-export'!C:C,0),
IF(AND(NOT(ISBLANK(INDEX('glossaryterms-export'!H:H,_xlpm.rowNum))),ISBLANK(INDEX('glossaryterms-export'!I:I,_xlpm.rowNum))),"Ready to Fix",""))</f>
        <v/>
      </c>
    </row>
    <row r="3438" spans="6:6">
      <c r="F3438" s="1" t="str" cm="1">
        <f t="array" ref="F3438">_xlfn.LET(_xlpm.rowNum,MATCH(E3438,'glossaryterms-export'!C:C,0),
IF(AND(NOT(ISBLANK(INDEX('glossaryterms-export'!H:H,_xlpm.rowNum))),ISBLANK(INDEX('glossaryterms-export'!I:I,_xlpm.rowNum))),"Ready to Fix",""))</f>
        <v/>
      </c>
    </row>
    <row r="3439" spans="6:6">
      <c r="F3439" s="1" t="str" cm="1">
        <f t="array" ref="F3439">_xlfn.LET(_xlpm.rowNum,MATCH(E3439,'glossaryterms-export'!C:C,0),
IF(AND(NOT(ISBLANK(INDEX('glossaryterms-export'!H:H,_xlpm.rowNum))),ISBLANK(INDEX('glossaryterms-export'!I:I,_xlpm.rowNum))),"Ready to Fix",""))</f>
        <v/>
      </c>
    </row>
    <row r="3440" spans="6:6">
      <c r="F3440" s="1" t="str" cm="1">
        <f t="array" ref="F3440">_xlfn.LET(_xlpm.rowNum,MATCH(E3440,'glossaryterms-export'!C:C,0),
IF(AND(NOT(ISBLANK(INDEX('glossaryterms-export'!H:H,_xlpm.rowNum))),ISBLANK(INDEX('glossaryterms-export'!I:I,_xlpm.rowNum))),"Ready to Fix",""))</f>
        <v/>
      </c>
    </row>
    <row r="3441" spans="6:6">
      <c r="F3441" s="1" t="str" cm="1">
        <f t="array" ref="F3441">_xlfn.LET(_xlpm.rowNum,MATCH(E3441,'glossaryterms-export'!C:C,0),
IF(AND(NOT(ISBLANK(INDEX('glossaryterms-export'!H:H,_xlpm.rowNum))),ISBLANK(INDEX('glossaryterms-export'!I:I,_xlpm.rowNum))),"Ready to Fix",""))</f>
        <v/>
      </c>
    </row>
    <row r="3442" spans="6:6">
      <c r="F3442" s="1" t="str" cm="1">
        <f t="array" ref="F3442">_xlfn.LET(_xlpm.rowNum,MATCH(E3442,'glossaryterms-export'!C:C,0),
IF(AND(NOT(ISBLANK(INDEX('glossaryterms-export'!H:H,_xlpm.rowNum))),ISBLANK(INDEX('glossaryterms-export'!I:I,_xlpm.rowNum))),"Ready to Fix",""))</f>
        <v/>
      </c>
    </row>
    <row r="3443" spans="6:6">
      <c r="F3443" s="1" t="str" cm="1">
        <f t="array" ref="F3443">_xlfn.LET(_xlpm.rowNum,MATCH(E3443,'glossaryterms-export'!C:C,0),
IF(AND(NOT(ISBLANK(INDEX('glossaryterms-export'!H:H,_xlpm.rowNum))),ISBLANK(INDEX('glossaryterms-export'!I:I,_xlpm.rowNum))),"Ready to Fix",""))</f>
        <v/>
      </c>
    </row>
    <row r="3444" spans="6:6">
      <c r="F3444" s="1" t="str" cm="1">
        <f t="array" ref="F3444">_xlfn.LET(_xlpm.rowNum,MATCH(E3444,'glossaryterms-export'!C:C,0),
IF(AND(NOT(ISBLANK(INDEX('glossaryterms-export'!H:H,_xlpm.rowNum))),ISBLANK(INDEX('glossaryterms-export'!I:I,_xlpm.rowNum))),"Ready to Fix",""))</f>
        <v/>
      </c>
    </row>
    <row r="3445" spans="6:6">
      <c r="F3445" s="1" t="str" cm="1">
        <f t="array" ref="F3445">_xlfn.LET(_xlpm.rowNum,MATCH(E3445,'glossaryterms-export'!C:C,0),
IF(AND(NOT(ISBLANK(INDEX('glossaryterms-export'!H:H,_xlpm.rowNum))),ISBLANK(INDEX('glossaryterms-export'!I:I,_xlpm.rowNum))),"Ready to Fix",""))</f>
        <v/>
      </c>
    </row>
    <row r="3446" spans="6:6">
      <c r="F3446" s="1" t="str" cm="1">
        <f t="array" ref="F3446">_xlfn.LET(_xlpm.rowNum,MATCH(E3446,'glossaryterms-export'!C:C,0),
IF(AND(NOT(ISBLANK(INDEX('glossaryterms-export'!H:H,_xlpm.rowNum))),ISBLANK(INDEX('glossaryterms-export'!I:I,_xlpm.rowNum))),"Ready to Fix",""))</f>
        <v/>
      </c>
    </row>
    <row r="3447" spans="6:6">
      <c r="F3447" s="1" t="str" cm="1">
        <f t="array" ref="F3447">_xlfn.LET(_xlpm.rowNum,MATCH(E3447,'glossaryterms-export'!C:C,0),
IF(AND(NOT(ISBLANK(INDEX('glossaryterms-export'!H:H,_xlpm.rowNum))),ISBLANK(INDEX('glossaryterms-export'!I:I,_xlpm.rowNum))),"Ready to Fix",""))</f>
        <v/>
      </c>
    </row>
    <row r="3448" spans="6:6">
      <c r="F3448" s="1" t="str" cm="1">
        <f t="array" ref="F3448">_xlfn.LET(_xlpm.rowNum,MATCH(E3448,'glossaryterms-export'!C:C,0),
IF(AND(NOT(ISBLANK(INDEX('glossaryterms-export'!H:H,_xlpm.rowNum))),ISBLANK(INDEX('glossaryterms-export'!I:I,_xlpm.rowNum))),"Ready to Fix",""))</f>
        <v/>
      </c>
    </row>
    <row r="3449" spans="6:6">
      <c r="F3449" s="1" t="str" cm="1">
        <f t="array" ref="F3449">_xlfn.LET(_xlpm.rowNum,MATCH(E3449,'glossaryterms-export'!C:C,0),
IF(AND(NOT(ISBLANK(INDEX('glossaryterms-export'!H:H,_xlpm.rowNum))),ISBLANK(INDEX('glossaryterms-export'!I:I,_xlpm.rowNum))),"Ready to Fix",""))</f>
        <v/>
      </c>
    </row>
    <row r="3450" spans="6:6">
      <c r="F3450" s="1" t="str" cm="1">
        <f t="array" ref="F3450">_xlfn.LET(_xlpm.rowNum,MATCH(E3450,'glossaryterms-export'!C:C,0),
IF(AND(NOT(ISBLANK(INDEX('glossaryterms-export'!H:H,_xlpm.rowNum))),ISBLANK(INDEX('glossaryterms-export'!I:I,_xlpm.rowNum))),"Ready to Fix",""))</f>
        <v/>
      </c>
    </row>
    <row r="3451" spans="6:6">
      <c r="F3451" s="1" t="str" cm="1">
        <f t="array" ref="F3451">_xlfn.LET(_xlpm.rowNum,MATCH(E3451,'glossaryterms-export'!C:C,0),
IF(AND(NOT(ISBLANK(INDEX('glossaryterms-export'!H:H,_xlpm.rowNum))),ISBLANK(INDEX('glossaryterms-export'!I:I,_xlpm.rowNum))),"Ready to Fix",""))</f>
        <v/>
      </c>
    </row>
    <row r="3452" spans="6:6">
      <c r="F3452" s="1" t="str" cm="1">
        <f t="array" ref="F3452">_xlfn.LET(_xlpm.rowNum,MATCH(E3452,'glossaryterms-export'!C:C,0),
IF(AND(NOT(ISBLANK(INDEX('glossaryterms-export'!H:H,_xlpm.rowNum))),ISBLANK(INDEX('glossaryterms-export'!I:I,_xlpm.rowNum))),"Ready to Fix",""))</f>
        <v/>
      </c>
    </row>
    <row r="3453" spans="6:6">
      <c r="F3453" s="1" t="str" cm="1">
        <f t="array" ref="F3453">_xlfn.LET(_xlpm.rowNum,MATCH(E3453,'glossaryterms-export'!C:C,0),
IF(AND(NOT(ISBLANK(INDEX('glossaryterms-export'!H:H,_xlpm.rowNum))),ISBLANK(INDEX('glossaryterms-export'!I:I,_xlpm.rowNum))),"Ready to Fix",""))</f>
        <v/>
      </c>
    </row>
    <row r="3454" spans="6:6">
      <c r="F3454" s="1" t="str" cm="1">
        <f t="array" ref="F3454">_xlfn.LET(_xlpm.rowNum,MATCH(E3454,'glossaryterms-export'!C:C,0),
IF(AND(NOT(ISBLANK(INDEX('glossaryterms-export'!H:H,_xlpm.rowNum))),ISBLANK(INDEX('glossaryterms-export'!I:I,_xlpm.rowNum))),"Ready to Fix",""))</f>
        <v/>
      </c>
    </row>
    <row r="3455" spans="6:6">
      <c r="F3455" s="1" t="str" cm="1">
        <f t="array" ref="F3455">_xlfn.LET(_xlpm.rowNum,MATCH(E3455,'glossaryterms-export'!C:C,0),
IF(AND(NOT(ISBLANK(INDEX('glossaryterms-export'!H:H,_xlpm.rowNum))),ISBLANK(INDEX('glossaryterms-export'!I:I,_xlpm.rowNum))),"Ready to Fix",""))</f>
        <v/>
      </c>
    </row>
    <row r="3456" spans="6:6">
      <c r="F3456" s="1" t="str" cm="1">
        <f t="array" ref="F3456">_xlfn.LET(_xlpm.rowNum,MATCH(E3456,'glossaryterms-export'!C:C,0),
IF(AND(NOT(ISBLANK(INDEX('glossaryterms-export'!H:H,_xlpm.rowNum))),ISBLANK(INDEX('glossaryterms-export'!I:I,_xlpm.rowNum))),"Ready to Fix",""))</f>
        <v/>
      </c>
    </row>
    <row r="3457" spans="6:6">
      <c r="F3457" s="1" t="str" cm="1">
        <f t="array" ref="F3457">_xlfn.LET(_xlpm.rowNum,MATCH(E3457,'glossaryterms-export'!C:C,0),
IF(AND(NOT(ISBLANK(INDEX('glossaryterms-export'!H:H,_xlpm.rowNum))),ISBLANK(INDEX('glossaryterms-export'!I:I,_xlpm.rowNum))),"Ready to Fix",""))</f>
        <v/>
      </c>
    </row>
    <row r="3458" spans="6:6">
      <c r="F3458" s="1" t="str" cm="1">
        <f t="array" ref="F3458">_xlfn.LET(_xlpm.rowNum,MATCH(E3458,'glossaryterms-export'!C:C,0),
IF(AND(NOT(ISBLANK(INDEX('glossaryterms-export'!H:H,_xlpm.rowNum))),ISBLANK(INDEX('glossaryterms-export'!I:I,_xlpm.rowNum))),"Ready to Fix",""))</f>
        <v/>
      </c>
    </row>
    <row r="3459" spans="6:6">
      <c r="F3459" s="1" t="str" cm="1">
        <f t="array" ref="F3459">_xlfn.LET(_xlpm.rowNum,MATCH(E3459,'glossaryterms-export'!C:C,0),
IF(AND(NOT(ISBLANK(INDEX('glossaryterms-export'!H:H,_xlpm.rowNum))),ISBLANK(INDEX('glossaryterms-export'!I:I,_xlpm.rowNum))),"Ready to Fix",""))</f>
        <v/>
      </c>
    </row>
    <row r="3460" spans="6:6">
      <c r="F3460" s="1" t="str" cm="1">
        <f t="array" ref="F3460">_xlfn.LET(_xlpm.rowNum,MATCH(E3460,'glossaryterms-export'!C:C,0),
IF(AND(NOT(ISBLANK(INDEX('glossaryterms-export'!H:H,_xlpm.rowNum))),ISBLANK(INDEX('glossaryterms-export'!I:I,_xlpm.rowNum))),"Ready to Fix",""))</f>
        <v/>
      </c>
    </row>
    <row r="3461" spans="6:6">
      <c r="F3461" s="1" t="str" cm="1">
        <f t="array" ref="F3461">_xlfn.LET(_xlpm.rowNum,MATCH(E3461,'glossaryterms-export'!C:C,0),
IF(AND(NOT(ISBLANK(INDEX('glossaryterms-export'!H:H,_xlpm.rowNum))),ISBLANK(INDEX('glossaryterms-export'!I:I,_xlpm.rowNum))),"Ready to Fix",""))</f>
        <v/>
      </c>
    </row>
    <row r="3462" spans="6:6">
      <c r="F3462" s="1" t="str" cm="1">
        <f t="array" ref="F3462">_xlfn.LET(_xlpm.rowNum,MATCH(E3462,'glossaryterms-export'!C:C,0),
IF(AND(NOT(ISBLANK(INDEX('glossaryterms-export'!H:H,_xlpm.rowNum))),ISBLANK(INDEX('glossaryterms-export'!I:I,_xlpm.rowNum))),"Ready to Fix",""))</f>
        <v/>
      </c>
    </row>
    <row r="3463" spans="6:6">
      <c r="F3463" s="1" t="str" cm="1">
        <f t="array" ref="F3463">_xlfn.LET(_xlpm.rowNum,MATCH(E3463,'glossaryterms-export'!C:C,0),
IF(AND(NOT(ISBLANK(INDEX('glossaryterms-export'!H:H,_xlpm.rowNum))),ISBLANK(INDEX('glossaryterms-export'!I:I,_xlpm.rowNum))),"Ready to Fix",""))</f>
        <v/>
      </c>
    </row>
    <row r="3464" spans="6:6">
      <c r="F3464" s="1" t="str" cm="1">
        <f t="array" ref="F3464">_xlfn.LET(_xlpm.rowNum,MATCH(E3464,'glossaryterms-export'!C:C,0),
IF(AND(NOT(ISBLANK(INDEX('glossaryterms-export'!H:H,_xlpm.rowNum))),ISBLANK(INDEX('glossaryterms-export'!I:I,_xlpm.rowNum))),"Ready to Fix",""))</f>
        <v/>
      </c>
    </row>
    <row r="3465" spans="6:6">
      <c r="F3465" s="1" t="str" cm="1">
        <f t="array" ref="F3465">_xlfn.LET(_xlpm.rowNum,MATCH(E3465,'glossaryterms-export'!C:C,0),
IF(AND(NOT(ISBLANK(INDEX('glossaryterms-export'!H:H,_xlpm.rowNum))),ISBLANK(INDEX('glossaryterms-export'!I:I,_xlpm.rowNum))),"Ready to Fix",""))</f>
        <v/>
      </c>
    </row>
    <row r="3466" spans="6:6">
      <c r="F3466" s="1" t="str" cm="1">
        <f t="array" ref="F3466">_xlfn.LET(_xlpm.rowNum,MATCH(E3466,'glossaryterms-export'!C:C,0),
IF(AND(NOT(ISBLANK(INDEX('glossaryterms-export'!H:H,_xlpm.rowNum))),ISBLANK(INDEX('glossaryterms-export'!I:I,_xlpm.rowNum))),"Ready to Fix",""))</f>
        <v/>
      </c>
    </row>
    <row r="3467" spans="6:6">
      <c r="F3467" s="1" t="str" cm="1">
        <f t="array" ref="F3467">_xlfn.LET(_xlpm.rowNum,MATCH(E3467,'glossaryterms-export'!C:C,0),
IF(AND(NOT(ISBLANK(INDEX('glossaryterms-export'!H:H,_xlpm.rowNum))),ISBLANK(INDEX('glossaryterms-export'!I:I,_xlpm.rowNum))),"Ready to Fix",""))</f>
        <v/>
      </c>
    </row>
    <row r="3468" spans="6:6">
      <c r="F3468" s="1" t="str" cm="1">
        <f t="array" ref="F3468">_xlfn.LET(_xlpm.rowNum,MATCH(E3468,'glossaryterms-export'!C:C,0),
IF(AND(NOT(ISBLANK(INDEX('glossaryterms-export'!H:H,_xlpm.rowNum))),ISBLANK(INDEX('glossaryterms-export'!I:I,_xlpm.rowNum))),"Ready to Fix",""))</f>
        <v/>
      </c>
    </row>
    <row r="3469" spans="6:6">
      <c r="F3469" s="1" t="str" cm="1">
        <f t="array" ref="F3469">_xlfn.LET(_xlpm.rowNum,MATCH(E3469,'glossaryterms-export'!C:C,0),
IF(AND(NOT(ISBLANK(INDEX('glossaryterms-export'!H:H,_xlpm.rowNum))),ISBLANK(INDEX('glossaryterms-export'!I:I,_xlpm.rowNum))),"Ready to Fix",""))</f>
        <v/>
      </c>
    </row>
    <row r="3470" spans="6:6">
      <c r="F3470" s="1" t="str" cm="1">
        <f t="array" ref="F3470">_xlfn.LET(_xlpm.rowNum,MATCH(E3470,'glossaryterms-export'!C:C,0),
IF(AND(NOT(ISBLANK(INDEX('glossaryterms-export'!H:H,_xlpm.rowNum))),ISBLANK(INDEX('glossaryterms-export'!I:I,_xlpm.rowNum))),"Ready to Fix",""))</f>
        <v/>
      </c>
    </row>
    <row r="3471" spans="6:6">
      <c r="F3471" s="1" t="str" cm="1">
        <f t="array" ref="F3471">_xlfn.LET(_xlpm.rowNum,MATCH(E3471,'glossaryterms-export'!C:C,0),
IF(AND(NOT(ISBLANK(INDEX('glossaryterms-export'!H:H,_xlpm.rowNum))),ISBLANK(INDEX('glossaryterms-export'!I:I,_xlpm.rowNum))),"Ready to Fix",""))</f>
        <v/>
      </c>
    </row>
    <row r="3472" spans="6:6">
      <c r="F3472" s="1" t="str" cm="1">
        <f t="array" ref="F3472">_xlfn.LET(_xlpm.rowNum,MATCH(E3472,'glossaryterms-export'!C:C,0),
IF(AND(NOT(ISBLANK(INDEX('glossaryterms-export'!H:H,_xlpm.rowNum))),ISBLANK(INDEX('glossaryterms-export'!I:I,_xlpm.rowNum))),"Ready to Fix",""))</f>
        <v/>
      </c>
    </row>
    <row r="3473" spans="6:6">
      <c r="F3473" s="1" t="str" cm="1">
        <f t="array" ref="F3473">_xlfn.LET(_xlpm.rowNum,MATCH(E3473,'glossaryterms-export'!C:C,0),
IF(AND(NOT(ISBLANK(INDEX('glossaryterms-export'!H:H,_xlpm.rowNum))),ISBLANK(INDEX('glossaryterms-export'!I:I,_xlpm.rowNum))),"Ready to Fix",""))</f>
        <v/>
      </c>
    </row>
    <row r="3474" spans="6:6">
      <c r="F3474" s="1" t="str" cm="1">
        <f t="array" ref="F3474">_xlfn.LET(_xlpm.rowNum,MATCH(E3474,'glossaryterms-export'!C:C,0),
IF(AND(NOT(ISBLANK(INDEX('glossaryterms-export'!H:H,_xlpm.rowNum))),ISBLANK(INDEX('glossaryterms-export'!I:I,_xlpm.rowNum))),"Ready to Fix",""))</f>
        <v/>
      </c>
    </row>
    <row r="3475" spans="6:6">
      <c r="F3475" s="1" t="str" cm="1">
        <f t="array" ref="F3475">_xlfn.LET(_xlpm.rowNum,MATCH(E3475,'glossaryterms-export'!C:C,0),
IF(AND(NOT(ISBLANK(INDEX('glossaryterms-export'!H:H,_xlpm.rowNum))),ISBLANK(INDEX('glossaryterms-export'!I:I,_xlpm.rowNum))),"Ready to Fix",""))</f>
        <v/>
      </c>
    </row>
    <row r="3476" spans="6:6">
      <c r="F3476" s="1" t="str" cm="1">
        <f t="array" ref="F3476">_xlfn.LET(_xlpm.rowNum,MATCH(E3476,'glossaryterms-export'!C:C,0),
IF(AND(NOT(ISBLANK(INDEX('glossaryterms-export'!H:H,_xlpm.rowNum))),ISBLANK(INDEX('glossaryterms-export'!I:I,_xlpm.rowNum))),"Ready to Fix",""))</f>
        <v/>
      </c>
    </row>
    <row r="3477" spans="6:6">
      <c r="F3477" s="1" t="str" cm="1">
        <f t="array" ref="F3477">_xlfn.LET(_xlpm.rowNum,MATCH(E3477,'glossaryterms-export'!C:C,0),
IF(AND(NOT(ISBLANK(INDEX('glossaryterms-export'!H:H,_xlpm.rowNum))),ISBLANK(INDEX('glossaryterms-export'!I:I,_xlpm.rowNum))),"Ready to Fix",""))</f>
        <v/>
      </c>
    </row>
    <row r="3478" spans="6:6">
      <c r="F3478" s="1" t="str" cm="1">
        <f t="array" ref="F3478">_xlfn.LET(_xlpm.rowNum,MATCH(E3478,'glossaryterms-export'!C:C,0),
IF(AND(NOT(ISBLANK(INDEX('glossaryterms-export'!H:H,_xlpm.rowNum))),ISBLANK(INDEX('glossaryterms-export'!I:I,_xlpm.rowNum))),"Ready to Fix",""))</f>
        <v/>
      </c>
    </row>
    <row r="3479" spans="6:6">
      <c r="F3479" s="1" t="str" cm="1">
        <f t="array" ref="F3479">_xlfn.LET(_xlpm.rowNum,MATCH(E3479,'glossaryterms-export'!C:C,0),
IF(AND(NOT(ISBLANK(INDEX('glossaryterms-export'!H:H,_xlpm.rowNum))),ISBLANK(INDEX('glossaryterms-export'!I:I,_xlpm.rowNum))),"Ready to Fix",""))</f>
        <v/>
      </c>
    </row>
    <row r="3480" spans="6:6">
      <c r="F3480" s="1" t="str" cm="1">
        <f t="array" ref="F3480">_xlfn.LET(_xlpm.rowNum,MATCH(E3480,'glossaryterms-export'!C:C,0),
IF(AND(NOT(ISBLANK(INDEX('glossaryterms-export'!H:H,_xlpm.rowNum))),ISBLANK(INDEX('glossaryterms-export'!I:I,_xlpm.rowNum))),"Ready to Fix",""))</f>
        <v/>
      </c>
    </row>
    <row r="3481" spans="6:6">
      <c r="F3481" s="1" t="str" cm="1">
        <f t="array" ref="F3481">_xlfn.LET(_xlpm.rowNum,MATCH(E3481,'glossaryterms-export'!C:C,0),
IF(AND(NOT(ISBLANK(INDEX('glossaryterms-export'!H:H,_xlpm.rowNum))),ISBLANK(INDEX('glossaryterms-export'!I:I,_xlpm.rowNum))),"Ready to Fix",""))</f>
        <v/>
      </c>
    </row>
    <row r="3482" spans="6:6">
      <c r="F3482" s="1" t="str" cm="1">
        <f t="array" ref="F3482">_xlfn.LET(_xlpm.rowNum,MATCH(E3482,'glossaryterms-export'!C:C,0),
IF(AND(NOT(ISBLANK(INDEX('glossaryterms-export'!H:H,_xlpm.rowNum))),ISBLANK(INDEX('glossaryterms-export'!I:I,_xlpm.rowNum))),"Ready to Fix",""))</f>
        <v/>
      </c>
    </row>
    <row r="3483" spans="6:6">
      <c r="F3483" s="1" t="str" cm="1">
        <f t="array" ref="F3483">_xlfn.LET(_xlpm.rowNum,MATCH(E3483,'glossaryterms-export'!C:C,0),
IF(AND(NOT(ISBLANK(INDEX('glossaryterms-export'!H:H,_xlpm.rowNum))),ISBLANK(INDEX('glossaryterms-export'!I:I,_xlpm.rowNum))),"Ready to Fix",""))</f>
        <v/>
      </c>
    </row>
    <row r="3484" spans="6:6">
      <c r="F3484" s="1" t="str" cm="1">
        <f t="array" ref="F3484">_xlfn.LET(_xlpm.rowNum,MATCH(E3484,'glossaryterms-export'!C:C,0),
IF(AND(NOT(ISBLANK(INDEX('glossaryterms-export'!H:H,_xlpm.rowNum))),ISBLANK(INDEX('glossaryterms-export'!I:I,_xlpm.rowNum))),"Ready to Fix",""))</f>
        <v/>
      </c>
    </row>
    <row r="3485" spans="6:6">
      <c r="F3485" s="1" t="str" cm="1">
        <f t="array" ref="F3485">_xlfn.LET(_xlpm.rowNum,MATCH(E3485,'glossaryterms-export'!C:C,0),
IF(AND(NOT(ISBLANK(INDEX('glossaryterms-export'!H:H,_xlpm.rowNum))),ISBLANK(INDEX('glossaryterms-export'!I:I,_xlpm.rowNum))),"Ready to Fix",""))</f>
        <v/>
      </c>
    </row>
    <row r="3486" spans="6:6">
      <c r="F3486" s="1" t="str" cm="1">
        <f t="array" ref="F3486">_xlfn.LET(_xlpm.rowNum,MATCH(E3486,'glossaryterms-export'!C:C,0),
IF(AND(NOT(ISBLANK(INDEX('glossaryterms-export'!H:H,_xlpm.rowNum))),ISBLANK(INDEX('glossaryterms-export'!I:I,_xlpm.rowNum))),"Ready to Fix",""))</f>
        <v/>
      </c>
    </row>
    <row r="3487" spans="6:6">
      <c r="F3487" s="1" t="str" cm="1">
        <f t="array" ref="F3487">_xlfn.LET(_xlpm.rowNum,MATCH(E3487,'glossaryterms-export'!C:C,0),
IF(AND(NOT(ISBLANK(INDEX('glossaryterms-export'!H:H,_xlpm.rowNum))),ISBLANK(INDEX('glossaryterms-export'!I:I,_xlpm.rowNum))),"Ready to Fix",""))</f>
        <v/>
      </c>
    </row>
    <row r="3488" spans="6:6">
      <c r="F3488" s="1" t="str" cm="1">
        <f t="array" ref="F3488">_xlfn.LET(_xlpm.rowNum,MATCH(E3488,'glossaryterms-export'!C:C,0),
IF(AND(NOT(ISBLANK(INDEX('glossaryterms-export'!H:H,_xlpm.rowNum))),ISBLANK(INDEX('glossaryterms-export'!I:I,_xlpm.rowNum))),"Ready to Fix",""))</f>
        <v/>
      </c>
    </row>
    <row r="3489" spans="6:6">
      <c r="F3489" s="1" t="str" cm="1">
        <f t="array" ref="F3489">_xlfn.LET(_xlpm.rowNum,MATCH(E3489,'glossaryterms-export'!C:C,0),
IF(AND(NOT(ISBLANK(INDEX('glossaryterms-export'!H:H,_xlpm.rowNum))),ISBLANK(INDEX('glossaryterms-export'!I:I,_xlpm.rowNum))),"Ready to Fix",""))</f>
        <v/>
      </c>
    </row>
    <row r="3490" spans="6:6">
      <c r="F3490" s="1" t="str" cm="1">
        <f t="array" ref="F3490">_xlfn.LET(_xlpm.rowNum,MATCH(E3490,'glossaryterms-export'!C:C,0),
IF(AND(NOT(ISBLANK(INDEX('glossaryterms-export'!H:H,_xlpm.rowNum))),ISBLANK(INDEX('glossaryterms-export'!I:I,_xlpm.rowNum))),"Ready to Fix",""))</f>
        <v/>
      </c>
    </row>
    <row r="3491" spans="6:6">
      <c r="F3491" s="1" t="str" cm="1">
        <f t="array" ref="F3491">_xlfn.LET(_xlpm.rowNum,MATCH(E3491,'glossaryterms-export'!C:C,0),
IF(AND(NOT(ISBLANK(INDEX('glossaryterms-export'!H:H,_xlpm.rowNum))),ISBLANK(INDEX('glossaryterms-export'!I:I,_xlpm.rowNum))),"Ready to Fix",""))</f>
        <v/>
      </c>
    </row>
    <row r="3492" spans="6:6">
      <c r="F3492" s="1" t="str" cm="1">
        <f t="array" ref="F3492">_xlfn.LET(_xlpm.rowNum,MATCH(E3492,'glossaryterms-export'!C:C,0),
IF(AND(NOT(ISBLANK(INDEX('glossaryterms-export'!H:H,_xlpm.rowNum))),ISBLANK(INDEX('glossaryterms-export'!I:I,_xlpm.rowNum))),"Ready to Fix",""))</f>
        <v/>
      </c>
    </row>
    <row r="3493" spans="6:6">
      <c r="F3493" s="1" t="str" cm="1">
        <f t="array" ref="F3493">_xlfn.LET(_xlpm.rowNum,MATCH(E3493,'glossaryterms-export'!C:C,0),
IF(AND(NOT(ISBLANK(INDEX('glossaryterms-export'!H:H,_xlpm.rowNum))),ISBLANK(INDEX('glossaryterms-export'!I:I,_xlpm.rowNum))),"Ready to Fix",""))</f>
        <v/>
      </c>
    </row>
    <row r="3494" spans="6:6">
      <c r="F3494" s="1" t="str" cm="1">
        <f t="array" ref="F3494">_xlfn.LET(_xlpm.rowNum,MATCH(E3494,'glossaryterms-export'!C:C,0),
IF(AND(NOT(ISBLANK(INDEX('glossaryterms-export'!H:H,_xlpm.rowNum))),ISBLANK(INDEX('glossaryterms-export'!I:I,_xlpm.rowNum))),"Ready to Fix",""))</f>
        <v/>
      </c>
    </row>
    <row r="3495" spans="6:6">
      <c r="F3495" s="1" t="str" cm="1">
        <f t="array" ref="F3495">_xlfn.LET(_xlpm.rowNum,MATCH(E3495,'glossaryterms-export'!C:C,0),
IF(AND(NOT(ISBLANK(INDEX('glossaryterms-export'!H:H,_xlpm.rowNum))),ISBLANK(INDEX('glossaryterms-export'!I:I,_xlpm.rowNum))),"Ready to Fix",""))</f>
        <v/>
      </c>
    </row>
    <row r="3496" spans="6:6">
      <c r="F3496" s="1" t="str" cm="1">
        <f t="array" ref="F3496">_xlfn.LET(_xlpm.rowNum,MATCH(E3496,'glossaryterms-export'!C:C,0),
IF(AND(NOT(ISBLANK(INDEX('glossaryterms-export'!H:H,_xlpm.rowNum))),ISBLANK(INDEX('glossaryterms-export'!I:I,_xlpm.rowNum))),"Ready to Fix",""))</f>
        <v/>
      </c>
    </row>
    <row r="3497" spans="6:6">
      <c r="F3497" s="1" t="str" cm="1">
        <f t="array" ref="F3497">_xlfn.LET(_xlpm.rowNum,MATCH(E3497,'glossaryterms-export'!C:C,0),
IF(AND(NOT(ISBLANK(INDEX('glossaryterms-export'!H:H,_xlpm.rowNum))),ISBLANK(INDEX('glossaryterms-export'!I:I,_xlpm.rowNum))),"Ready to Fix",""))</f>
        <v/>
      </c>
    </row>
    <row r="3498" spans="6:6">
      <c r="F3498" s="1" t="str" cm="1">
        <f t="array" ref="F3498">_xlfn.LET(_xlpm.rowNum,MATCH(E3498,'glossaryterms-export'!C:C,0),
IF(AND(NOT(ISBLANK(INDEX('glossaryterms-export'!H:H,_xlpm.rowNum))),ISBLANK(INDEX('glossaryterms-export'!I:I,_xlpm.rowNum))),"Ready to Fix",""))</f>
        <v/>
      </c>
    </row>
    <row r="3499" spans="6:6">
      <c r="F3499" s="1" t="str" cm="1">
        <f t="array" ref="F3499">_xlfn.LET(_xlpm.rowNum,MATCH(E3499,'glossaryterms-export'!C:C,0),
IF(AND(NOT(ISBLANK(INDEX('glossaryterms-export'!H:H,_xlpm.rowNum))),ISBLANK(INDEX('glossaryterms-export'!I:I,_xlpm.rowNum))),"Ready to Fix",""))</f>
        <v/>
      </c>
    </row>
    <row r="3500" spans="6:6">
      <c r="F3500" s="1" t="str" cm="1">
        <f t="array" ref="F3500">_xlfn.LET(_xlpm.rowNum,MATCH(E3500,'glossaryterms-export'!C:C,0),
IF(AND(NOT(ISBLANK(INDEX('glossaryterms-export'!H:H,_xlpm.rowNum))),ISBLANK(INDEX('glossaryterms-export'!I:I,_xlpm.rowNum))),"Ready to Fix",""))</f>
        <v/>
      </c>
    </row>
    <row r="3501" spans="6:6">
      <c r="F3501" s="1" t="str" cm="1">
        <f t="array" ref="F3501">_xlfn.LET(_xlpm.rowNum,MATCH(E3501,'glossaryterms-export'!C:C,0),
IF(AND(NOT(ISBLANK(INDEX('glossaryterms-export'!H:H,_xlpm.rowNum))),ISBLANK(INDEX('glossaryterms-export'!I:I,_xlpm.rowNum))),"Ready to Fix",""))</f>
        <v/>
      </c>
    </row>
    <row r="3502" spans="6:6">
      <c r="F3502" s="1" t="str" cm="1">
        <f t="array" ref="F3502">_xlfn.LET(_xlpm.rowNum,MATCH(E3502,'glossaryterms-export'!C:C,0),
IF(AND(NOT(ISBLANK(INDEX('glossaryterms-export'!H:H,_xlpm.rowNum))),ISBLANK(INDEX('glossaryterms-export'!I:I,_xlpm.rowNum))),"Ready to Fix",""))</f>
        <v/>
      </c>
    </row>
    <row r="3503" spans="6:6">
      <c r="F3503" s="1" t="str" cm="1">
        <f t="array" ref="F3503">_xlfn.LET(_xlpm.rowNum,MATCH(E3503,'glossaryterms-export'!C:C,0),
IF(AND(NOT(ISBLANK(INDEX('glossaryterms-export'!H:H,_xlpm.rowNum))),ISBLANK(INDEX('glossaryterms-export'!I:I,_xlpm.rowNum))),"Ready to Fix",""))</f>
        <v/>
      </c>
    </row>
    <row r="3504" spans="6:6">
      <c r="F3504" s="1" t="str" cm="1">
        <f t="array" ref="F3504">_xlfn.LET(_xlpm.rowNum,MATCH(E3504,'glossaryterms-export'!C:C,0),
IF(AND(NOT(ISBLANK(INDEX('glossaryterms-export'!H:H,_xlpm.rowNum))),ISBLANK(INDEX('glossaryterms-export'!I:I,_xlpm.rowNum))),"Ready to Fix",""))</f>
        <v/>
      </c>
    </row>
    <row r="3505" spans="6:6">
      <c r="F3505" s="1" t="str" cm="1">
        <f t="array" ref="F3505">_xlfn.LET(_xlpm.rowNum,MATCH(E3505,'glossaryterms-export'!C:C,0),
IF(AND(NOT(ISBLANK(INDEX('glossaryterms-export'!H:H,_xlpm.rowNum))),ISBLANK(INDEX('glossaryterms-export'!I:I,_xlpm.rowNum))),"Ready to Fix",""))</f>
        <v/>
      </c>
    </row>
    <row r="3506" spans="6:6">
      <c r="F3506" s="1" t="str" cm="1">
        <f t="array" ref="F3506">_xlfn.LET(_xlpm.rowNum,MATCH(E3506,'glossaryterms-export'!C:C,0),
IF(AND(NOT(ISBLANK(INDEX('glossaryterms-export'!H:H,_xlpm.rowNum))),ISBLANK(INDEX('glossaryterms-export'!I:I,_xlpm.rowNum))),"Ready to Fix",""))</f>
        <v/>
      </c>
    </row>
    <row r="3507" spans="6:6">
      <c r="F3507" s="1" t="str" cm="1">
        <f t="array" ref="F3507">_xlfn.LET(_xlpm.rowNum,MATCH(E3507,'glossaryterms-export'!C:C,0),
IF(AND(NOT(ISBLANK(INDEX('glossaryterms-export'!H:H,_xlpm.rowNum))),ISBLANK(INDEX('glossaryterms-export'!I:I,_xlpm.rowNum))),"Ready to Fix",""))</f>
        <v/>
      </c>
    </row>
    <row r="3508" spans="6:6">
      <c r="F3508" s="1" t="str" cm="1">
        <f t="array" ref="F3508">_xlfn.LET(_xlpm.rowNum,MATCH(E3508,'glossaryterms-export'!C:C,0),
IF(AND(NOT(ISBLANK(INDEX('glossaryterms-export'!H:H,_xlpm.rowNum))),ISBLANK(INDEX('glossaryterms-export'!I:I,_xlpm.rowNum))),"Ready to Fix",""))</f>
        <v/>
      </c>
    </row>
    <row r="3509" spans="6:6">
      <c r="F3509" s="1" t="str" cm="1">
        <f t="array" ref="F3509">_xlfn.LET(_xlpm.rowNum,MATCH(E3509,'glossaryterms-export'!C:C,0),
IF(AND(NOT(ISBLANK(INDEX('glossaryterms-export'!H:H,_xlpm.rowNum))),ISBLANK(INDEX('glossaryterms-export'!I:I,_xlpm.rowNum))),"Ready to Fix",""))</f>
        <v/>
      </c>
    </row>
    <row r="3510" spans="6:6">
      <c r="F3510" s="1" t="str" cm="1">
        <f t="array" ref="F3510">_xlfn.LET(_xlpm.rowNum,MATCH(E3510,'glossaryterms-export'!C:C,0),
IF(AND(NOT(ISBLANK(INDEX('glossaryterms-export'!H:H,_xlpm.rowNum))),ISBLANK(INDEX('glossaryterms-export'!I:I,_xlpm.rowNum))),"Ready to Fix",""))</f>
        <v/>
      </c>
    </row>
    <row r="3511" spans="6:6">
      <c r="F3511" s="1" t="str" cm="1">
        <f t="array" ref="F3511">_xlfn.LET(_xlpm.rowNum,MATCH(E3511,'glossaryterms-export'!C:C,0),
IF(AND(NOT(ISBLANK(INDEX('glossaryterms-export'!H:H,_xlpm.rowNum))),ISBLANK(INDEX('glossaryterms-export'!I:I,_xlpm.rowNum))),"Ready to Fix",""))</f>
        <v/>
      </c>
    </row>
    <row r="3512" spans="6:6">
      <c r="F3512" s="1" t="str" cm="1">
        <f t="array" ref="F3512">_xlfn.LET(_xlpm.rowNum,MATCH(E3512,'glossaryterms-export'!C:C,0),
IF(AND(NOT(ISBLANK(INDEX('glossaryterms-export'!H:H,_xlpm.rowNum))),ISBLANK(INDEX('glossaryterms-export'!I:I,_xlpm.rowNum))),"Ready to Fix",""))</f>
        <v/>
      </c>
    </row>
    <row r="3513" spans="6:6">
      <c r="F3513" s="1" t="str" cm="1">
        <f t="array" ref="F3513">_xlfn.LET(_xlpm.rowNum,MATCH(E3513,'glossaryterms-export'!C:C,0),
IF(AND(NOT(ISBLANK(INDEX('glossaryterms-export'!H:H,_xlpm.rowNum))),ISBLANK(INDEX('glossaryterms-export'!I:I,_xlpm.rowNum))),"Ready to Fix",""))</f>
        <v/>
      </c>
    </row>
    <row r="3514" spans="6:6">
      <c r="F3514" s="1" t="str" cm="1">
        <f t="array" ref="F3514">_xlfn.LET(_xlpm.rowNum,MATCH(E3514,'glossaryterms-export'!C:C,0),
IF(AND(NOT(ISBLANK(INDEX('glossaryterms-export'!H:H,_xlpm.rowNum))),ISBLANK(INDEX('glossaryterms-export'!I:I,_xlpm.rowNum))),"Ready to Fix",""))</f>
        <v/>
      </c>
    </row>
    <row r="3515" spans="6:6">
      <c r="F3515" s="1" t="str" cm="1">
        <f t="array" ref="F3515">_xlfn.LET(_xlpm.rowNum,MATCH(E3515,'glossaryterms-export'!C:C,0),
IF(AND(NOT(ISBLANK(INDEX('glossaryterms-export'!H:H,_xlpm.rowNum))),ISBLANK(INDEX('glossaryterms-export'!I:I,_xlpm.rowNum))),"Ready to Fix",""))</f>
        <v/>
      </c>
    </row>
    <row r="3516" spans="6:6">
      <c r="F3516" s="1" t="str" cm="1">
        <f t="array" ref="F3516">_xlfn.LET(_xlpm.rowNum,MATCH(E3516,'glossaryterms-export'!C:C,0),
IF(AND(NOT(ISBLANK(INDEX('glossaryterms-export'!H:H,_xlpm.rowNum))),ISBLANK(INDEX('glossaryterms-export'!I:I,_xlpm.rowNum))),"Ready to Fix",""))</f>
        <v/>
      </c>
    </row>
    <row r="3517" spans="6:6">
      <c r="F3517" s="1" t="str" cm="1">
        <f t="array" ref="F3517">_xlfn.LET(_xlpm.rowNum,MATCH(E3517,'glossaryterms-export'!C:C,0),
IF(AND(NOT(ISBLANK(INDEX('glossaryterms-export'!H:H,_xlpm.rowNum))),ISBLANK(INDEX('glossaryterms-export'!I:I,_xlpm.rowNum))),"Ready to Fix",""))</f>
        <v/>
      </c>
    </row>
    <row r="3518" spans="6:6">
      <c r="F3518" s="1" t="str" cm="1">
        <f t="array" ref="F3518">_xlfn.LET(_xlpm.rowNum,MATCH(E3518,'glossaryterms-export'!C:C,0),
IF(AND(NOT(ISBLANK(INDEX('glossaryterms-export'!H:H,_xlpm.rowNum))),ISBLANK(INDEX('glossaryterms-export'!I:I,_xlpm.rowNum))),"Ready to Fix",""))</f>
        <v/>
      </c>
    </row>
    <row r="3519" spans="6:6">
      <c r="F3519" s="1" t="str" cm="1">
        <f t="array" ref="F3519">_xlfn.LET(_xlpm.rowNum,MATCH(E3519,'glossaryterms-export'!C:C,0),
IF(AND(NOT(ISBLANK(INDEX('glossaryterms-export'!H:H,_xlpm.rowNum))),ISBLANK(INDEX('glossaryterms-export'!I:I,_xlpm.rowNum))),"Ready to Fix",""))</f>
        <v/>
      </c>
    </row>
    <row r="3520" spans="6:6">
      <c r="F3520" s="1" t="str" cm="1">
        <f t="array" ref="F3520">_xlfn.LET(_xlpm.rowNum,MATCH(E3520,'glossaryterms-export'!C:C,0),
IF(AND(NOT(ISBLANK(INDEX('glossaryterms-export'!H:H,_xlpm.rowNum))),ISBLANK(INDEX('glossaryterms-export'!I:I,_xlpm.rowNum))),"Ready to Fix",""))</f>
        <v/>
      </c>
    </row>
    <row r="3521" spans="6:6">
      <c r="F3521" s="1" t="str" cm="1">
        <f t="array" ref="F3521">_xlfn.LET(_xlpm.rowNum,MATCH(E3521,'glossaryterms-export'!C:C,0),
IF(AND(NOT(ISBLANK(INDEX('glossaryterms-export'!H:H,_xlpm.rowNum))),ISBLANK(INDEX('glossaryterms-export'!I:I,_xlpm.rowNum))),"Ready to Fix",""))</f>
        <v/>
      </c>
    </row>
    <row r="3522" spans="6:6">
      <c r="F3522" s="1" t="str" cm="1">
        <f t="array" ref="F3522">_xlfn.LET(_xlpm.rowNum,MATCH(E3522,'glossaryterms-export'!C:C,0),
IF(AND(NOT(ISBLANK(INDEX('glossaryterms-export'!H:H,_xlpm.rowNum))),ISBLANK(INDEX('glossaryterms-export'!I:I,_xlpm.rowNum))),"Ready to Fix",""))</f>
        <v/>
      </c>
    </row>
    <row r="3523" spans="6:6">
      <c r="F3523" s="1" t="str" cm="1">
        <f t="array" ref="F3523">_xlfn.LET(_xlpm.rowNum,MATCH(E3523,'glossaryterms-export'!C:C,0),
IF(AND(NOT(ISBLANK(INDEX('glossaryterms-export'!H:H,_xlpm.rowNum))),ISBLANK(INDEX('glossaryterms-export'!I:I,_xlpm.rowNum))),"Ready to Fix",""))</f>
        <v/>
      </c>
    </row>
    <row r="3524" spans="6:6">
      <c r="F3524" s="1" t="str" cm="1">
        <f t="array" ref="F3524">_xlfn.LET(_xlpm.rowNum,MATCH(E3524,'glossaryterms-export'!C:C,0),
IF(AND(NOT(ISBLANK(INDEX('glossaryterms-export'!H:H,_xlpm.rowNum))),ISBLANK(INDEX('glossaryterms-export'!I:I,_xlpm.rowNum))),"Ready to Fix",""))</f>
        <v/>
      </c>
    </row>
    <row r="3525" spans="6:6">
      <c r="F3525" s="1" t="str" cm="1">
        <f t="array" ref="F3525">_xlfn.LET(_xlpm.rowNum,MATCH(E3525,'glossaryterms-export'!C:C,0),
IF(AND(NOT(ISBLANK(INDEX('glossaryterms-export'!H:H,_xlpm.rowNum))),ISBLANK(INDEX('glossaryterms-export'!I:I,_xlpm.rowNum))),"Ready to Fix",""))</f>
        <v/>
      </c>
    </row>
    <row r="3526" spans="6:6">
      <c r="F3526" s="1" t="str" cm="1">
        <f t="array" ref="F3526">_xlfn.LET(_xlpm.rowNum,MATCH(E3526,'glossaryterms-export'!C:C,0),
IF(AND(NOT(ISBLANK(INDEX('glossaryterms-export'!H:H,_xlpm.rowNum))),ISBLANK(INDEX('glossaryterms-export'!I:I,_xlpm.rowNum))),"Ready to Fix",""))</f>
        <v/>
      </c>
    </row>
    <row r="3527" spans="6:6">
      <c r="F3527" s="1" t="str" cm="1">
        <f t="array" ref="F3527">_xlfn.LET(_xlpm.rowNum,MATCH(E3527,'glossaryterms-export'!C:C,0),
IF(AND(NOT(ISBLANK(INDEX('glossaryterms-export'!H:H,_xlpm.rowNum))),ISBLANK(INDEX('glossaryterms-export'!I:I,_xlpm.rowNum))),"Ready to Fix",""))</f>
        <v/>
      </c>
    </row>
    <row r="3528" spans="6:6">
      <c r="F3528" s="1" t="str" cm="1">
        <f t="array" ref="F3528">_xlfn.LET(_xlpm.rowNum,MATCH(E3528,'glossaryterms-export'!C:C,0),
IF(AND(NOT(ISBLANK(INDEX('glossaryterms-export'!H:H,_xlpm.rowNum))),ISBLANK(INDEX('glossaryterms-export'!I:I,_xlpm.rowNum))),"Ready to Fix",""))</f>
        <v/>
      </c>
    </row>
    <row r="3529" spans="6:6">
      <c r="F3529" s="1" t="str" cm="1">
        <f t="array" ref="F3529">_xlfn.LET(_xlpm.rowNum,MATCH(E3529,'glossaryterms-export'!C:C,0),
IF(AND(NOT(ISBLANK(INDEX('glossaryterms-export'!H:H,_xlpm.rowNum))),ISBLANK(INDEX('glossaryterms-export'!I:I,_xlpm.rowNum))),"Ready to Fix",""))</f>
        <v/>
      </c>
    </row>
    <row r="3530" spans="6:6">
      <c r="F3530" s="1" t="str" cm="1">
        <f t="array" ref="F3530">_xlfn.LET(_xlpm.rowNum,MATCH(E3530,'glossaryterms-export'!C:C,0),
IF(AND(NOT(ISBLANK(INDEX('glossaryterms-export'!H:H,_xlpm.rowNum))),ISBLANK(INDEX('glossaryterms-export'!I:I,_xlpm.rowNum))),"Ready to Fix",""))</f>
        <v/>
      </c>
    </row>
    <row r="3531" spans="6:6">
      <c r="F3531" s="1" t="str" cm="1">
        <f t="array" ref="F3531">_xlfn.LET(_xlpm.rowNum,MATCH(E3531,'glossaryterms-export'!C:C,0),
IF(AND(NOT(ISBLANK(INDEX('glossaryterms-export'!H:H,_xlpm.rowNum))),ISBLANK(INDEX('glossaryterms-export'!I:I,_xlpm.rowNum))),"Ready to Fix",""))</f>
        <v/>
      </c>
    </row>
    <row r="3532" spans="6:6">
      <c r="F3532" s="1" t="str" cm="1">
        <f t="array" ref="F3532">_xlfn.LET(_xlpm.rowNum,MATCH(E3532,'glossaryterms-export'!C:C,0),
IF(AND(NOT(ISBLANK(INDEX('glossaryterms-export'!H:H,_xlpm.rowNum))),ISBLANK(INDEX('glossaryterms-export'!I:I,_xlpm.rowNum))),"Ready to Fix",""))</f>
        <v/>
      </c>
    </row>
    <row r="3533" spans="6:6">
      <c r="F3533" s="1" t="str" cm="1">
        <f t="array" ref="F3533">_xlfn.LET(_xlpm.rowNum,MATCH(E3533,'glossaryterms-export'!C:C,0),
IF(AND(NOT(ISBLANK(INDEX('glossaryterms-export'!H:H,_xlpm.rowNum))),ISBLANK(INDEX('glossaryterms-export'!I:I,_xlpm.rowNum))),"Ready to Fix",""))</f>
        <v/>
      </c>
    </row>
    <row r="3534" spans="6:6">
      <c r="F3534" s="1" t="str" cm="1">
        <f t="array" ref="F3534">_xlfn.LET(_xlpm.rowNum,MATCH(E3534,'glossaryterms-export'!C:C,0),
IF(AND(NOT(ISBLANK(INDEX('glossaryterms-export'!H:H,_xlpm.rowNum))),ISBLANK(INDEX('glossaryterms-export'!I:I,_xlpm.rowNum))),"Ready to Fix",""))</f>
        <v/>
      </c>
    </row>
    <row r="3535" spans="6:6">
      <c r="F3535" s="1" t="str" cm="1">
        <f t="array" ref="F3535">_xlfn.LET(_xlpm.rowNum,MATCH(E3535,'glossaryterms-export'!C:C,0),
IF(AND(NOT(ISBLANK(INDEX('glossaryterms-export'!H:H,_xlpm.rowNum))),ISBLANK(INDEX('glossaryterms-export'!I:I,_xlpm.rowNum))),"Ready to Fix",""))</f>
        <v/>
      </c>
    </row>
    <row r="3536" spans="6:6">
      <c r="F3536" s="1" t="str" cm="1">
        <f t="array" ref="F3536">_xlfn.LET(_xlpm.rowNum,MATCH(E3536,'glossaryterms-export'!C:C,0),
IF(AND(NOT(ISBLANK(INDEX('glossaryterms-export'!H:H,_xlpm.rowNum))),ISBLANK(INDEX('glossaryterms-export'!I:I,_xlpm.rowNum))),"Ready to Fix",""))</f>
        <v/>
      </c>
    </row>
    <row r="3537" spans="6:6">
      <c r="F3537" s="1" t="str" cm="1">
        <f t="array" ref="F3537">_xlfn.LET(_xlpm.rowNum,MATCH(E3537,'glossaryterms-export'!C:C,0),
IF(AND(NOT(ISBLANK(INDEX('glossaryterms-export'!H:H,_xlpm.rowNum))),ISBLANK(INDEX('glossaryterms-export'!I:I,_xlpm.rowNum))),"Ready to Fix",""))</f>
        <v/>
      </c>
    </row>
    <row r="3538" spans="6:6">
      <c r="F3538" s="1" t="str" cm="1">
        <f t="array" ref="F3538">_xlfn.LET(_xlpm.rowNum,MATCH(E3538,'glossaryterms-export'!C:C,0),
IF(AND(NOT(ISBLANK(INDEX('glossaryterms-export'!H:H,_xlpm.rowNum))),ISBLANK(INDEX('glossaryterms-export'!I:I,_xlpm.rowNum))),"Ready to Fix",""))</f>
        <v/>
      </c>
    </row>
    <row r="3539" spans="6:6">
      <c r="F3539" s="1" t="str" cm="1">
        <f t="array" ref="F3539">_xlfn.LET(_xlpm.rowNum,MATCH(E3539,'glossaryterms-export'!C:C,0),
IF(AND(NOT(ISBLANK(INDEX('glossaryterms-export'!H:H,_xlpm.rowNum))),ISBLANK(INDEX('glossaryterms-export'!I:I,_xlpm.rowNum))),"Ready to Fix",""))</f>
        <v/>
      </c>
    </row>
    <row r="3540" spans="6:6">
      <c r="F3540" s="1" t="str" cm="1">
        <f t="array" ref="F3540">_xlfn.LET(_xlpm.rowNum,MATCH(E3540,'glossaryterms-export'!C:C,0),
IF(AND(NOT(ISBLANK(INDEX('glossaryterms-export'!H:H,_xlpm.rowNum))),ISBLANK(INDEX('glossaryterms-export'!I:I,_xlpm.rowNum))),"Ready to Fix",""))</f>
        <v/>
      </c>
    </row>
    <row r="3541" spans="6:6">
      <c r="F3541" s="1" t="str" cm="1">
        <f t="array" ref="F3541">_xlfn.LET(_xlpm.rowNum,MATCH(E3541,'glossaryterms-export'!C:C,0),
IF(AND(NOT(ISBLANK(INDEX('glossaryterms-export'!H:H,_xlpm.rowNum))),ISBLANK(INDEX('glossaryterms-export'!I:I,_xlpm.rowNum))),"Ready to Fix",""))</f>
        <v/>
      </c>
    </row>
    <row r="3542" spans="6:6">
      <c r="F3542" s="1" t="str" cm="1">
        <f t="array" ref="F3542">_xlfn.LET(_xlpm.rowNum,MATCH(E3542,'glossaryterms-export'!C:C,0),
IF(AND(NOT(ISBLANK(INDEX('glossaryterms-export'!H:H,_xlpm.rowNum))),ISBLANK(INDEX('glossaryterms-export'!I:I,_xlpm.rowNum))),"Ready to Fix",""))</f>
        <v/>
      </c>
    </row>
    <row r="3543" spans="6:6">
      <c r="F3543" s="1" t="str" cm="1">
        <f t="array" ref="F3543">_xlfn.LET(_xlpm.rowNum,MATCH(E3543,'glossaryterms-export'!C:C,0),
IF(AND(NOT(ISBLANK(INDEX('glossaryterms-export'!H:H,_xlpm.rowNum))),ISBLANK(INDEX('glossaryterms-export'!I:I,_xlpm.rowNum))),"Ready to Fix",""))</f>
        <v/>
      </c>
    </row>
    <row r="3544" spans="6:6">
      <c r="F3544" s="1" t="str" cm="1">
        <f t="array" ref="F3544">_xlfn.LET(_xlpm.rowNum,MATCH(E3544,'glossaryterms-export'!C:C,0),
IF(AND(NOT(ISBLANK(INDEX('glossaryterms-export'!H:H,_xlpm.rowNum))),ISBLANK(INDEX('glossaryterms-export'!I:I,_xlpm.rowNum))),"Ready to Fix",""))</f>
        <v/>
      </c>
    </row>
    <row r="3545" spans="6:6">
      <c r="F3545" s="1" t="str" cm="1">
        <f t="array" ref="F3545">_xlfn.LET(_xlpm.rowNum,MATCH(E3545,'glossaryterms-export'!C:C,0),
IF(AND(NOT(ISBLANK(INDEX('glossaryterms-export'!H:H,_xlpm.rowNum))),ISBLANK(INDEX('glossaryterms-export'!I:I,_xlpm.rowNum))),"Ready to Fix",""))</f>
        <v/>
      </c>
    </row>
    <row r="3546" spans="6:6">
      <c r="F3546" s="1" t="str" cm="1">
        <f t="array" ref="F3546">_xlfn.LET(_xlpm.rowNum,MATCH(E3546,'glossaryterms-export'!C:C,0),
IF(AND(NOT(ISBLANK(INDEX('glossaryterms-export'!H:H,_xlpm.rowNum))),ISBLANK(INDEX('glossaryterms-export'!I:I,_xlpm.rowNum))),"Ready to Fix",""))</f>
        <v/>
      </c>
    </row>
    <row r="3547" spans="6:6">
      <c r="F3547" s="1" t="str" cm="1">
        <f t="array" ref="F3547">_xlfn.LET(_xlpm.rowNum,MATCH(E3547,'glossaryterms-export'!C:C,0),
IF(AND(NOT(ISBLANK(INDEX('glossaryterms-export'!H:H,_xlpm.rowNum))),ISBLANK(INDEX('glossaryterms-export'!I:I,_xlpm.rowNum))),"Ready to Fix",""))</f>
        <v/>
      </c>
    </row>
    <row r="3548" spans="6:6">
      <c r="F3548" s="1" t="str" cm="1">
        <f t="array" ref="F3548">_xlfn.LET(_xlpm.rowNum,MATCH(E3548,'glossaryterms-export'!C:C,0),
IF(AND(NOT(ISBLANK(INDEX('glossaryterms-export'!H:H,_xlpm.rowNum))),ISBLANK(INDEX('glossaryterms-export'!I:I,_xlpm.rowNum))),"Ready to Fix",""))</f>
        <v/>
      </c>
    </row>
    <row r="3549" spans="6:6">
      <c r="F3549" s="1" t="str" cm="1">
        <f t="array" ref="F3549">_xlfn.LET(_xlpm.rowNum,MATCH(E3549,'glossaryterms-export'!C:C,0),
IF(AND(NOT(ISBLANK(INDEX('glossaryterms-export'!H:H,_xlpm.rowNum))),ISBLANK(INDEX('glossaryterms-export'!I:I,_xlpm.rowNum))),"Ready to Fix",""))</f>
        <v/>
      </c>
    </row>
    <row r="3550" spans="6:6">
      <c r="F3550" s="1" t="str" cm="1">
        <f t="array" ref="F3550">_xlfn.LET(_xlpm.rowNum,MATCH(E3550,'glossaryterms-export'!C:C,0),
IF(AND(NOT(ISBLANK(INDEX('glossaryterms-export'!H:H,_xlpm.rowNum))),ISBLANK(INDEX('glossaryterms-export'!I:I,_xlpm.rowNum))),"Ready to Fix",""))</f>
        <v/>
      </c>
    </row>
    <row r="3551" spans="6:6">
      <c r="F3551" s="1" t="str" cm="1">
        <f t="array" ref="F3551">_xlfn.LET(_xlpm.rowNum,MATCH(E3551,'glossaryterms-export'!C:C,0),
IF(AND(NOT(ISBLANK(INDEX('glossaryterms-export'!H:H,_xlpm.rowNum))),ISBLANK(INDEX('glossaryterms-export'!I:I,_xlpm.rowNum))),"Ready to Fix",""))</f>
        <v/>
      </c>
    </row>
    <row r="3552" spans="6:6">
      <c r="F3552" s="1" t="str" cm="1">
        <f t="array" ref="F3552">_xlfn.LET(_xlpm.rowNum,MATCH(E3552,'glossaryterms-export'!C:C,0),
IF(AND(NOT(ISBLANK(INDEX('glossaryterms-export'!H:H,_xlpm.rowNum))),ISBLANK(INDEX('glossaryterms-export'!I:I,_xlpm.rowNum))),"Ready to Fix",""))</f>
        <v/>
      </c>
    </row>
    <row r="3553" spans="6:6">
      <c r="F3553" s="1" t="str" cm="1">
        <f t="array" ref="F3553">_xlfn.LET(_xlpm.rowNum,MATCH(E3553,'glossaryterms-export'!C:C,0),
IF(AND(NOT(ISBLANK(INDEX('glossaryterms-export'!H:H,_xlpm.rowNum))),ISBLANK(INDEX('glossaryterms-export'!I:I,_xlpm.rowNum))),"Ready to Fix",""))</f>
        <v/>
      </c>
    </row>
    <row r="3554" spans="6:6">
      <c r="F3554" s="1" t="str" cm="1">
        <f t="array" ref="F3554">_xlfn.LET(_xlpm.rowNum,MATCH(E3554,'glossaryterms-export'!C:C,0),
IF(AND(NOT(ISBLANK(INDEX('glossaryterms-export'!H:H,_xlpm.rowNum))),ISBLANK(INDEX('glossaryterms-export'!I:I,_xlpm.rowNum))),"Ready to Fix",""))</f>
        <v/>
      </c>
    </row>
    <row r="3555" spans="6:6">
      <c r="F3555" s="1" t="str" cm="1">
        <f t="array" ref="F3555">_xlfn.LET(_xlpm.rowNum,MATCH(E3555,'glossaryterms-export'!C:C,0),
IF(AND(NOT(ISBLANK(INDEX('glossaryterms-export'!H:H,_xlpm.rowNum))),ISBLANK(INDEX('glossaryterms-export'!I:I,_xlpm.rowNum))),"Ready to Fix",""))</f>
        <v/>
      </c>
    </row>
    <row r="3556" spans="6:6">
      <c r="F3556" s="1" t="str" cm="1">
        <f t="array" ref="F3556">_xlfn.LET(_xlpm.rowNum,MATCH(E3556,'glossaryterms-export'!C:C,0),
IF(AND(NOT(ISBLANK(INDEX('glossaryterms-export'!H:H,_xlpm.rowNum))),ISBLANK(INDEX('glossaryterms-export'!I:I,_xlpm.rowNum))),"Ready to Fix",""))</f>
        <v/>
      </c>
    </row>
    <row r="3557" spans="6:6">
      <c r="F3557" s="1" t="str" cm="1">
        <f t="array" ref="F3557">_xlfn.LET(_xlpm.rowNum,MATCH(E3557,'glossaryterms-export'!C:C,0),
IF(AND(NOT(ISBLANK(INDEX('glossaryterms-export'!H:H,_xlpm.rowNum))),ISBLANK(INDEX('glossaryterms-export'!I:I,_xlpm.rowNum))),"Ready to Fix",""))</f>
        <v/>
      </c>
    </row>
    <row r="3558" spans="6:6">
      <c r="F3558" s="1" t="str" cm="1">
        <f t="array" ref="F3558">_xlfn.LET(_xlpm.rowNum,MATCH(E3558,'glossaryterms-export'!C:C,0),
IF(AND(NOT(ISBLANK(INDEX('glossaryterms-export'!H:H,_xlpm.rowNum))),ISBLANK(INDEX('glossaryterms-export'!I:I,_xlpm.rowNum))),"Ready to Fix",""))</f>
        <v/>
      </c>
    </row>
    <row r="3559" spans="6:6">
      <c r="F3559" s="1" t="str" cm="1">
        <f t="array" ref="F3559">_xlfn.LET(_xlpm.rowNum,MATCH(E3559,'glossaryterms-export'!C:C,0),
IF(AND(NOT(ISBLANK(INDEX('glossaryterms-export'!H:H,_xlpm.rowNum))),ISBLANK(INDEX('glossaryterms-export'!I:I,_xlpm.rowNum))),"Ready to Fix",""))</f>
        <v/>
      </c>
    </row>
    <row r="3560" spans="6:6">
      <c r="F3560" s="1" t="str" cm="1">
        <f t="array" ref="F3560">_xlfn.LET(_xlpm.rowNum,MATCH(E3560,'glossaryterms-export'!C:C,0),
IF(AND(NOT(ISBLANK(INDEX('glossaryterms-export'!H:H,_xlpm.rowNum))),ISBLANK(INDEX('glossaryterms-export'!I:I,_xlpm.rowNum))),"Ready to Fix",""))</f>
        <v/>
      </c>
    </row>
    <row r="3561" spans="6:6">
      <c r="F3561" s="1" t="str" cm="1">
        <f t="array" ref="F3561">_xlfn.LET(_xlpm.rowNum,MATCH(E3561,'glossaryterms-export'!C:C,0),
IF(AND(NOT(ISBLANK(INDEX('glossaryterms-export'!H:H,_xlpm.rowNum))),ISBLANK(INDEX('glossaryterms-export'!I:I,_xlpm.rowNum))),"Ready to Fix",""))</f>
        <v/>
      </c>
    </row>
    <row r="3562" spans="6:6">
      <c r="F3562" s="1" t="str" cm="1">
        <f t="array" ref="F3562">_xlfn.LET(_xlpm.rowNum,MATCH(E3562,'glossaryterms-export'!C:C,0),
IF(AND(NOT(ISBLANK(INDEX('glossaryterms-export'!H:H,_xlpm.rowNum))),ISBLANK(INDEX('glossaryterms-export'!I:I,_xlpm.rowNum))),"Ready to Fix",""))</f>
        <v/>
      </c>
    </row>
    <row r="3563" spans="6:6">
      <c r="F3563" s="1" t="str" cm="1">
        <f t="array" ref="F3563">_xlfn.LET(_xlpm.rowNum,MATCH(E3563,'glossaryterms-export'!C:C,0),
IF(AND(NOT(ISBLANK(INDEX('glossaryterms-export'!H:H,_xlpm.rowNum))),ISBLANK(INDEX('glossaryterms-export'!I:I,_xlpm.rowNum))),"Ready to Fix",""))</f>
        <v/>
      </c>
    </row>
    <row r="3564" spans="6:6">
      <c r="F3564" s="1" t="str" cm="1">
        <f t="array" ref="F3564">_xlfn.LET(_xlpm.rowNum,MATCH(E3564,'glossaryterms-export'!C:C,0),
IF(AND(NOT(ISBLANK(INDEX('glossaryterms-export'!H:H,_xlpm.rowNum))),ISBLANK(INDEX('glossaryterms-export'!I:I,_xlpm.rowNum))),"Ready to Fix",""))</f>
        <v/>
      </c>
    </row>
    <row r="3565" spans="6:6">
      <c r="F3565" s="1" t="str" cm="1">
        <f t="array" ref="F3565">_xlfn.LET(_xlpm.rowNum,MATCH(E3565,'glossaryterms-export'!C:C,0),
IF(AND(NOT(ISBLANK(INDEX('glossaryterms-export'!H:H,_xlpm.rowNum))),ISBLANK(INDEX('glossaryterms-export'!I:I,_xlpm.rowNum))),"Ready to Fix",""))</f>
        <v/>
      </c>
    </row>
    <row r="3566" spans="6:6">
      <c r="F3566" s="1" t="str" cm="1">
        <f t="array" ref="F3566">_xlfn.LET(_xlpm.rowNum,MATCH(E3566,'glossaryterms-export'!C:C,0),
IF(AND(NOT(ISBLANK(INDEX('glossaryterms-export'!H:H,_xlpm.rowNum))),ISBLANK(INDEX('glossaryterms-export'!I:I,_xlpm.rowNum))),"Ready to Fix",""))</f>
        <v/>
      </c>
    </row>
    <row r="3567" spans="6:6">
      <c r="F3567" s="1" t="str" cm="1">
        <f t="array" ref="F3567">_xlfn.LET(_xlpm.rowNum,MATCH(E3567,'glossaryterms-export'!C:C,0),
IF(AND(NOT(ISBLANK(INDEX('glossaryterms-export'!H:H,_xlpm.rowNum))),ISBLANK(INDEX('glossaryterms-export'!I:I,_xlpm.rowNum))),"Ready to Fix",""))</f>
        <v/>
      </c>
    </row>
    <row r="3568" spans="6:6">
      <c r="F3568" s="1" t="str" cm="1">
        <f t="array" ref="F3568">_xlfn.LET(_xlpm.rowNum,MATCH(E3568,'glossaryterms-export'!C:C,0),
IF(AND(NOT(ISBLANK(INDEX('glossaryterms-export'!H:H,_xlpm.rowNum))),ISBLANK(INDEX('glossaryterms-export'!I:I,_xlpm.rowNum))),"Ready to Fix",""))</f>
        <v/>
      </c>
    </row>
    <row r="3569" spans="6:6">
      <c r="F3569" s="1" t="str" cm="1">
        <f t="array" ref="F3569">_xlfn.LET(_xlpm.rowNum,MATCH(E3569,'glossaryterms-export'!C:C,0),
IF(AND(NOT(ISBLANK(INDEX('glossaryterms-export'!H:H,_xlpm.rowNum))),ISBLANK(INDEX('glossaryterms-export'!I:I,_xlpm.rowNum))),"Ready to Fix",""))</f>
        <v/>
      </c>
    </row>
    <row r="3570" spans="6:6">
      <c r="F3570" s="1" t="str" cm="1">
        <f t="array" ref="F3570">_xlfn.LET(_xlpm.rowNum,MATCH(E3570,'glossaryterms-export'!C:C,0),
IF(AND(NOT(ISBLANK(INDEX('glossaryterms-export'!H:H,_xlpm.rowNum))),ISBLANK(INDEX('glossaryterms-export'!I:I,_xlpm.rowNum))),"Ready to Fix",""))</f>
        <v/>
      </c>
    </row>
    <row r="3571" spans="6:6">
      <c r="F3571" s="1" t="str" cm="1">
        <f t="array" ref="F3571">_xlfn.LET(_xlpm.rowNum,MATCH(E3571,'glossaryterms-export'!C:C,0),
IF(AND(NOT(ISBLANK(INDEX('glossaryterms-export'!H:H,_xlpm.rowNum))),ISBLANK(INDEX('glossaryterms-export'!I:I,_xlpm.rowNum))),"Ready to Fix",""))</f>
        <v/>
      </c>
    </row>
    <row r="3572" spans="6:6">
      <c r="F3572" s="1" t="str" cm="1">
        <f t="array" ref="F3572">_xlfn.LET(_xlpm.rowNum,MATCH(E3572,'glossaryterms-export'!C:C,0),
IF(AND(NOT(ISBLANK(INDEX('glossaryterms-export'!H:H,_xlpm.rowNum))),ISBLANK(INDEX('glossaryterms-export'!I:I,_xlpm.rowNum))),"Ready to Fix",""))</f>
        <v/>
      </c>
    </row>
    <row r="3573" spans="6:6">
      <c r="F3573" s="1" t="str" cm="1">
        <f t="array" ref="F3573">_xlfn.LET(_xlpm.rowNum,MATCH(E3573,'glossaryterms-export'!C:C,0),
IF(AND(NOT(ISBLANK(INDEX('glossaryterms-export'!H:H,_xlpm.rowNum))),ISBLANK(INDEX('glossaryterms-export'!I:I,_xlpm.rowNum))),"Ready to Fix",""))</f>
        <v/>
      </c>
    </row>
    <row r="3574" spans="6:6">
      <c r="F3574" s="1" t="str" cm="1">
        <f t="array" ref="F3574">_xlfn.LET(_xlpm.rowNum,MATCH(E3574,'glossaryterms-export'!C:C,0),
IF(AND(NOT(ISBLANK(INDEX('glossaryterms-export'!H:H,_xlpm.rowNum))),ISBLANK(INDEX('glossaryterms-export'!I:I,_xlpm.rowNum))),"Ready to Fix",""))</f>
        <v/>
      </c>
    </row>
    <row r="3575" spans="6:6">
      <c r="F3575" s="1" t="str" cm="1">
        <f t="array" ref="F3575">_xlfn.LET(_xlpm.rowNum,MATCH(E3575,'glossaryterms-export'!C:C,0),
IF(AND(NOT(ISBLANK(INDEX('glossaryterms-export'!H:H,_xlpm.rowNum))),ISBLANK(INDEX('glossaryterms-export'!I:I,_xlpm.rowNum))),"Ready to Fix",""))</f>
        <v/>
      </c>
    </row>
    <row r="3576" spans="6:6">
      <c r="F3576" s="1" t="str" cm="1">
        <f t="array" ref="F3576">_xlfn.LET(_xlpm.rowNum,MATCH(E3576,'glossaryterms-export'!C:C,0),
IF(AND(NOT(ISBLANK(INDEX('glossaryterms-export'!H:H,_xlpm.rowNum))),ISBLANK(INDEX('glossaryterms-export'!I:I,_xlpm.rowNum))),"Ready to Fix",""))</f>
        <v/>
      </c>
    </row>
    <row r="3577" spans="6:6">
      <c r="F3577" s="1" t="str" cm="1">
        <f t="array" ref="F3577">_xlfn.LET(_xlpm.rowNum,MATCH(E3577,'glossaryterms-export'!C:C,0),
IF(AND(NOT(ISBLANK(INDEX('glossaryterms-export'!H:H,_xlpm.rowNum))),ISBLANK(INDEX('glossaryterms-export'!I:I,_xlpm.rowNum))),"Ready to Fix",""))</f>
        <v/>
      </c>
    </row>
    <row r="3578" spans="6:6">
      <c r="F3578" s="1" t="str" cm="1">
        <f t="array" ref="F3578">_xlfn.LET(_xlpm.rowNum,MATCH(E3578,'glossaryterms-export'!C:C,0),
IF(AND(NOT(ISBLANK(INDEX('glossaryterms-export'!H:H,_xlpm.rowNum))),ISBLANK(INDEX('glossaryterms-export'!I:I,_xlpm.rowNum))),"Ready to Fix",""))</f>
        <v/>
      </c>
    </row>
    <row r="3579" spans="6:6">
      <c r="F3579" s="1" t="str" cm="1">
        <f t="array" ref="F3579">_xlfn.LET(_xlpm.rowNum,MATCH(E3579,'glossaryterms-export'!C:C,0),
IF(AND(NOT(ISBLANK(INDEX('glossaryterms-export'!H:H,_xlpm.rowNum))),ISBLANK(INDEX('glossaryterms-export'!I:I,_xlpm.rowNum))),"Ready to Fix",""))</f>
        <v/>
      </c>
    </row>
    <row r="3580" spans="6:6">
      <c r="F3580" s="1" t="str" cm="1">
        <f t="array" ref="F3580">_xlfn.LET(_xlpm.rowNum,MATCH(E3580,'glossaryterms-export'!C:C,0),
IF(AND(NOT(ISBLANK(INDEX('glossaryterms-export'!H:H,_xlpm.rowNum))),ISBLANK(INDEX('glossaryterms-export'!I:I,_xlpm.rowNum))),"Ready to Fix",""))</f>
        <v/>
      </c>
    </row>
    <row r="3581" spans="6:6">
      <c r="F3581" s="1" t="str" cm="1">
        <f t="array" ref="F3581">_xlfn.LET(_xlpm.rowNum,MATCH(E3581,'glossaryterms-export'!C:C,0),
IF(AND(NOT(ISBLANK(INDEX('glossaryterms-export'!H:H,_xlpm.rowNum))),ISBLANK(INDEX('glossaryterms-export'!I:I,_xlpm.rowNum))),"Ready to Fix",""))</f>
        <v/>
      </c>
    </row>
    <row r="3582" spans="6:6">
      <c r="F3582" s="1" t="str" cm="1">
        <f t="array" ref="F3582">_xlfn.LET(_xlpm.rowNum,MATCH(E3582,'glossaryterms-export'!C:C,0),
IF(AND(NOT(ISBLANK(INDEX('glossaryterms-export'!H:H,_xlpm.rowNum))),ISBLANK(INDEX('glossaryterms-export'!I:I,_xlpm.rowNum))),"Ready to Fix",""))</f>
        <v/>
      </c>
    </row>
    <row r="3583" spans="6:6">
      <c r="F3583" s="1" t="str" cm="1">
        <f t="array" ref="F3583">_xlfn.LET(_xlpm.rowNum,MATCH(E3583,'glossaryterms-export'!C:C,0),
IF(AND(NOT(ISBLANK(INDEX('glossaryterms-export'!H:H,_xlpm.rowNum))),ISBLANK(INDEX('glossaryterms-export'!I:I,_xlpm.rowNum))),"Ready to Fix",""))</f>
        <v/>
      </c>
    </row>
    <row r="3584" spans="6:6">
      <c r="F3584" s="1" t="str" cm="1">
        <f t="array" ref="F3584">_xlfn.LET(_xlpm.rowNum,MATCH(E3584,'glossaryterms-export'!C:C,0),
IF(AND(NOT(ISBLANK(INDEX('glossaryterms-export'!H:H,_xlpm.rowNum))),ISBLANK(INDEX('glossaryterms-export'!I:I,_xlpm.rowNum))),"Ready to Fix",""))</f>
        <v/>
      </c>
    </row>
    <row r="3585" spans="6:6">
      <c r="F3585" s="1" t="str" cm="1">
        <f t="array" ref="F3585">_xlfn.LET(_xlpm.rowNum,MATCH(E3585,'glossaryterms-export'!C:C,0),
IF(AND(NOT(ISBLANK(INDEX('glossaryterms-export'!H:H,_xlpm.rowNum))),ISBLANK(INDEX('glossaryterms-export'!I:I,_xlpm.rowNum))),"Ready to Fix",""))</f>
        <v/>
      </c>
    </row>
    <row r="3586" spans="6:6">
      <c r="F3586" s="1" t="str" cm="1">
        <f t="array" ref="F3586">_xlfn.LET(_xlpm.rowNum,MATCH(E3586,'glossaryterms-export'!C:C,0),
IF(AND(NOT(ISBLANK(INDEX('glossaryterms-export'!H:H,_xlpm.rowNum))),ISBLANK(INDEX('glossaryterms-export'!I:I,_xlpm.rowNum))),"Ready to Fix",""))</f>
        <v/>
      </c>
    </row>
    <row r="3587" spans="6:6">
      <c r="F3587" s="1" t="str" cm="1">
        <f t="array" ref="F3587">_xlfn.LET(_xlpm.rowNum,MATCH(E3587,'glossaryterms-export'!C:C,0),
IF(AND(NOT(ISBLANK(INDEX('glossaryterms-export'!H:H,_xlpm.rowNum))),ISBLANK(INDEX('glossaryterms-export'!I:I,_xlpm.rowNum))),"Ready to Fix",""))</f>
        <v/>
      </c>
    </row>
    <row r="3588" spans="6:6">
      <c r="F3588" s="1" t="str" cm="1">
        <f t="array" ref="F3588">_xlfn.LET(_xlpm.rowNum,MATCH(E3588,'glossaryterms-export'!C:C,0),
IF(AND(NOT(ISBLANK(INDEX('glossaryterms-export'!H:H,_xlpm.rowNum))),ISBLANK(INDEX('glossaryterms-export'!I:I,_xlpm.rowNum))),"Ready to Fix",""))</f>
        <v/>
      </c>
    </row>
    <row r="3589" spans="6:6">
      <c r="F3589" s="1" t="str" cm="1">
        <f t="array" ref="F3589">_xlfn.LET(_xlpm.rowNum,MATCH(E3589,'glossaryterms-export'!C:C,0),
IF(AND(NOT(ISBLANK(INDEX('glossaryterms-export'!H:H,_xlpm.rowNum))),ISBLANK(INDEX('glossaryterms-export'!I:I,_xlpm.rowNum))),"Ready to Fix",""))</f>
        <v/>
      </c>
    </row>
    <row r="3590" spans="6:6">
      <c r="F3590" s="1" t="str" cm="1">
        <f t="array" ref="F3590">_xlfn.LET(_xlpm.rowNum,MATCH(E3590,'glossaryterms-export'!C:C,0),
IF(AND(NOT(ISBLANK(INDEX('glossaryterms-export'!H:H,_xlpm.rowNum))),ISBLANK(INDEX('glossaryterms-export'!I:I,_xlpm.rowNum))),"Ready to Fix",""))</f>
        <v/>
      </c>
    </row>
    <row r="3591" spans="6:6">
      <c r="F3591" s="1" t="str" cm="1">
        <f t="array" ref="F3591">_xlfn.LET(_xlpm.rowNum,MATCH(E3591,'glossaryterms-export'!C:C,0),
IF(AND(NOT(ISBLANK(INDEX('glossaryterms-export'!H:H,_xlpm.rowNum))),ISBLANK(INDEX('glossaryterms-export'!I:I,_xlpm.rowNum))),"Ready to Fix",""))</f>
        <v/>
      </c>
    </row>
    <row r="3592" spans="6:6">
      <c r="F3592" s="1" t="str" cm="1">
        <f t="array" ref="F3592">_xlfn.LET(_xlpm.rowNum,MATCH(E3592,'glossaryterms-export'!C:C,0),
IF(AND(NOT(ISBLANK(INDEX('glossaryterms-export'!H:H,_xlpm.rowNum))),ISBLANK(INDEX('glossaryterms-export'!I:I,_xlpm.rowNum))),"Ready to Fix",""))</f>
        <v/>
      </c>
    </row>
    <row r="3593" spans="6:6">
      <c r="F3593" s="1" t="str" cm="1">
        <f t="array" ref="F3593">_xlfn.LET(_xlpm.rowNum,MATCH(E3593,'glossaryterms-export'!C:C,0),
IF(AND(NOT(ISBLANK(INDEX('glossaryterms-export'!H:H,_xlpm.rowNum))),ISBLANK(INDEX('glossaryterms-export'!I:I,_xlpm.rowNum))),"Ready to Fix",""))</f>
        <v/>
      </c>
    </row>
    <row r="3594" spans="6:6">
      <c r="F3594" s="1" t="str" cm="1">
        <f t="array" ref="F3594">_xlfn.LET(_xlpm.rowNum,MATCH(E3594,'glossaryterms-export'!C:C,0),
IF(AND(NOT(ISBLANK(INDEX('glossaryterms-export'!H:H,_xlpm.rowNum))),ISBLANK(INDEX('glossaryterms-export'!I:I,_xlpm.rowNum))),"Ready to Fix",""))</f>
        <v/>
      </c>
    </row>
    <row r="3595" spans="6:6">
      <c r="F3595" s="1" t="str" cm="1">
        <f t="array" ref="F3595">_xlfn.LET(_xlpm.rowNum,MATCH(E3595,'glossaryterms-export'!C:C,0),
IF(AND(NOT(ISBLANK(INDEX('glossaryterms-export'!H:H,_xlpm.rowNum))),ISBLANK(INDEX('glossaryterms-export'!I:I,_xlpm.rowNum))),"Ready to Fix",""))</f>
        <v/>
      </c>
    </row>
    <row r="3596" spans="6:6">
      <c r="F3596" s="1" t="str" cm="1">
        <f t="array" ref="F3596">_xlfn.LET(_xlpm.rowNum,MATCH(E3596,'glossaryterms-export'!C:C,0),
IF(AND(NOT(ISBLANK(INDEX('glossaryterms-export'!H:H,_xlpm.rowNum))),ISBLANK(INDEX('glossaryterms-export'!I:I,_xlpm.rowNum))),"Ready to Fix",""))</f>
        <v/>
      </c>
    </row>
    <row r="3597" spans="6:6">
      <c r="F3597" s="1" t="str" cm="1">
        <f t="array" ref="F3597">_xlfn.LET(_xlpm.rowNum,MATCH(E3597,'glossaryterms-export'!C:C,0),
IF(AND(NOT(ISBLANK(INDEX('glossaryterms-export'!H:H,_xlpm.rowNum))),ISBLANK(INDEX('glossaryterms-export'!I:I,_xlpm.rowNum))),"Ready to Fix",""))</f>
        <v/>
      </c>
    </row>
    <row r="3598" spans="6:6">
      <c r="F3598" s="1" t="str" cm="1">
        <f t="array" ref="F3598">_xlfn.LET(_xlpm.rowNum,MATCH(E3598,'glossaryterms-export'!C:C,0),
IF(AND(NOT(ISBLANK(INDEX('glossaryterms-export'!H:H,_xlpm.rowNum))),ISBLANK(INDEX('glossaryterms-export'!I:I,_xlpm.rowNum))),"Ready to Fix",""))</f>
        <v/>
      </c>
    </row>
    <row r="3599" spans="6:6">
      <c r="F3599" s="1" t="str" cm="1">
        <f t="array" ref="F3599">_xlfn.LET(_xlpm.rowNum,MATCH(E3599,'glossaryterms-export'!C:C,0),
IF(AND(NOT(ISBLANK(INDEX('glossaryterms-export'!H:H,_xlpm.rowNum))),ISBLANK(INDEX('glossaryterms-export'!I:I,_xlpm.rowNum))),"Ready to Fix",""))</f>
        <v/>
      </c>
    </row>
    <row r="3600" spans="6:6">
      <c r="F3600" s="1" t="str" cm="1">
        <f t="array" ref="F3600">_xlfn.LET(_xlpm.rowNum,MATCH(E3600,'glossaryterms-export'!C:C,0),
IF(AND(NOT(ISBLANK(INDEX('glossaryterms-export'!H:H,_xlpm.rowNum))),ISBLANK(INDEX('glossaryterms-export'!I:I,_xlpm.rowNum))),"Ready to Fix",""))</f>
        <v/>
      </c>
    </row>
    <row r="3601" spans="6:6">
      <c r="F3601" s="1" t="str" cm="1">
        <f t="array" ref="F3601">_xlfn.LET(_xlpm.rowNum,MATCH(E3601,'glossaryterms-export'!C:C,0),
IF(AND(NOT(ISBLANK(INDEX('glossaryterms-export'!H:H,_xlpm.rowNum))),ISBLANK(INDEX('glossaryterms-export'!I:I,_xlpm.rowNum))),"Ready to Fix",""))</f>
        <v/>
      </c>
    </row>
    <row r="3602" spans="6:6">
      <c r="F3602" s="1" t="str" cm="1">
        <f t="array" ref="F3602">_xlfn.LET(_xlpm.rowNum,MATCH(E3602,'glossaryterms-export'!C:C,0),
IF(AND(NOT(ISBLANK(INDEX('glossaryterms-export'!H:H,_xlpm.rowNum))),ISBLANK(INDEX('glossaryterms-export'!I:I,_xlpm.rowNum))),"Ready to Fix",""))</f>
        <v/>
      </c>
    </row>
    <row r="3603" spans="6:6">
      <c r="F3603" s="1" t="str" cm="1">
        <f t="array" ref="F3603">_xlfn.LET(_xlpm.rowNum,MATCH(E3603,'glossaryterms-export'!C:C,0),
IF(AND(NOT(ISBLANK(INDEX('glossaryterms-export'!H:H,_xlpm.rowNum))),ISBLANK(INDEX('glossaryterms-export'!I:I,_xlpm.rowNum))),"Ready to Fix",""))</f>
        <v/>
      </c>
    </row>
    <row r="3604" spans="6:6">
      <c r="F3604" s="1" t="str" cm="1">
        <f t="array" ref="F3604">_xlfn.LET(_xlpm.rowNum,MATCH(E3604,'glossaryterms-export'!C:C,0),
IF(AND(NOT(ISBLANK(INDEX('glossaryterms-export'!H:H,_xlpm.rowNum))),ISBLANK(INDEX('glossaryterms-export'!I:I,_xlpm.rowNum))),"Ready to Fix",""))</f>
        <v/>
      </c>
    </row>
    <row r="3605" spans="6:6">
      <c r="F3605" s="1" t="str" cm="1">
        <f t="array" ref="F3605">_xlfn.LET(_xlpm.rowNum,MATCH(E3605,'glossaryterms-export'!C:C,0),
IF(AND(NOT(ISBLANK(INDEX('glossaryterms-export'!H:H,_xlpm.rowNum))),ISBLANK(INDEX('glossaryterms-export'!I:I,_xlpm.rowNum))),"Ready to Fix",""))</f>
        <v/>
      </c>
    </row>
    <row r="3606" spans="6:6">
      <c r="F3606" s="1" t="str" cm="1">
        <f t="array" ref="F3606">_xlfn.LET(_xlpm.rowNum,MATCH(E3606,'glossaryterms-export'!C:C,0),
IF(AND(NOT(ISBLANK(INDEX('glossaryterms-export'!H:H,_xlpm.rowNum))),ISBLANK(INDEX('glossaryterms-export'!I:I,_xlpm.rowNum))),"Ready to Fix",""))</f>
        <v/>
      </c>
    </row>
    <row r="3607" spans="6:6">
      <c r="F3607" s="1" t="str" cm="1">
        <f t="array" ref="F3607">_xlfn.LET(_xlpm.rowNum,MATCH(E3607,'glossaryterms-export'!C:C,0),
IF(AND(NOT(ISBLANK(INDEX('glossaryterms-export'!H:H,_xlpm.rowNum))),ISBLANK(INDEX('glossaryterms-export'!I:I,_xlpm.rowNum))),"Ready to Fix",""))</f>
        <v/>
      </c>
    </row>
    <row r="3608" spans="6:6">
      <c r="F3608" s="1" t="str" cm="1">
        <f t="array" ref="F3608">_xlfn.LET(_xlpm.rowNum,MATCH(E3608,'glossaryterms-export'!C:C,0),
IF(AND(NOT(ISBLANK(INDEX('glossaryterms-export'!H:H,_xlpm.rowNum))),ISBLANK(INDEX('glossaryterms-export'!I:I,_xlpm.rowNum))),"Ready to Fix",""))</f>
        <v/>
      </c>
    </row>
    <row r="3609" spans="6:6">
      <c r="F3609" s="1" t="str" cm="1">
        <f t="array" ref="F3609">_xlfn.LET(_xlpm.rowNum,MATCH(E3609,'glossaryterms-export'!C:C,0),
IF(AND(NOT(ISBLANK(INDEX('glossaryterms-export'!H:H,_xlpm.rowNum))),ISBLANK(INDEX('glossaryterms-export'!I:I,_xlpm.rowNum))),"Ready to Fix",""))</f>
        <v/>
      </c>
    </row>
    <row r="3610" spans="6:6">
      <c r="F3610" s="1" t="str" cm="1">
        <f t="array" ref="F3610">_xlfn.LET(_xlpm.rowNum,MATCH(E3610,'glossaryterms-export'!C:C,0),
IF(AND(NOT(ISBLANK(INDEX('glossaryterms-export'!H:H,_xlpm.rowNum))),ISBLANK(INDEX('glossaryterms-export'!I:I,_xlpm.rowNum))),"Ready to Fix",""))</f>
        <v/>
      </c>
    </row>
    <row r="3611" spans="6:6">
      <c r="F3611" s="1" t="str" cm="1">
        <f t="array" ref="F3611">_xlfn.LET(_xlpm.rowNum,MATCH(E3611,'glossaryterms-export'!C:C,0),
IF(AND(NOT(ISBLANK(INDEX('glossaryterms-export'!H:H,_xlpm.rowNum))),ISBLANK(INDEX('glossaryterms-export'!I:I,_xlpm.rowNum))),"Ready to Fix",""))</f>
        <v/>
      </c>
    </row>
    <row r="3612" spans="6:6">
      <c r="F3612" s="1" t="str" cm="1">
        <f t="array" ref="F3612">_xlfn.LET(_xlpm.rowNum,MATCH(E3612,'glossaryterms-export'!C:C,0),
IF(AND(NOT(ISBLANK(INDEX('glossaryterms-export'!H:H,_xlpm.rowNum))),ISBLANK(INDEX('glossaryterms-export'!I:I,_xlpm.rowNum))),"Ready to Fix",""))</f>
        <v/>
      </c>
    </row>
    <row r="3613" spans="6:6">
      <c r="F3613" s="1" t="str" cm="1">
        <f t="array" ref="F3613">_xlfn.LET(_xlpm.rowNum,MATCH(E3613,'glossaryterms-export'!C:C,0),
IF(AND(NOT(ISBLANK(INDEX('glossaryterms-export'!H:H,_xlpm.rowNum))),ISBLANK(INDEX('glossaryterms-export'!I:I,_xlpm.rowNum))),"Ready to Fix",""))</f>
        <v/>
      </c>
    </row>
    <row r="3614" spans="6:6">
      <c r="F3614" s="1" t="str" cm="1">
        <f t="array" ref="F3614">_xlfn.LET(_xlpm.rowNum,MATCH(E3614,'glossaryterms-export'!C:C,0),
IF(AND(NOT(ISBLANK(INDEX('glossaryterms-export'!H:H,_xlpm.rowNum))),ISBLANK(INDEX('glossaryterms-export'!I:I,_xlpm.rowNum))),"Ready to Fix",""))</f>
        <v/>
      </c>
    </row>
    <row r="3615" spans="6:6">
      <c r="F3615" s="1" t="str" cm="1">
        <f t="array" ref="F3615">_xlfn.LET(_xlpm.rowNum,MATCH(E3615,'glossaryterms-export'!C:C,0),
IF(AND(NOT(ISBLANK(INDEX('glossaryterms-export'!H:H,_xlpm.rowNum))),ISBLANK(INDEX('glossaryterms-export'!I:I,_xlpm.rowNum))),"Ready to Fix",""))</f>
        <v/>
      </c>
    </row>
    <row r="3616" spans="6:6">
      <c r="F3616" s="1" t="str" cm="1">
        <f t="array" ref="F3616">_xlfn.LET(_xlpm.rowNum,MATCH(E3616,'glossaryterms-export'!C:C,0),
IF(AND(NOT(ISBLANK(INDEX('glossaryterms-export'!H:H,_xlpm.rowNum))),ISBLANK(INDEX('glossaryterms-export'!I:I,_xlpm.rowNum))),"Ready to Fix",""))</f>
        <v/>
      </c>
    </row>
    <row r="3617" spans="6:6">
      <c r="F3617" s="1" t="str" cm="1">
        <f t="array" ref="F3617">_xlfn.LET(_xlpm.rowNum,MATCH(E3617,'glossaryterms-export'!C:C,0),
IF(AND(NOT(ISBLANK(INDEX('glossaryterms-export'!H:H,_xlpm.rowNum))),ISBLANK(INDEX('glossaryterms-export'!I:I,_xlpm.rowNum))),"Ready to Fix",""))</f>
        <v/>
      </c>
    </row>
    <row r="3618" spans="6:6">
      <c r="F3618" s="1" t="str" cm="1">
        <f t="array" ref="F3618">_xlfn.LET(_xlpm.rowNum,MATCH(E3618,'glossaryterms-export'!C:C,0),
IF(AND(NOT(ISBLANK(INDEX('glossaryterms-export'!H:H,_xlpm.rowNum))),ISBLANK(INDEX('glossaryterms-export'!I:I,_xlpm.rowNum))),"Ready to Fix",""))</f>
        <v/>
      </c>
    </row>
    <row r="3619" spans="6:6">
      <c r="F3619" s="1" t="str" cm="1">
        <f t="array" ref="F3619">_xlfn.LET(_xlpm.rowNum,MATCH(E3619,'glossaryterms-export'!C:C,0),
IF(AND(NOT(ISBLANK(INDEX('glossaryterms-export'!H:H,_xlpm.rowNum))),ISBLANK(INDEX('glossaryterms-export'!I:I,_xlpm.rowNum))),"Ready to Fix",""))</f>
        <v/>
      </c>
    </row>
    <row r="3620" spans="6:6">
      <c r="F3620" s="1" t="str" cm="1">
        <f t="array" ref="F3620">_xlfn.LET(_xlpm.rowNum,MATCH(E3620,'glossaryterms-export'!C:C,0),
IF(AND(NOT(ISBLANK(INDEX('glossaryterms-export'!H:H,_xlpm.rowNum))),ISBLANK(INDEX('glossaryterms-export'!I:I,_xlpm.rowNum))),"Ready to Fix",""))</f>
        <v/>
      </c>
    </row>
    <row r="3621" spans="6:6">
      <c r="F3621" s="1" t="str" cm="1">
        <f t="array" ref="F3621">_xlfn.LET(_xlpm.rowNum,MATCH(E3621,'glossaryterms-export'!C:C,0),
IF(AND(NOT(ISBLANK(INDEX('glossaryterms-export'!H:H,_xlpm.rowNum))),ISBLANK(INDEX('glossaryterms-export'!I:I,_xlpm.rowNum))),"Ready to Fix",""))</f>
        <v/>
      </c>
    </row>
    <row r="3622" spans="6:6">
      <c r="F3622" s="1" t="str" cm="1">
        <f t="array" ref="F3622">_xlfn.LET(_xlpm.rowNum,MATCH(E3622,'glossaryterms-export'!C:C,0),
IF(AND(NOT(ISBLANK(INDEX('glossaryterms-export'!H:H,_xlpm.rowNum))),ISBLANK(INDEX('glossaryterms-export'!I:I,_xlpm.rowNum))),"Ready to Fix",""))</f>
        <v/>
      </c>
    </row>
    <row r="3623" spans="6:6">
      <c r="F3623" s="1" t="str" cm="1">
        <f t="array" ref="F3623">_xlfn.LET(_xlpm.rowNum,MATCH(E3623,'glossaryterms-export'!C:C,0),
IF(AND(NOT(ISBLANK(INDEX('glossaryterms-export'!H:H,_xlpm.rowNum))),ISBLANK(INDEX('glossaryterms-export'!I:I,_xlpm.rowNum))),"Ready to Fix",""))</f>
        <v/>
      </c>
    </row>
    <row r="3624" spans="6:6">
      <c r="F3624" s="1" t="str" cm="1">
        <f t="array" ref="F3624">_xlfn.LET(_xlpm.rowNum,MATCH(E3624,'glossaryterms-export'!C:C,0),
IF(AND(NOT(ISBLANK(INDEX('glossaryterms-export'!H:H,_xlpm.rowNum))),ISBLANK(INDEX('glossaryterms-export'!I:I,_xlpm.rowNum))),"Ready to Fix",""))</f>
        <v/>
      </c>
    </row>
    <row r="3625" spans="6:6">
      <c r="F3625" s="1" t="str" cm="1">
        <f t="array" ref="F3625">_xlfn.LET(_xlpm.rowNum,MATCH(E3625,'glossaryterms-export'!C:C,0),
IF(AND(NOT(ISBLANK(INDEX('glossaryterms-export'!H:H,_xlpm.rowNum))),ISBLANK(INDEX('glossaryterms-export'!I:I,_xlpm.rowNum))),"Ready to Fix",""))</f>
        <v/>
      </c>
    </row>
    <row r="3626" spans="6:6">
      <c r="F3626" s="1" t="str" cm="1">
        <f t="array" ref="F3626">_xlfn.LET(_xlpm.rowNum,MATCH(E3626,'glossaryterms-export'!C:C,0),
IF(AND(NOT(ISBLANK(INDEX('glossaryterms-export'!H:H,_xlpm.rowNum))),ISBLANK(INDEX('glossaryterms-export'!I:I,_xlpm.rowNum))),"Ready to Fix",""))</f>
        <v/>
      </c>
    </row>
    <row r="3627" spans="6:6">
      <c r="F3627" s="1" t="str" cm="1">
        <f t="array" ref="F3627">_xlfn.LET(_xlpm.rowNum,MATCH(E3627,'glossaryterms-export'!C:C,0),
IF(AND(NOT(ISBLANK(INDEX('glossaryterms-export'!H:H,_xlpm.rowNum))),ISBLANK(INDEX('glossaryterms-export'!I:I,_xlpm.rowNum))),"Ready to Fix",""))</f>
        <v/>
      </c>
    </row>
    <row r="3628" spans="6:6">
      <c r="F3628" s="1" t="str" cm="1">
        <f t="array" ref="F3628">_xlfn.LET(_xlpm.rowNum,MATCH(E3628,'glossaryterms-export'!C:C,0),
IF(AND(NOT(ISBLANK(INDEX('glossaryterms-export'!H:H,_xlpm.rowNum))),ISBLANK(INDEX('glossaryterms-export'!I:I,_xlpm.rowNum))),"Ready to Fix",""))</f>
        <v/>
      </c>
    </row>
    <row r="3629" spans="6:6">
      <c r="F3629" s="1" t="str" cm="1">
        <f t="array" ref="F3629">_xlfn.LET(_xlpm.rowNum,MATCH(E3629,'glossaryterms-export'!C:C,0),
IF(AND(NOT(ISBLANK(INDEX('glossaryterms-export'!H:H,_xlpm.rowNum))),ISBLANK(INDEX('glossaryterms-export'!I:I,_xlpm.rowNum))),"Ready to Fix",""))</f>
        <v/>
      </c>
    </row>
    <row r="3630" spans="6:6">
      <c r="F3630" s="1" t="str" cm="1">
        <f t="array" ref="F3630">_xlfn.LET(_xlpm.rowNum,MATCH(E3630,'glossaryterms-export'!C:C,0),
IF(AND(NOT(ISBLANK(INDEX('glossaryterms-export'!H:H,_xlpm.rowNum))),ISBLANK(INDEX('glossaryterms-export'!I:I,_xlpm.rowNum))),"Ready to Fix",""))</f>
        <v/>
      </c>
    </row>
    <row r="3631" spans="6:6">
      <c r="F3631" s="1" t="str" cm="1">
        <f t="array" ref="F3631">_xlfn.LET(_xlpm.rowNum,MATCH(E3631,'glossaryterms-export'!C:C,0),
IF(AND(NOT(ISBLANK(INDEX('glossaryterms-export'!H:H,_xlpm.rowNum))),ISBLANK(INDEX('glossaryterms-export'!I:I,_xlpm.rowNum))),"Ready to Fix",""))</f>
        <v/>
      </c>
    </row>
    <row r="3632" spans="6:6">
      <c r="F3632" s="1" t="str" cm="1">
        <f t="array" ref="F3632">_xlfn.LET(_xlpm.rowNum,MATCH(E3632,'glossaryterms-export'!C:C,0),
IF(AND(NOT(ISBLANK(INDEX('glossaryterms-export'!H:H,_xlpm.rowNum))),ISBLANK(INDEX('glossaryterms-export'!I:I,_xlpm.rowNum))),"Ready to Fix",""))</f>
        <v/>
      </c>
    </row>
    <row r="3633" spans="6:6">
      <c r="F3633" s="1" t="str" cm="1">
        <f t="array" ref="F3633">_xlfn.LET(_xlpm.rowNum,MATCH(E3633,'glossaryterms-export'!C:C,0),
IF(AND(NOT(ISBLANK(INDEX('glossaryterms-export'!H:H,_xlpm.rowNum))),ISBLANK(INDEX('glossaryterms-export'!I:I,_xlpm.rowNum))),"Ready to Fix",""))</f>
        <v/>
      </c>
    </row>
    <row r="3634" spans="6:6">
      <c r="F3634" s="1" t="str" cm="1">
        <f t="array" ref="F3634">_xlfn.LET(_xlpm.rowNum,MATCH(E3634,'glossaryterms-export'!C:C,0),
IF(AND(NOT(ISBLANK(INDEX('glossaryterms-export'!H:H,_xlpm.rowNum))),ISBLANK(INDEX('glossaryterms-export'!I:I,_xlpm.rowNum))),"Ready to Fix",""))</f>
        <v/>
      </c>
    </row>
    <row r="3635" spans="6:6">
      <c r="F3635" s="1" t="str" cm="1">
        <f t="array" ref="F3635">_xlfn.LET(_xlpm.rowNum,MATCH(E3635,'glossaryterms-export'!C:C,0),
IF(AND(NOT(ISBLANK(INDEX('glossaryterms-export'!H:H,_xlpm.rowNum))),ISBLANK(INDEX('glossaryterms-export'!I:I,_xlpm.rowNum))),"Ready to Fix",""))</f>
        <v/>
      </c>
    </row>
    <row r="3636" spans="6:6">
      <c r="F3636" s="1" t="str" cm="1">
        <f t="array" ref="F3636">_xlfn.LET(_xlpm.rowNum,MATCH(E3636,'glossaryterms-export'!C:C,0),
IF(AND(NOT(ISBLANK(INDEX('glossaryterms-export'!H:H,_xlpm.rowNum))),ISBLANK(INDEX('glossaryterms-export'!I:I,_xlpm.rowNum))),"Ready to Fix",""))</f>
        <v/>
      </c>
    </row>
    <row r="3637" spans="6:6">
      <c r="F3637" s="1" t="str" cm="1">
        <f t="array" ref="F3637">_xlfn.LET(_xlpm.rowNum,MATCH(E3637,'glossaryterms-export'!C:C,0),
IF(AND(NOT(ISBLANK(INDEX('glossaryterms-export'!H:H,_xlpm.rowNum))),ISBLANK(INDEX('glossaryterms-export'!I:I,_xlpm.rowNum))),"Ready to Fix",""))</f>
        <v/>
      </c>
    </row>
    <row r="3638" spans="6:6">
      <c r="F3638" s="1" t="str" cm="1">
        <f t="array" ref="F3638">_xlfn.LET(_xlpm.rowNum,MATCH(E3638,'glossaryterms-export'!C:C,0),
IF(AND(NOT(ISBLANK(INDEX('glossaryterms-export'!H:H,_xlpm.rowNum))),ISBLANK(INDEX('glossaryterms-export'!I:I,_xlpm.rowNum))),"Ready to Fix",""))</f>
        <v/>
      </c>
    </row>
    <row r="3639" spans="6:6">
      <c r="F3639" s="1" t="str" cm="1">
        <f t="array" ref="F3639">_xlfn.LET(_xlpm.rowNum,MATCH(E3639,'glossaryterms-export'!C:C,0),
IF(AND(NOT(ISBLANK(INDEX('glossaryterms-export'!H:H,_xlpm.rowNum))),ISBLANK(INDEX('glossaryterms-export'!I:I,_xlpm.rowNum))),"Ready to Fix",""))</f>
        <v/>
      </c>
    </row>
    <row r="3640" spans="6:6">
      <c r="F3640" s="1" t="str" cm="1">
        <f t="array" ref="F3640">_xlfn.LET(_xlpm.rowNum,MATCH(E3640,'glossaryterms-export'!C:C,0),
IF(AND(NOT(ISBLANK(INDEX('glossaryterms-export'!H:H,_xlpm.rowNum))),ISBLANK(INDEX('glossaryterms-export'!I:I,_xlpm.rowNum))),"Ready to Fix",""))</f>
        <v/>
      </c>
    </row>
    <row r="3641" spans="6:6">
      <c r="F3641" s="1" t="str" cm="1">
        <f t="array" ref="F3641">_xlfn.LET(_xlpm.rowNum,MATCH(E3641,'glossaryterms-export'!C:C,0),
IF(AND(NOT(ISBLANK(INDEX('glossaryterms-export'!H:H,_xlpm.rowNum))),ISBLANK(INDEX('glossaryterms-export'!I:I,_xlpm.rowNum))),"Ready to Fix",""))</f>
        <v/>
      </c>
    </row>
    <row r="3642" spans="6:6">
      <c r="F3642" s="1" t="str" cm="1">
        <f t="array" ref="F3642">_xlfn.LET(_xlpm.rowNum,MATCH(E3642,'glossaryterms-export'!C:C,0),
IF(AND(NOT(ISBLANK(INDEX('glossaryterms-export'!H:H,_xlpm.rowNum))),ISBLANK(INDEX('glossaryterms-export'!I:I,_xlpm.rowNum))),"Ready to Fix",""))</f>
        <v/>
      </c>
    </row>
    <row r="3643" spans="6:6">
      <c r="F3643" s="1" t="str" cm="1">
        <f t="array" ref="F3643">_xlfn.LET(_xlpm.rowNum,MATCH(E3643,'glossaryterms-export'!C:C,0),
IF(AND(NOT(ISBLANK(INDEX('glossaryterms-export'!H:H,_xlpm.rowNum))),ISBLANK(INDEX('glossaryterms-export'!I:I,_xlpm.rowNum))),"Ready to Fix",""))</f>
        <v/>
      </c>
    </row>
    <row r="3644" spans="6:6">
      <c r="F3644" s="1" t="str" cm="1">
        <f t="array" ref="F3644">_xlfn.LET(_xlpm.rowNum,MATCH(E3644,'glossaryterms-export'!C:C,0),
IF(AND(NOT(ISBLANK(INDEX('glossaryterms-export'!H:H,_xlpm.rowNum))),ISBLANK(INDEX('glossaryterms-export'!I:I,_xlpm.rowNum))),"Ready to Fix",""))</f>
        <v/>
      </c>
    </row>
    <row r="3645" spans="6:6">
      <c r="F3645" s="1" t="str" cm="1">
        <f t="array" ref="F3645">_xlfn.LET(_xlpm.rowNum,MATCH(E3645,'glossaryterms-export'!C:C,0),
IF(AND(NOT(ISBLANK(INDEX('glossaryterms-export'!H:H,_xlpm.rowNum))),ISBLANK(INDEX('glossaryterms-export'!I:I,_xlpm.rowNum))),"Ready to Fix",""))</f>
        <v/>
      </c>
    </row>
    <row r="3646" spans="6:6">
      <c r="F3646" s="1" t="str" cm="1">
        <f t="array" ref="F3646">_xlfn.LET(_xlpm.rowNum,MATCH(E3646,'glossaryterms-export'!C:C,0),
IF(AND(NOT(ISBLANK(INDEX('glossaryterms-export'!H:H,_xlpm.rowNum))),ISBLANK(INDEX('glossaryterms-export'!I:I,_xlpm.rowNum))),"Ready to Fix",""))</f>
        <v/>
      </c>
    </row>
    <row r="3647" spans="6:6">
      <c r="F3647" s="1" t="str" cm="1">
        <f t="array" ref="F3647">_xlfn.LET(_xlpm.rowNum,MATCH(E3647,'glossaryterms-export'!C:C,0),
IF(AND(NOT(ISBLANK(INDEX('glossaryterms-export'!H:H,_xlpm.rowNum))),ISBLANK(INDEX('glossaryterms-export'!I:I,_xlpm.rowNum))),"Ready to Fix",""))</f>
        <v/>
      </c>
    </row>
    <row r="3648" spans="6:6">
      <c r="F3648" s="1" t="str" cm="1">
        <f t="array" ref="F3648">_xlfn.LET(_xlpm.rowNum,MATCH(E3648,'glossaryterms-export'!C:C,0),
IF(AND(NOT(ISBLANK(INDEX('glossaryterms-export'!H:H,_xlpm.rowNum))),ISBLANK(INDEX('glossaryterms-export'!I:I,_xlpm.rowNum))),"Ready to Fix",""))</f>
        <v/>
      </c>
    </row>
    <row r="3649" spans="6:6">
      <c r="F3649" s="1" t="str" cm="1">
        <f t="array" ref="F3649">_xlfn.LET(_xlpm.rowNum,MATCH(E3649,'glossaryterms-export'!C:C,0),
IF(AND(NOT(ISBLANK(INDEX('glossaryterms-export'!H:H,_xlpm.rowNum))),ISBLANK(INDEX('glossaryterms-export'!I:I,_xlpm.rowNum))),"Ready to Fix",""))</f>
        <v/>
      </c>
    </row>
    <row r="3650" spans="6:6">
      <c r="F3650" s="1" t="str" cm="1">
        <f t="array" ref="F3650">_xlfn.LET(_xlpm.rowNum,MATCH(E3650,'glossaryterms-export'!C:C,0),
IF(AND(NOT(ISBLANK(INDEX('glossaryterms-export'!H:H,_xlpm.rowNum))),ISBLANK(INDEX('glossaryterms-export'!I:I,_xlpm.rowNum))),"Ready to Fix",""))</f>
        <v/>
      </c>
    </row>
    <row r="3651" spans="6:6">
      <c r="F3651" s="1" t="str" cm="1">
        <f t="array" ref="F3651">_xlfn.LET(_xlpm.rowNum,MATCH(E3651,'glossaryterms-export'!C:C,0),
IF(AND(NOT(ISBLANK(INDEX('glossaryterms-export'!H:H,_xlpm.rowNum))),ISBLANK(INDEX('glossaryterms-export'!I:I,_xlpm.rowNum))),"Ready to Fix",""))</f>
        <v/>
      </c>
    </row>
    <row r="3652" spans="6:6">
      <c r="F3652" s="1" t="str" cm="1">
        <f t="array" ref="F3652">_xlfn.LET(_xlpm.rowNum,MATCH(E3652,'glossaryterms-export'!C:C,0),
IF(AND(NOT(ISBLANK(INDEX('glossaryterms-export'!H:H,_xlpm.rowNum))),ISBLANK(INDEX('glossaryterms-export'!I:I,_xlpm.rowNum))),"Ready to Fix",""))</f>
        <v/>
      </c>
    </row>
    <row r="3653" spans="6:6">
      <c r="F3653" s="1" t="str" cm="1">
        <f t="array" ref="F3653">_xlfn.LET(_xlpm.rowNum,MATCH(E3653,'glossaryterms-export'!C:C,0),
IF(AND(NOT(ISBLANK(INDEX('glossaryterms-export'!H:H,_xlpm.rowNum))),ISBLANK(INDEX('glossaryterms-export'!I:I,_xlpm.rowNum))),"Ready to Fix",""))</f>
        <v/>
      </c>
    </row>
    <row r="3654" spans="6:6">
      <c r="F3654" s="1" t="str" cm="1">
        <f t="array" ref="F3654">_xlfn.LET(_xlpm.rowNum,MATCH(E3654,'glossaryterms-export'!C:C,0),
IF(AND(NOT(ISBLANK(INDEX('glossaryterms-export'!H:H,_xlpm.rowNum))),ISBLANK(INDEX('glossaryterms-export'!I:I,_xlpm.rowNum))),"Ready to Fix",""))</f>
        <v/>
      </c>
    </row>
    <row r="3655" spans="6:6">
      <c r="F3655" s="1" t="str" cm="1">
        <f t="array" ref="F3655">_xlfn.LET(_xlpm.rowNum,MATCH(E3655,'glossaryterms-export'!C:C,0),
IF(AND(NOT(ISBLANK(INDEX('glossaryterms-export'!H:H,_xlpm.rowNum))),ISBLANK(INDEX('glossaryterms-export'!I:I,_xlpm.rowNum))),"Ready to Fix",""))</f>
        <v/>
      </c>
    </row>
    <row r="3656" spans="6:6">
      <c r="F3656" s="1" t="str" cm="1">
        <f t="array" ref="F3656">_xlfn.LET(_xlpm.rowNum,MATCH(E3656,'glossaryterms-export'!C:C,0),
IF(AND(NOT(ISBLANK(INDEX('glossaryterms-export'!H:H,_xlpm.rowNum))),ISBLANK(INDEX('glossaryterms-export'!I:I,_xlpm.rowNum))),"Ready to Fix",""))</f>
        <v/>
      </c>
    </row>
    <row r="3657" spans="6:6">
      <c r="F3657" s="1" t="str" cm="1">
        <f t="array" ref="F3657">_xlfn.LET(_xlpm.rowNum,MATCH(E3657,'glossaryterms-export'!C:C,0),
IF(AND(NOT(ISBLANK(INDEX('glossaryterms-export'!H:H,_xlpm.rowNum))),ISBLANK(INDEX('glossaryterms-export'!I:I,_xlpm.rowNum))),"Ready to Fix",""))</f>
        <v/>
      </c>
    </row>
    <row r="3658" spans="6:6">
      <c r="F3658" s="1" t="str" cm="1">
        <f t="array" ref="F3658">_xlfn.LET(_xlpm.rowNum,MATCH(E3658,'glossaryterms-export'!C:C,0),
IF(AND(NOT(ISBLANK(INDEX('glossaryterms-export'!H:H,_xlpm.rowNum))),ISBLANK(INDEX('glossaryterms-export'!I:I,_xlpm.rowNum))),"Ready to Fix",""))</f>
        <v/>
      </c>
    </row>
    <row r="3659" spans="6:6">
      <c r="F3659" s="1" t="str" cm="1">
        <f t="array" ref="F3659">_xlfn.LET(_xlpm.rowNum,MATCH(E3659,'glossaryterms-export'!C:C,0),
IF(AND(NOT(ISBLANK(INDEX('glossaryterms-export'!H:H,_xlpm.rowNum))),ISBLANK(INDEX('glossaryterms-export'!I:I,_xlpm.rowNum))),"Ready to Fix",""))</f>
        <v/>
      </c>
    </row>
    <row r="3660" spans="6:6">
      <c r="F3660" s="1" t="str" cm="1">
        <f t="array" ref="F3660">_xlfn.LET(_xlpm.rowNum,MATCH(E3660,'glossaryterms-export'!C:C,0),
IF(AND(NOT(ISBLANK(INDEX('glossaryterms-export'!H:H,_xlpm.rowNum))),ISBLANK(INDEX('glossaryterms-export'!I:I,_xlpm.rowNum))),"Ready to Fix",""))</f>
        <v/>
      </c>
    </row>
    <row r="3661" spans="6:6">
      <c r="F3661" s="1" t="str" cm="1">
        <f t="array" ref="F3661">_xlfn.LET(_xlpm.rowNum,MATCH(E3661,'glossaryterms-export'!C:C,0),
IF(AND(NOT(ISBLANK(INDEX('glossaryterms-export'!H:H,_xlpm.rowNum))),ISBLANK(INDEX('glossaryterms-export'!I:I,_xlpm.rowNum))),"Ready to Fix",""))</f>
        <v/>
      </c>
    </row>
    <row r="3662" spans="6:6">
      <c r="F3662" s="1" t="str" cm="1">
        <f t="array" ref="F3662">_xlfn.LET(_xlpm.rowNum,MATCH(E3662,'glossaryterms-export'!C:C,0),
IF(AND(NOT(ISBLANK(INDEX('glossaryterms-export'!H:H,_xlpm.rowNum))),ISBLANK(INDEX('glossaryterms-export'!I:I,_xlpm.rowNum))),"Ready to Fix",""))</f>
        <v/>
      </c>
    </row>
    <row r="3663" spans="6:6">
      <c r="F3663" s="1" t="str" cm="1">
        <f t="array" ref="F3663">_xlfn.LET(_xlpm.rowNum,MATCH(E3663,'glossaryterms-export'!C:C,0),
IF(AND(NOT(ISBLANK(INDEX('glossaryterms-export'!H:H,_xlpm.rowNum))),ISBLANK(INDEX('glossaryterms-export'!I:I,_xlpm.rowNum))),"Ready to Fix",""))</f>
        <v/>
      </c>
    </row>
    <row r="3664" spans="6:6">
      <c r="F3664" s="1" t="str" cm="1">
        <f t="array" ref="F3664">_xlfn.LET(_xlpm.rowNum,MATCH(E3664,'glossaryterms-export'!C:C,0),
IF(AND(NOT(ISBLANK(INDEX('glossaryterms-export'!H:H,_xlpm.rowNum))),ISBLANK(INDEX('glossaryterms-export'!I:I,_xlpm.rowNum))),"Ready to Fix",""))</f>
        <v/>
      </c>
    </row>
    <row r="3665" spans="6:6">
      <c r="F3665" s="1" t="str" cm="1">
        <f t="array" ref="F3665">_xlfn.LET(_xlpm.rowNum,MATCH(E3665,'glossaryterms-export'!C:C,0),
IF(AND(NOT(ISBLANK(INDEX('glossaryterms-export'!H:H,_xlpm.rowNum))),ISBLANK(INDEX('glossaryterms-export'!I:I,_xlpm.rowNum))),"Ready to Fix",""))</f>
        <v/>
      </c>
    </row>
    <row r="3666" spans="6:6">
      <c r="F3666" s="1" t="str" cm="1">
        <f t="array" ref="F3666">_xlfn.LET(_xlpm.rowNum,MATCH(E3666,'glossaryterms-export'!C:C,0),
IF(AND(NOT(ISBLANK(INDEX('glossaryterms-export'!H:H,_xlpm.rowNum))),ISBLANK(INDEX('glossaryterms-export'!I:I,_xlpm.rowNum))),"Ready to Fix",""))</f>
        <v/>
      </c>
    </row>
    <row r="3667" spans="6:6">
      <c r="F3667" s="1" t="str" cm="1">
        <f t="array" ref="F3667">_xlfn.LET(_xlpm.rowNum,MATCH(E3667,'glossaryterms-export'!C:C,0),
IF(AND(NOT(ISBLANK(INDEX('glossaryterms-export'!H:H,_xlpm.rowNum))),ISBLANK(INDEX('glossaryterms-export'!I:I,_xlpm.rowNum))),"Ready to Fix",""))</f>
        <v/>
      </c>
    </row>
    <row r="3668" spans="6:6">
      <c r="F3668" s="1" t="str" cm="1">
        <f t="array" ref="F3668">_xlfn.LET(_xlpm.rowNum,MATCH(E3668,'glossaryterms-export'!C:C,0),
IF(AND(NOT(ISBLANK(INDEX('glossaryterms-export'!H:H,_xlpm.rowNum))),ISBLANK(INDEX('glossaryterms-export'!I:I,_xlpm.rowNum))),"Ready to Fix",""))</f>
        <v/>
      </c>
    </row>
    <row r="3669" spans="6:6">
      <c r="F3669" s="1" t="str" cm="1">
        <f t="array" ref="F3669">_xlfn.LET(_xlpm.rowNum,MATCH(E3669,'glossaryterms-export'!C:C,0),
IF(AND(NOT(ISBLANK(INDEX('glossaryterms-export'!H:H,_xlpm.rowNum))),ISBLANK(INDEX('glossaryterms-export'!I:I,_xlpm.rowNum))),"Ready to Fix",""))</f>
        <v/>
      </c>
    </row>
    <row r="3670" spans="6:6">
      <c r="F3670" s="1" t="str" cm="1">
        <f t="array" ref="F3670">_xlfn.LET(_xlpm.rowNum,MATCH(E3670,'glossaryterms-export'!C:C,0),
IF(AND(NOT(ISBLANK(INDEX('glossaryterms-export'!H:H,_xlpm.rowNum))),ISBLANK(INDEX('glossaryterms-export'!I:I,_xlpm.rowNum))),"Ready to Fix",""))</f>
        <v/>
      </c>
    </row>
    <row r="3671" spans="6:6">
      <c r="F3671" s="1" t="str" cm="1">
        <f t="array" ref="F3671">_xlfn.LET(_xlpm.rowNum,MATCH(E3671,'glossaryterms-export'!C:C,0),
IF(AND(NOT(ISBLANK(INDEX('glossaryterms-export'!H:H,_xlpm.rowNum))),ISBLANK(INDEX('glossaryterms-export'!I:I,_xlpm.rowNum))),"Ready to Fix",""))</f>
        <v/>
      </c>
    </row>
    <row r="3672" spans="6:6">
      <c r="F3672" s="1" t="str" cm="1">
        <f t="array" ref="F3672">_xlfn.LET(_xlpm.rowNum,MATCH(E3672,'glossaryterms-export'!C:C,0),
IF(AND(NOT(ISBLANK(INDEX('glossaryterms-export'!H:H,_xlpm.rowNum))),ISBLANK(INDEX('glossaryterms-export'!I:I,_xlpm.rowNum))),"Ready to Fix",""))</f>
        <v/>
      </c>
    </row>
    <row r="3673" spans="6:6">
      <c r="F3673" s="1" t="str" cm="1">
        <f t="array" ref="F3673">_xlfn.LET(_xlpm.rowNum,MATCH(E3673,'glossaryterms-export'!C:C,0),
IF(AND(NOT(ISBLANK(INDEX('glossaryterms-export'!H:H,_xlpm.rowNum))),ISBLANK(INDEX('glossaryterms-export'!I:I,_xlpm.rowNum))),"Ready to Fix",""))</f>
        <v/>
      </c>
    </row>
    <row r="3674" spans="6:6">
      <c r="F3674" s="1" t="str" cm="1">
        <f t="array" ref="F3674">_xlfn.LET(_xlpm.rowNum,MATCH(E3674,'glossaryterms-export'!C:C,0),
IF(AND(NOT(ISBLANK(INDEX('glossaryterms-export'!H:H,_xlpm.rowNum))),ISBLANK(INDEX('glossaryterms-export'!I:I,_xlpm.rowNum))),"Ready to Fix",""))</f>
        <v/>
      </c>
    </row>
    <row r="3675" spans="6:6">
      <c r="F3675" s="1" t="str" cm="1">
        <f t="array" ref="F3675">_xlfn.LET(_xlpm.rowNum,MATCH(E3675,'glossaryterms-export'!C:C,0),
IF(AND(NOT(ISBLANK(INDEX('glossaryterms-export'!H:H,_xlpm.rowNum))),ISBLANK(INDEX('glossaryterms-export'!I:I,_xlpm.rowNum))),"Ready to Fix",""))</f>
        <v/>
      </c>
    </row>
    <row r="3676" spans="6:6">
      <c r="F3676" s="1" t="str" cm="1">
        <f t="array" ref="F3676">_xlfn.LET(_xlpm.rowNum,MATCH(E3676,'glossaryterms-export'!C:C,0),
IF(AND(NOT(ISBLANK(INDEX('glossaryterms-export'!H:H,_xlpm.rowNum))),ISBLANK(INDEX('glossaryterms-export'!I:I,_xlpm.rowNum))),"Ready to Fix",""))</f>
        <v/>
      </c>
    </row>
    <row r="3677" spans="6:6">
      <c r="F3677" s="1" t="str" cm="1">
        <f t="array" ref="F3677">_xlfn.LET(_xlpm.rowNum,MATCH(E3677,'glossaryterms-export'!C:C,0),
IF(AND(NOT(ISBLANK(INDEX('glossaryterms-export'!H:H,_xlpm.rowNum))),ISBLANK(INDEX('glossaryterms-export'!I:I,_xlpm.rowNum))),"Ready to Fix",""))</f>
        <v/>
      </c>
    </row>
    <row r="3678" spans="6:6">
      <c r="F3678" s="1" t="str" cm="1">
        <f t="array" ref="F3678">_xlfn.LET(_xlpm.rowNum,MATCH(E3678,'glossaryterms-export'!C:C,0),
IF(AND(NOT(ISBLANK(INDEX('glossaryterms-export'!H:H,_xlpm.rowNum))),ISBLANK(INDEX('glossaryterms-export'!I:I,_xlpm.rowNum))),"Ready to Fix",""))</f>
        <v/>
      </c>
    </row>
    <row r="3679" spans="6:6">
      <c r="F3679" s="1" t="str" cm="1">
        <f t="array" ref="F3679">_xlfn.LET(_xlpm.rowNum,MATCH(E3679,'glossaryterms-export'!C:C,0),
IF(AND(NOT(ISBLANK(INDEX('glossaryterms-export'!H:H,_xlpm.rowNum))),ISBLANK(INDEX('glossaryterms-export'!I:I,_xlpm.rowNum))),"Ready to Fix",""))</f>
        <v/>
      </c>
    </row>
    <row r="3680" spans="6:6">
      <c r="F3680" s="1" t="str" cm="1">
        <f t="array" ref="F3680">_xlfn.LET(_xlpm.rowNum,MATCH(E3680,'glossaryterms-export'!C:C,0),
IF(AND(NOT(ISBLANK(INDEX('glossaryterms-export'!H:H,_xlpm.rowNum))),ISBLANK(INDEX('glossaryterms-export'!I:I,_xlpm.rowNum))),"Ready to Fix",""))</f>
        <v/>
      </c>
    </row>
    <row r="3681" spans="6:6">
      <c r="F3681" s="1" t="str" cm="1">
        <f t="array" ref="F3681">_xlfn.LET(_xlpm.rowNum,MATCH(E3681,'glossaryterms-export'!C:C,0),
IF(AND(NOT(ISBLANK(INDEX('glossaryterms-export'!H:H,_xlpm.rowNum))),ISBLANK(INDEX('glossaryterms-export'!I:I,_xlpm.rowNum))),"Ready to Fix",""))</f>
        <v/>
      </c>
    </row>
    <row r="3682" spans="6:6">
      <c r="F3682" s="1" t="str" cm="1">
        <f t="array" ref="F3682">_xlfn.LET(_xlpm.rowNum,MATCH(E3682,'glossaryterms-export'!C:C,0),
IF(AND(NOT(ISBLANK(INDEX('glossaryterms-export'!H:H,_xlpm.rowNum))),ISBLANK(INDEX('glossaryterms-export'!I:I,_xlpm.rowNum))),"Ready to Fix",""))</f>
        <v/>
      </c>
    </row>
    <row r="3683" spans="6:6">
      <c r="F3683" s="1" t="str" cm="1">
        <f t="array" ref="F3683">_xlfn.LET(_xlpm.rowNum,MATCH(E3683,'glossaryterms-export'!C:C,0),
IF(AND(NOT(ISBLANK(INDEX('glossaryterms-export'!H:H,_xlpm.rowNum))),ISBLANK(INDEX('glossaryterms-export'!I:I,_xlpm.rowNum))),"Ready to Fix",""))</f>
        <v/>
      </c>
    </row>
    <row r="3684" spans="6:6">
      <c r="F3684" s="1" t="str" cm="1">
        <f t="array" ref="F3684">_xlfn.LET(_xlpm.rowNum,MATCH(E3684,'glossaryterms-export'!C:C,0),
IF(AND(NOT(ISBLANK(INDEX('glossaryterms-export'!H:H,_xlpm.rowNum))),ISBLANK(INDEX('glossaryterms-export'!I:I,_xlpm.rowNum))),"Ready to Fix",""))</f>
        <v/>
      </c>
    </row>
    <row r="3685" spans="6:6">
      <c r="F3685" s="1" t="str" cm="1">
        <f t="array" ref="F3685">_xlfn.LET(_xlpm.rowNum,MATCH(E3685,'glossaryterms-export'!C:C,0),
IF(AND(NOT(ISBLANK(INDEX('glossaryterms-export'!H:H,_xlpm.rowNum))),ISBLANK(INDEX('glossaryterms-export'!I:I,_xlpm.rowNum))),"Ready to Fix",""))</f>
        <v/>
      </c>
    </row>
    <row r="3686" spans="6:6">
      <c r="F3686" s="1" t="str" cm="1">
        <f t="array" ref="F3686">_xlfn.LET(_xlpm.rowNum,MATCH(E3686,'glossaryterms-export'!C:C,0),
IF(AND(NOT(ISBLANK(INDEX('glossaryterms-export'!H:H,_xlpm.rowNum))),ISBLANK(INDEX('glossaryterms-export'!I:I,_xlpm.rowNum))),"Ready to Fix",""))</f>
        <v/>
      </c>
    </row>
    <row r="3687" spans="6:6">
      <c r="F3687" s="1" t="str" cm="1">
        <f t="array" ref="F3687">_xlfn.LET(_xlpm.rowNum,MATCH(E3687,'glossaryterms-export'!C:C,0),
IF(AND(NOT(ISBLANK(INDEX('glossaryterms-export'!H:H,_xlpm.rowNum))),ISBLANK(INDEX('glossaryterms-export'!I:I,_xlpm.rowNum))),"Ready to Fix",""))</f>
        <v/>
      </c>
    </row>
    <row r="3688" spans="6:6">
      <c r="F3688" s="1" t="str" cm="1">
        <f t="array" ref="F3688">_xlfn.LET(_xlpm.rowNum,MATCH(E3688,'glossaryterms-export'!C:C,0),
IF(AND(NOT(ISBLANK(INDEX('glossaryterms-export'!H:H,_xlpm.rowNum))),ISBLANK(INDEX('glossaryterms-export'!I:I,_xlpm.rowNum))),"Ready to Fix",""))</f>
        <v/>
      </c>
    </row>
    <row r="3689" spans="6:6">
      <c r="F3689" s="1" t="str" cm="1">
        <f t="array" ref="F3689">_xlfn.LET(_xlpm.rowNum,MATCH(E3689,'glossaryterms-export'!C:C,0),
IF(AND(NOT(ISBLANK(INDEX('glossaryterms-export'!H:H,_xlpm.rowNum))),ISBLANK(INDEX('glossaryterms-export'!I:I,_xlpm.rowNum))),"Ready to Fix",""))</f>
        <v/>
      </c>
    </row>
    <row r="3690" spans="6:6">
      <c r="F3690" s="1" t="str" cm="1">
        <f t="array" ref="F3690">_xlfn.LET(_xlpm.rowNum,MATCH(E3690,'glossaryterms-export'!C:C,0),
IF(AND(NOT(ISBLANK(INDEX('glossaryterms-export'!H:H,_xlpm.rowNum))),ISBLANK(INDEX('glossaryterms-export'!I:I,_xlpm.rowNum))),"Ready to Fix",""))</f>
        <v/>
      </c>
    </row>
    <row r="3691" spans="6:6">
      <c r="F3691" s="1" t="str" cm="1">
        <f t="array" ref="F3691">_xlfn.LET(_xlpm.rowNum,MATCH(E3691,'glossaryterms-export'!C:C,0),
IF(AND(NOT(ISBLANK(INDEX('glossaryterms-export'!H:H,_xlpm.rowNum))),ISBLANK(INDEX('glossaryterms-export'!I:I,_xlpm.rowNum))),"Ready to Fix",""))</f>
        <v/>
      </c>
    </row>
    <row r="3692" spans="6:6">
      <c r="F3692" s="1" t="str" cm="1">
        <f t="array" ref="F3692">_xlfn.LET(_xlpm.rowNum,MATCH(E3692,'glossaryterms-export'!C:C,0),
IF(AND(NOT(ISBLANK(INDEX('glossaryterms-export'!H:H,_xlpm.rowNum))),ISBLANK(INDEX('glossaryterms-export'!I:I,_xlpm.rowNum))),"Ready to Fix",""))</f>
        <v/>
      </c>
    </row>
    <row r="3693" spans="6:6">
      <c r="F3693" s="1" t="str" cm="1">
        <f t="array" ref="F3693">_xlfn.LET(_xlpm.rowNum,MATCH(E3693,'glossaryterms-export'!C:C,0),
IF(AND(NOT(ISBLANK(INDEX('glossaryterms-export'!H:H,_xlpm.rowNum))),ISBLANK(INDEX('glossaryterms-export'!I:I,_xlpm.rowNum))),"Ready to Fix",""))</f>
        <v/>
      </c>
    </row>
    <row r="3694" spans="6:6">
      <c r="F3694" s="1" t="str" cm="1">
        <f t="array" ref="F3694">_xlfn.LET(_xlpm.rowNum,MATCH(E3694,'glossaryterms-export'!C:C,0),
IF(AND(NOT(ISBLANK(INDEX('glossaryterms-export'!H:H,_xlpm.rowNum))),ISBLANK(INDEX('glossaryterms-export'!I:I,_xlpm.rowNum))),"Ready to Fix",""))</f>
        <v/>
      </c>
    </row>
    <row r="3695" spans="6:6">
      <c r="F3695" s="1" t="str" cm="1">
        <f t="array" ref="F3695">_xlfn.LET(_xlpm.rowNum,MATCH(E3695,'glossaryterms-export'!C:C,0),
IF(AND(NOT(ISBLANK(INDEX('glossaryterms-export'!H:H,_xlpm.rowNum))),ISBLANK(INDEX('glossaryterms-export'!I:I,_xlpm.rowNum))),"Ready to Fix",""))</f>
        <v/>
      </c>
    </row>
    <row r="3696" spans="6:6">
      <c r="F3696" s="1" t="str" cm="1">
        <f t="array" ref="F3696">_xlfn.LET(_xlpm.rowNum,MATCH(E3696,'glossaryterms-export'!C:C,0),
IF(AND(NOT(ISBLANK(INDEX('glossaryterms-export'!H:H,_xlpm.rowNum))),ISBLANK(INDEX('glossaryterms-export'!I:I,_xlpm.rowNum))),"Ready to Fix",""))</f>
        <v/>
      </c>
    </row>
    <row r="3697" spans="6:6">
      <c r="F3697" s="1" t="str" cm="1">
        <f t="array" ref="F3697">_xlfn.LET(_xlpm.rowNum,MATCH(E3697,'glossaryterms-export'!C:C,0),
IF(AND(NOT(ISBLANK(INDEX('glossaryterms-export'!H:H,_xlpm.rowNum))),ISBLANK(INDEX('glossaryterms-export'!I:I,_xlpm.rowNum))),"Ready to Fix",""))</f>
        <v/>
      </c>
    </row>
    <row r="3698" spans="6:6">
      <c r="F3698" s="1" t="str" cm="1">
        <f t="array" ref="F3698">_xlfn.LET(_xlpm.rowNum,MATCH(E3698,'glossaryterms-export'!C:C,0),
IF(AND(NOT(ISBLANK(INDEX('glossaryterms-export'!H:H,_xlpm.rowNum))),ISBLANK(INDEX('glossaryterms-export'!I:I,_xlpm.rowNum))),"Ready to Fix",""))</f>
        <v/>
      </c>
    </row>
    <row r="3699" spans="6:6">
      <c r="F3699" s="1" t="str" cm="1">
        <f t="array" ref="F3699">_xlfn.LET(_xlpm.rowNum,MATCH(E3699,'glossaryterms-export'!C:C,0),
IF(AND(NOT(ISBLANK(INDEX('glossaryterms-export'!H:H,_xlpm.rowNum))),ISBLANK(INDEX('glossaryterms-export'!I:I,_xlpm.rowNum))),"Ready to Fix",""))</f>
        <v/>
      </c>
    </row>
    <row r="3700" spans="6:6">
      <c r="F3700" s="1" t="str" cm="1">
        <f t="array" ref="F3700">_xlfn.LET(_xlpm.rowNum,MATCH(E3700,'glossaryterms-export'!C:C,0),
IF(AND(NOT(ISBLANK(INDEX('glossaryterms-export'!H:H,_xlpm.rowNum))),ISBLANK(INDEX('glossaryterms-export'!I:I,_xlpm.rowNum))),"Ready to Fix",""))</f>
        <v/>
      </c>
    </row>
    <row r="3701" spans="6:6">
      <c r="F3701" s="1" t="str" cm="1">
        <f t="array" ref="F3701">_xlfn.LET(_xlpm.rowNum,MATCH(E3701,'glossaryterms-export'!C:C,0),
IF(AND(NOT(ISBLANK(INDEX('glossaryterms-export'!H:H,_xlpm.rowNum))),ISBLANK(INDEX('glossaryterms-export'!I:I,_xlpm.rowNum))),"Ready to Fix",""))</f>
        <v/>
      </c>
    </row>
    <row r="3702" spans="6:6">
      <c r="F3702" s="1" t="str" cm="1">
        <f t="array" ref="F3702">_xlfn.LET(_xlpm.rowNum,MATCH(E3702,'glossaryterms-export'!C:C,0),
IF(AND(NOT(ISBLANK(INDEX('glossaryterms-export'!H:H,_xlpm.rowNum))),ISBLANK(INDEX('glossaryterms-export'!I:I,_xlpm.rowNum))),"Ready to Fix",""))</f>
        <v/>
      </c>
    </row>
    <row r="3703" spans="6:6">
      <c r="F3703" s="1" t="str" cm="1">
        <f t="array" ref="F3703">_xlfn.LET(_xlpm.rowNum,MATCH(E3703,'glossaryterms-export'!C:C,0),
IF(AND(NOT(ISBLANK(INDEX('glossaryterms-export'!H:H,_xlpm.rowNum))),ISBLANK(INDEX('glossaryterms-export'!I:I,_xlpm.rowNum))),"Ready to Fix",""))</f>
        <v/>
      </c>
    </row>
    <row r="3704" spans="6:6">
      <c r="F3704" s="1" t="str" cm="1">
        <f t="array" ref="F3704">_xlfn.LET(_xlpm.rowNum,MATCH(E3704,'glossaryterms-export'!C:C,0),
IF(AND(NOT(ISBLANK(INDEX('glossaryterms-export'!H:H,_xlpm.rowNum))),ISBLANK(INDEX('glossaryterms-export'!I:I,_xlpm.rowNum))),"Ready to Fix",""))</f>
        <v/>
      </c>
    </row>
    <row r="3705" spans="6:6">
      <c r="F3705" s="1" t="str" cm="1">
        <f t="array" ref="F3705">_xlfn.LET(_xlpm.rowNum,MATCH(E3705,'glossaryterms-export'!C:C,0),
IF(AND(NOT(ISBLANK(INDEX('glossaryterms-export'!H:H,_xlpm.rowNum))),ISBLANK(INDEX('glossaryterms-export'!I:I,_xlpm.rowNum))),"Ready to Fix",""))</f>
        <v/>
      </c>
    </row>
    <row r="3706" spans="6:6">
      <c r="F3706" s="1" t="str" cm="1">
        <f t="array" ref="F3706">_xlfn.LET(_xlpm.rowNum,MATCH(E3706,'glossaryterms-export'!C:C,0),
IF(AND(NOT(ISBLANK(INDEX('glossaryterms-export'!H:H,_xlpm.rowNum))),ISBLANK(INDEX('glossaryterms-export'!I:I,_xlpm.rowNum))),"Ready to Fix",""))</f>
        <v/>
      </c>
    </row>
    <row r="3707" spans="6:6">
      <c r="F3707" s="1" t="str" cm="1">
        <f t="array" ref="F3707">_xlfn.LET(_xlpm.rowNum,MATCH(E3707,'glossaryterms-export'!C:C,0),
IF(AND(NOT(ISBLANK(INDEX('glossaryterms-export'!H:H,_xlpm.rowNum))),ISBLANK(INDEX('glossaryterms-export'!I:I,_xlpm.rowNum))),"Ready to Fix",""))</f>
        <v/>
      </c>
    </row>
    <row r="3708" spans="6:6">
      <c r="F3708" s="1" t="str" cm="1">
        <f t="array" ref="F3708">_xlfn.LET(_xlpm.rowNum,MATCH(E3708,'glossaryterms-export'!C:C,0),
IF(AND(NOT(ISBLANK(INDEX('glossaryterms-export'!H:H,_xlpm.rowNum))),ISBLANK(INDEX('glossaryterms-export'!I:I,_xlpm.rowNum))),"Ready to Fix",""))</f>
        <v/>
      </c>
    </row>
    <row r="3709" spans="6:6">
      <c r="F3709" s="1" t="str" cm="1">
        <f t="array" ref="F3709">_xlfn.LET(_xlpm.rowNum,MATCH(E3709,'glossaryterms-export'!C:C,0),
IF(AND(NOT(ISBLANK(INDEX('glossaryterms-export'!H:H,_xlpm.rowNum))),ISBLANK(INDEX('glossaryterms-export'!I:I,_xlpm.rowNum))),"Ready to Fix",""))</f>
        <v/>
      </c>
    </row>
    <row r="3710" spans="6:6">
      <c r="F3710" s="1" t="str" cm="1">
        <f t="array" ref="F3710">_xlfn.LET(_xlpm.rowNum,MATCH(E3710,'glossaryterms-export'!C:C,0),
IF(AND(NOT(ISBLANK(INDEX('glossaryterms-export'!H:H,_xlpm.rowNum))),ISBLANK(INDEX('glossaryterms-export'!I:I,_xlpm.rowNum))),"Ready to Fix",""))</f>
        <v/>
      </c>
    </row>
    <row r="3711" spans="6:6">
      <c r="F3711" s="1" t="str" cm="1">
        <f t="array" ref="F3711">_xlfn.LET(_xlpm.rowNum,MATCH(E3711,'glossaryterms-export'!C:C,0),
IF(AND(NOT(ISBLANK(INDEX('glossaryterms-export'!H:H,_xlpm.rowNum))),ISBLANK(INDEX('glossaryterms-export'!I:I,_xlpm.rowNum))),"Ready to Fix",""))</f>
        <v/>
      </c>
    </row>
    <row r="3712" spans="6:6">
      <c r="F3712" s="1" t="str" cm="1">
        <f t="array" ref="F3712">_xlfn.LET(_xlpm.rowNum,MATCH(E3712,'glossaryterms-export'!C:C,0),
IF(AND(NOT(ISBLANK(INDEX('glossaryterms-export'!H:H,_xlpm.rowNum))),ISBLANK(INDEX('glossaryterms-export'!I:I,_xlpm.rowNum))),"Ready to Fix",""))</f>
        <v/>
      </c>
    </row>
    <row r="3713" spans="6:6">
      <c r="F3713" s="1" t="str" cm="1">
        <f t="array" ref="F3713">_xlfn.LET(_xlpm.rowNum,MATCH(E3713,'glossaryterms-export'!C:C,0),
IF(AND(NOT(ISBLANK(INDEX('glossaryterms-export'!H:H,_xlpm.rowNum))),ISBLANK(INDEX('glossaryterms-export'!I:I,_xlpm.rowNum))),"Ready to Fix",""))</f>
        <v/>
      </c>
    </row>
    <row r="3714" spans="6:6">
      <c r="F3714" s="1" t="str" cm="1">
        <f t="array" ref="F3714">_xlfn.LET(_xlpm.rowNum,MATCH(E3714,'glossaryterms-export'!C:C,0),
IF(AND(NOT(ISBLANK(INDEX('glossaryterms-export'!H:H,_xlpm.rowNum))),ISBLANK(INDEX('glossaryterms-export'!I:I,_xlpm.rowNum))),"Ready to Fix",""))</f>
        <v/>
      </c>
    </row>
    <row r="3715" spans="6:6">
      <c r="F3715" s="1" t="str" cm="1">
        <f t="array" ref="F3715">_xlfn.LET(_xlpm.rowNum,MATCH(E3715,'glossaryterms-export'!C:C,0),
IF(AND(NOT(ISBLANK(INDEX('glossaryterms-export'!H:H,_xlpm.rowNum))),ISBLANK(INDEX('glossaryterms-export'!I:I,_xlpm.rowNum))),"Ready to Fix",""))</f>
        <v/>
      </c>
    </row>
    <row r="3716" spans="6:6">
      <c r="F3716" s="1" t="str" cm="1">
        <f t="array" ref="F3716">_xlfn.LET(_xlpm.rowNum,MATCH(E3716,'glossaryterms-export'!C:C,0),
IF(AND(NOT(ISBLANK(INDEX('glossaryterms-export'!H:H,_xlpm.rowNum))),ISBLANK(INDEX('glossaryterms-export'!I:I,_xlpm.rowNum))),"Ready to Fix",""))</f>
        <v/>
      </c>
    </row>
    <row r="3717" spans="6:6">
      <c r="F3717" s="1" t="str" cm="1">
        <f t="array" ref="F3717">_xlfn.LET(_xlpm.rowNum,MATCH(E3717,'glossaryterms-export'!C:C,0),
IF(AND(NOT(ISBLANK(INDEX('glossaryterms-export'!H:H,_xlpm.rowNum))),ISBLANK(INDEX('glossaryterms-export'!I:I,_xlpm.rowNum))),"Ready to Fix",""))</f>
        <v/>
      </c>
    </row>
    <row r="3718" spans="6:6">
      <c r="F3718" s="1" t="str" cm="1">
        <f t="array" ref="F3718">_xlfn.LET(_xlpm.rowNum,MATCH(E3718,'glossaryterms-export'!C:C,0),
IF(AND(NOT(ISBLANK(INDEX('glossaryterms-export'!H:H,_xlpm.rowNum))),ISBLANK(INDEX('glossaryterms-export'!I:I,_xlpm.rowNum))),"Ready to Fix",""))</f>
        <v/>
      </c>
    </row>
    <row r="3719" spans="6:6">
      <c r="F3719" s="1" t="str" cm="1">
        <f t="array" ref="F3719">_xlfn.LET(_xlpm.rowNum,MATCH(E3719,'glossaryterms-export'!C:C,0),
IF(AND(NOT(ISBLANK(INDEX('glossaryterms-export'!H:H,_xlpm.rowNum))),ISBLANK(INDEX('glossaryterms-export'!I:I,_xlpm.rowNum))),"Ready to Fix",""))</f>
        <v/>
      </c>
    </row>
    <row r="3720" spans="6:6">
      <c r="F3720" s="1" t="str" cm="1">
        <f t="array" ref="F3720">_xlfn.LET(_xlpm.rowNum,MATCH(E3720,'glossaryterms-export'!C:C,0),
IF(AND(NOT(ISBLANK(INDEX('glossaryterms-export'!H:H,_xlpm.rowNum))),ISBLANK(INDEX('glossaryterms-export'!I:I,_xlpm.rowNum))),"Ready to Fix",""))</f>
        <v/>
      </c>
    </row>
    <row r="3721" spans="6:6">
      <c r="F3721" s="1" t="str" cm="1">
        <f t="array" ref="F3721">_xlfn.LET(_xlpm.rowNum,MATCH(E3721,'glossaryterms-export'!C:C,0),
IF(AND(NOT(ISBLANK(INDEX('glossaryterms-export'!H:H,_xlpm.rowNum))),ISBLANK(INDEX('glossaryterms-export'!I:I,_xlpm.rowNum))),"Ready to Fix",""))</f>
        <v/>
      </c>
    </row>
    <row r="3722" spans="6:6">
      <c r="F3722" s="1" t="str" cm="1">
        <f t="array" ref="F3722">_xlfn.LET(_xlpm.rowNum,MATCH(E3722,'glossaryterms-export'!C:C,0),
IF(AND(NOT(ISBLANK(INDEX('glossaryterms-export'!H:H,_xlpm.rowNum))),ISBLANK(INDEX('glossaryterms-export'!I:I,_xlpm.rowNum))),"Ready to Fix",""))</f>
        <v/>
      </c>
    </row>
    <row r="3723" spans="6:6">
      <c r="F3723" s="1" t="str" cm="1">
        <f t="array" ref="F3723">_xlfn.LET(_xlpm.rowNum,MATCH(E3723,'glossaryterms-export'!C:C,0),
IF(AND(NOT(ISBLANK(INDEX('glossaryterms-export'!H:H,_xlpm.rowNum))),ISBLANK(INDEX('glossaryterms-export'!I:I,_xlpm.rowNum))),"Ready to Fix",""))</f>
        <v/>
      </c>
    </row>
    <row r="3724" spans="6:6">
      <c r="F3724" s="1" t="str" cm="1">
        <f t="array" ref="F3724">_xlfn.LET(_xlpm.rowNum,MATCH(E3724,'glossaryterms-export'!C:C,0),
IF(AND(NOT(ISBLANK(INDEX('glossaryterms-export'!H:H,_xlpm.rowNum))),ISBLANK(INDEX('glossaryterms-export'!I:I,_xlpm.rowNum))),"Ready to Fix",""))</f>
        <v/>
      </c>
    </row>
    <row r="3725" spans="6:6">
      <c r="F3725" s="1" t="str" cm="1">
        <f t="array" ref="F3725">_xlfn.LET(_xlpm.rowNum,MATCH(E3725,'glossaryterms-export'!C:C,0),
IF(AND(NOT(ISBLANK(INDEX('glossaryterms-export'!H:H,_xlpm.rowNum))),ISBLANK(INDEX('glossaryterms-export'!I:I,_xlpm.rowNum))),"Ready to Fix",""))</f>
        <v/>
      </c>
    </row>
    <row r="3726" spans="6:6">
      <c r="F3726" s="1" t="str" cm="1">
        <f t="array" ref="F3726">_xlfn.LET(_xlpm.rowNum,MATCH(E3726,'glossaryterms-export'!C:C,0),
IF(AND(NOT(ISBLANK(INDEX('glossaryterms-export'!H:H,_xlpm.rowNum))),ISBLANK(INDEX('glossaryterms-export'!I:I,_xlpm.rowNum))),"Ready to Fix",""))</f>
        <v/>
      </c>
    </row>
    <row r="3727" spans="6:6">
      <c r="F3727" s="1" t="str" cm="1">
        <f t="array" ref="F3727">_xlfn.LET(_xlpm.rowNum,MATCH(E3727,'glossaryterms-export'!C:C,0),
IF(AND(NOT(ISBLANK(INDEX('glossaryterms-export'!H:H,_xlpm.rowNum))),ISBLANK(INDEX('glossaryterms-export'!I:I,_xlpm.rowNum))),"Ready to Fix",""))</f>
        <v/>
      </c>
    </row>
    <row r="3728" spans="6:6">
      <c r="F3728" s="1" t="str" cm="1">
        <f t="array" ref="F3728">_xlfn.LET(_xlpm.rowNum,MATCH(E3728,'glossaryterms-export'!C:C,0),
IF(AND(NOT(ISBLANK(INDEX('glossaryterms-export'!H:H,_xlpm.rowNum))),ISBLANK(INDEX('glossaryterms-export'!I:I,_xlpm.rowNum))),"Ready to Fix",""))</f>
        <v/>
      </c>
    </row>
    <row r="3729" spans="6:6">
      <c r="F3729" s="1" t="str" cm="1">
        <f t="array" ref="F3729">_xlfn.LET(_xlpm.rowNum,MATCH(E3729,'glossaryterms-export'!C:C,0),
IF(AND(NOT(ISBLANK(INDEX('glossaryterms-export'!H:H,_xlpm.rowNum))),ISBLANK(INDEX('glossaryterms-export'!I:I,_xlpm.rowNum))),"Ready to Fix",""))</f>
        <v/>
      </c>
    </row>
    <row r="3730" spans="6:6">
      <c r="F3730" s="1" t="str" cm="1">
        <f t="array" ref="F3730">_xlfn.LET(_xlpm.rowNum,MATCH(E3730,'glossaryterms-export'!C:C,0),
IF(AND(NOT(ISBLANK(INDEX('glossaryterms-export'!H:H,_xlpm.rowNum))),ISBLANK(INDEX('glossaryterms-export'!I:I,_xlpm.rowNum))),"Ready to Fix",""))</f>
        <v/>
      </c>
    </row>
    <row r="3731" spans="6:6">
      <c r="F3731" s="1" t="str" cm="1">
        <f t="array" ref="F3731">_xlfn.LET(_xlpm.rowNum,MATCH(E3731,'glossaryterms-export'!C:C,0),
IF(AND(NOT(ISBLANK(INDEX('glossaryterms-export'!H:H,_xlpm.rowNum))),ISBLANK(INDEX('glossaryterms-export'!I:I,_xlpm.rowNum))),"Ready to Fix",""))</f>
        <v/>
      </c>
    </row>
    <row r="3732" spans="6:6">
      <c r="F3732" s="1" t="str" cm="1">
        <f t="array" ref="F3732">_xlfn.LET(_xlpm.rowNum,MATCH(E3732,'glossaryterms-export'!C:C,0),
IF(AND(NOT(ISBLANK(INDEX('glossaryterms-export'!H:H,_xlpm.rowNum))),ISBLANK(INDEX('glossaryterms-export'!I:I,_xlpm.rowNum))),"Ready to Fix",""))</f>
        <v/>
      </c>
    </row>
    <row r="3733" spans="6:6">
      <c r="F3733" s="1" t="str" cm="1">
        <f t="array" ref="F3733">_xlfn.LET(_xlpm.rowNum,MATCH(E3733,'glossaryterms-export'!C:C,0),
IF(AND(NOT(ISBLANK(INDEX('glossaryterms-export'!H:H,_xlpm.rowNum))),ISBLANK(INDEX('glossaryterms-export'!I:I,_xlpm.rowNum))),"Ready to Fix",""))</f>
        <v/>
      </c>
    </row>
    <row r="3734" spans="6:6">
      <c r="F3734" s="1" t="str" cm="1">
        <f t="array" ref="F3734">_xlfn.LET(_xlpm.rowNum,MATCH(E3734,'glossaryterms-export'!C:C,0),
IF(AND(NOT(ISBLANK(INDEX('glossaryterms-export'!H:H,_xlpm.rowNum))),ISBLANK(INDEX('glossaryterms-export'!I:I,_xlpm.rowNum))),"Ready to Fix",""))</f>
        <v/>
      </c>
    </row>
    <row r="3735" spans="6:6">
      <c r="F3735" s="1" t="str" cm="1">
        <f t="array" ref="F3735">_xlfn.LET(_xlpm.rowNum,MATCH(E3735,'glossaryterms-export'!C:C,0),
IF(AND(NOT(ISBLANK(INDEX('glossaryterms-export'!H:H,_xlpm.rowNum))),ISBLANK(INDEX('glossaryterms-export'!I:I,_xlpm.rowNum))),"Ready to Fix",""))</f>
        <v/>
      </c>
    </row>
    <row r="3736" spans="6:6">
      <c r="F3736" s="1" t="str" cm="1">
        <f t="array" ref="F3736">_xlfn.LET(_xlpm.rowNum,MATCH(E3736,'glossaryterms-export'!C:C,0),
IF(AND(NOT(ISBLANK(INDEX('glossaryterms-export'!H:H,_xlpm.rowNum))),ISBLANK(INDEX('glossaryterms-export'!I:I,_xlpm.rowNum))),"Ready to Fix",""))</f>
        <v/>
      </c>
    </row>
    <row r="3737" spans="6:6">
      <c r="F3737" s="1" t="str" cm="1">
        <f t="array" ref="F3737">_xlfn.LET(_xlpm.rowNum,MATCH(E3737,'glossaryterms-export'!C:C,0),
IF(AND(NOT(ISBLANK(INDEX('glossaryterms-export'!H:H,_xlpm.rowNum))),ISBLANK(INDEX('glossaryterms-export'!I:I,_xlpm.rowNum))),"Ready to Fix",""))</f>
        <v/>
      </c>
    </row>
    <row r="3738" spans="6:6">
      <c r="F3738" s="1" t="str" cm="1">
        <f t="array" ref="F3738">_xlfn.LET(_xlpm.rowNum,MATCH(E3738,'glossaryterms-export'!C:C,0),
IF(AND(NOT(ISBLANK(INDEX('glossaryterms-export'!H:H,_xlpm.rowNum))),ISBLANK(INDEX('glossaryterms-export'!I:I,_xlpm.rowNum))),"Ready to Fix",""))</f>
        <v/>
      </c>
    </row>
    <row r="3739" spans="6:6">
      <c r="F3739" s="1" t="str" cm="1">
        <f t="array" ref="F3739">_xlfn.LET(_xlpm.rowNum,MATCH(E3739,'glossaryterms-export'!C:C,0),
IF(AND(NOT(ISBLANK(INDEX('glossaryterms-export'!H:H,_xlpm.rowNum))),ISBLANK(INDEX('glossaryterms-export'!I:I,_xlpm.rowNum))),"Ready to Fix",""))</f>
        <v/>
      </c>
    </row>
    <row r="3740" spans="6:6">
      <c r="F3740" s="1" t="str" cm="1">
        <f t="array" ref="F3740">_xlfn.LET(_xlpm.rowNum,MATCH(E3740,'glossaryterms-export'!C:C,0),
IF(AND(NOT(ISBLANK(INDEX('glossaryterms-export'!H:H,_xlpm.rowNum))),ISBLANK(INDEX('glossaryterms-export'!I:I,_xlpm.rowNum))),"Ready to Fix",""))</f>
        <v/>
      </c>
    </row>
    <row r="3741" spans="6:6">
      <c r="F3741" s="1" t="str" cm="1">
        <f t="array" ref="F3741">_xlfn.LET(_xlpm.rowNum,MATCH(E3741,'glossaryterms-export'!C:C,0),
IF(AND(NOT(ISBLANK(INDEX('glossaryterms-export'!H:H,_xlpm.rowNum))),ISBLANK(INDEX('glossaryterms-export'!I:I,_xlpm.rowNum))),"Ready to Fix",""))</f>
        <v/>
      </c>
    </row>
    <row r="3742" spans="6:6">
      <c r="F3742" s="1" t="str" cm="1">
        <f t="array" ref="F3742">_xlfn.LET(_xlpm.rowNum,MATCH(E3742,'glossaryterms-export'!C:C,0),
IF(AND(NOT(ISBLANK(INDEX('glossaryterms-export'!H:H,_xlpm.rowNum))),ISBLANK(INDEX('glossaryterms-export'!I:I,_xlpm.rowNum))),"Ready to Fix",""))</f>
        <v/>
      </c>
    </row>
    <row r="3743" spans="6:6">
      <c r="F3743" s="1" t="str" cm="1">
        <f t="array" ref="F3743">_xlfn.LET(_xlpm.rowNum,MATCH(E3743,'glossaryterms-export'!C:C,0),
IF(AND(NOT(ISBLANK(INDEX('glossaryterms-export'!H:H,_xlpm.rowNum))),ISBLANK(INDEX('glossaryterms-export'!I:I,_xlpm.rowNum))),"Ready to Fix",""))</f>
        <v/>
      </c>
    </row>
    <row r="3744" spans="6:6">
      <c r="F3744" s="1" t="str" cm="1">
        <f t="array" ref="F3744">_xlfn.LET(_xlpm.rowNum,MATCH(E3744,'glossaryterms-export'!C:C,0),
IF(AND(NOT(ISBLANK(INDEX('glossaryterms-export'!H:H,_xlpm.rowNum))),ISBLANK(INDEX('glossaryterms-export'!I:I,_xlpm.rowNum))),"Ready to Fix",""))</f>
        <v/>
      </c>
    </row>
    <row r="3745" spans="6:6">
      <c r="F3745" s="1" t="str" cm="1">
        <f t="array" ref="F3745">_xlfn.LET(_xlpm.rowNum,MATCH(E3745,'glossaryterms-export'!C:C,0),
IF(AND(NOT(ISBLANK(INDEX('glossaryterms-export'!H:H,_xlpm.rowNum))),ISBLANK(INDEX('glossaryterms-export'!I:I,_xlpm.rowNum))),"Ready to Fix",""))</f>
        <v/>
      </c>
    </row>
    <row r="3746" spans="6:6">
      <c r="F3746" s="1" t="str" cm="1">
        <f t="array" ref="F3746">_xlfn.LET(_xlpm.rowNum,MATCH(E3746,'glossaryterms-export'!C:C,0),
IF(AND(NOT(ISBLANK(INDEX('glossaryterms-export'!H:H,_xlpm.rowNum))),ISBLANK(INDEX('glossaryterms-export'!I:I,_xlpm.rowNum))),"Ready to Fix",""))</f>
        <v/>
      </c>
    </row>
    <row r="3747" spans="6:6">
      <c r="F3747" s="1" t="str" cm="1">
        <f t="array" ref="F3747">_xlfn.LET(_xlpm.rowNum,MATCH(E3747,'glossaryterms-export'!C:C,0),
IF(AND(NOT(ISBLANK(INDEX('glossaryterms-export'!H:H,_xlpm.rowNum))),ISBLANK(INDEX('glossaryterms-export'!I:I,_xlpm.rowNum))),"Ready to Fix",""))</f>
        <v/>
      </c>
    </row>
    <row r="3748" spans="6:6">
      <c r="F3748" s="1" t="str" cm="1">
        <f t="array" ref="F3748">_xlfn.LET(_xlpm.rowNum,MATCH(E3748,'glossaryterms-export'!C:C,0),
IF(AND(NOT(ISBLANK(INDEX('glossaryterms-export'!H:H,_xlpm.rowNum))),ISBLANK(INDEX('glossaryterms-export'!I:I,_xlpm.rowNum))),"Ready to Fix",""))</f>
        <v/>
      </c>
    </row>
    <row r="3749" spans="6:6">
      <c r="F3749" s="1" t="str" cm="1">
        <f t="array" ref="F3749">_xlfn.LET(_xlpm.rowNum,MATCH(E3749,'glossaryterms-export'!C:C,0),
IF(AND(NOT(ISBLANK(INDEX('glossaryterms-export'!H:H,_xlpm.rowNum))),ISBLANK(INDEX('glossaryterms-export'!I:I,_xlpm.rowNum))),"Ready to Fix",""))</f>
        <v/>
      </c>
    </row>
    <row r="3750" spans="6:6">
      <c r="F3750" s="1" t="str" cm="1">
        <f t="array" ref="F3750">_xlfn.LET(_xlpm.rowNum,MATCH(E3750,'glossaryterms-export'!C:C,0),
IF(AND(NOT(ISBLANK(INDEX('glossaryterms-export'!H:H,_xlpm.rowNum))),ISBLANK(INDEX('glossaryterms-export'!I:I,_xlpm.rowNum))),"Ready to Fix",""))</f>
        <v/>
      </c>
    </row>
    <row r="3751" spans="6:6">
      <c r="F3751" s="1" t="str" cm="1">
        <f t="array" ref="F3751">_xlfn.LET(_xlpm.rowNum,MATCH(E3751,'glossaryterms-export'!C:C,0),
IF(AND(NOT(ISBLANK(INDEX('glossaryterms-export'!H:H,_xlpm.rowNum))),ISBLANK(INDEX('glossaryterms-export'!I:I,_xlpm.rowNum))),"Ready to Fix",""))</f>
        <v/>
      </c>
    </row>
    <row r="3752" spans="6:6">
      <c r="F3752" s="1" t="str" cm="1">
        <f t="array" ref="F3752">_xlfn.LET(_xlpm.rowNum,MATCH(E3752,'glossaryterms-export'!C:C,0),
IF(AND(NOT(ISBLANK(INDEX('glossaryterms-export'!H:H,_xlpm.rowNum))),ISBLANK(INDEX('glossaryterms-export'!I:I,_xlpm.rowNum))),"Ready to Fix",""))</f>
        <v/>
      </c>
    </row>
    <row r="3753" spans="6:6">
      <c r="F3753" s="1" t="str" cm="1">
        <f t="array" ref="F3753">_xlfn.LET(_xlpm.rowNum,MATCH(E3753,'glossaryterms-export'!C:C,0),
IF(AND(NOT(ISBLANK(INDEX('glossaryterms-export'!H:H,_xlpm.rowNum))),ISBLANK(INDEX('glossaryterms-export'!I:I,_xlpm.rowNum))),"Ready to Fix",""))</f>
        <v/>
      </c>
    </row>
    <row r="3754" spans="6:6">
      <c r="F3754" s="1" t="str" cm="1">
        <f t="array" ref="F3754">_xlfn.LET(_xlpm.rowNum,MATCH(E3754,'glossaryterms-export'!C:C,0),
IF(AND(NOT(ISBLANK(INDEX('glossaryterms-export'!H:H,_xlpm.rowNum))),ISBLANK(INDEX('glossaryterms-export'!I:I,_xlpm.rowNum))),"Ready to Fix",""))</f>
        <v/>
      </c>
    </row>
    <row r="3755" spans="6:6">
      <c r="F3755" s="1" t="str" cm="1">
        <f t="array" ref="F3755">_xlfn.LET(_xlpm.rowNum,MATCH(E3755,'glossaryterms-export'!C:C,0),
IF(AND(NOT(ISBLANK(INDEX('glossaryterms-export'!H:H,_xlpm.rowNum))),ISBLANK(INDEX('glossaryterms-export'!I:I,_xlpm.rowNum))),"Ready to Fix",""))</f>
        <v/>
      </c>
    </row>
    <row r="3756" spans="6:6">
      <c r="F3756" s="1" t="str" cm="1">
        <f t="array" ref="F3756">_xlfn.LET(_xlpm.rowNum,MATCH(E3756,'glossaryterms-export'!C:C,0),
IF(AND(NOT(ISBLANK(INDEX('glossaryterms-export'!H:H,_xlpm.rowNum))),ISBLANK(INDEX('glossaryterms-export'!I:I,_xlpm.rowNum))),"Ready to Fix",""))</f>
        <v/>
      </c>
    </row>
    <row r="3757" spans="6:6">
      <c r="F3757" s="1" t="str" cm="1">
        <f t="array" ref="F3757">_xlfn.LET(_xlpm.rowNum,MATCH(E3757,'glossaryterms-export'!C:C,0),
IF(AND(NOT(ISBLANK(INDEX('glossaryterms-export'!H:H,_xlpm.rowNum))),ISBLANK(INDEX('glossaryterms-export'!I:I,_xlpm.rowNum))),"Ready to Fix",""))</f>
        <v/>
      </c>
    </row>
    <row r="3758" spans="6:6">
      <c r="F3758" s="1" t="str" cm="1">
        <f t="array" ref="F3758">_xlfn.LET(_xlpm.rowNum,MATCH(E3758,'glossaryterms-export'!C:C,0),
IF(AND(NOT(ISBLANK(INDEX('glossaryterms-export'!H:H,_xlpm.rowNum))),ISBLANK(INDEX('glossaryterms-export'!I:I,_xlpm.rowNum))),"Ready to Fix",""))</f>
        <v/>
      </c>
    </row>
    <row r="3759" spans="6:6">
      <c r="F3759" s="1" t="str" cm="1">
        <f t="array" ref="F3759">_xlfn.LET(_xlpm.rowNum,MATCH(E3759,'glossaryterms-export'!C:C,0),
IF(AND(NOT(ISBLANK(INDEX('glossaryterms-export'!H:H,_xlpm.rowNum))),ISBLANK(INDEX('glossaryterms-export'!I:I,_xlpm.rowNum))),"Ready to Fix",""))</f>
        <v/>
      </c>
    </row>
    <row r="3760" spans="6:6">
      <c r="F3760" s="1" t="str" cm="1">
        <f t="array" ref="F3760">_xlfn.LET(_xlpm.rowNum,MATCH(E3760,'glossaryterms-export'!C:C,0),
IF(AND(NOT(ISBLANK(INDEX('glossaryterms-export'!H:H,_xlpm.rowNum))),ISBLANK(INDEX('glossaryterms-export'!I:I,_xlpm.rowNum))),"Ready to Fix",""))</f>
        <v/>
      </c>
    </row>
    <row r="3761" spans="6:6">
      <c r="F3761" s="1" t="str" cm="1">
        <f t="array" ref="F3761">_xlfn.LET(_xlpm.rowNum,MATCH(E3761,'glossaryterms-export'!C:C,0),
IF(AND(NOT(ISBLANK(INDEX('glossaryterms-export'!H:H,_xlpm.rowNum))),ISBLANK(INDEX('glossaryterms-export'!I:I,_xlpm.rowNum))),"Ready to Fix",""))</f>
        <v/>
      </c>
    </row>
    <row r="3762" spans="6:6">
      <c r="F3762" s="1" t="str" cm="1">
        <f t="array" ref="F3762">_xlfn.LET(_xlpm.rowNum,MATCH(E3762,'glossaryterms-export'!C:C,0),
IF(AND(NOT(ISBLANK(INDEX('glossaryterms-export'!H:H,_xlpm.rowNum))),ISBLANK(INDEX('glossaryterms-export'!I:I,_xlpm.rowNum))),"Ready to Fix",""))</f>
        <v/>
      </c>
    </row>
    <row r="3763" spans="6:6">
      <c r="F3763" s="1" t="str" cm="1">
        <f t="array" ref="F3763">_xlfn.LET(_xlpm.rowNum,MATCH(E3763,'glossaryterms-export'!C:C,0),
IF(AND(NOT(ISBLANK(INDEX('glossaryterms-export'!H:H,_xlpm.rowNum))),ISBLANK(INDEX('glossaryterms-export'!I:I,_xlpm.rowNum))),"Ready to Fix",""))</f>
        <v/>
      </c>
    </row>
    <row r="3764" spans="6:6">
      <c r="F3764" s="1" t="str" cm="1">
        <f t="array" ref="F3764">_xlfn.LET(_xlpm.rowNum,MATCH(E3764,'glossaryterms-export'!C:C,0),
IF(AND(NOT(ISBLANK(INDEX('glossaryterms-export'!H:H,_xlpm.rowNum))),ISBLANK(INDEX('glossaryterms-export'!I:I,_xlpm.rowNum))),"Ready to Fix",""))</f>
        <v/>
      </c>
    </row>
    <row r="3765" spans="6:6">
      <c r="F3765" s="1" t="str" cm="1">
        <f t="array" ref="F3765">_xlfn.LET(_xlpm.rowNum,MATCH(E3765,'glossaryterms-export'!C:C,0),
IF(AND(NOT(ISBLANK(INDEX('glossaryterms-export'!H:H,_xlpm.rowNum))),ISBLANK(INDEX('glossaryterms-export'!I:I,_xlpm.rowNum))),"Ready to Fix",""))</f>
        <v/>
      </c>
    </row>
    <row r="3766" spans="6:6">
      <c r="F3766" s="1" t="str" cm="1">
        <f t="array" ref="F3766">_xlfn.LET(_xlpm.rowNum,MATCH(E3766,'glossaryterms-export'!C:C,0),
IF(AND(NOT(ISBLANK(INDEX('glossaryterms-export'!H:H,_xlpm.rowNum))),ISBLANK(INDEX('glossaryterms-export'!I:I,_xlpm.rowNum))),"Ready to Fix",""))</f>
        <v/>
      </c>
    </row>
    <row r="3767" spans="6:6">
      <c r="F3767" s="1" t="str" cm="1">
        <f t="array" ref="F3767">_xlfn.LET(_xlpm.rowNum,MATCH(E3767,'glossaryterms-export'!C:C,0),
IF(AND(NOT(ISBLANK(INDEX('glossaryterms-export'!H:H,_xlpm.rowNum))),ISBLANK(INDEX('glossaryterms-export'!I:I,_xlpm.rowNum))),"Ready to Fix",""))</f>
        <v/>
      </c>
    </row>
    <row r="3768" spans="6:6">
      <c r="F3768" s="1" t="str" cm="1">
        <f t="array" ref="F3768">_xlfn.LET(_xlpm.rowNum,MATCH(E3768,'glossaryterms-export'!C:C,0),
IF(AND(NOT(ISBLANK(INDEX('glossaryterms-export'!H:H,_xlpm.rowNum))),ISBLANK(INDEX('glossaryterms-export'!I:I,_xlpm.rowNum))),"Ready to Fix",""))</f>
        <v/>
      </c>
    </row>
    <row r="3769" spans="6:6">
      <c r="F3769" s="1" t="str" cm="1">
        <f t="array" ref="F3769">_xlfn.LET(_xlpm.rowNum,MATCH(E3769,'glossaryterms-export'!C:C,0),
IF(AND(NOT(ISBLANK(INDEX('glossaryterms-export'!H:H,_xlpm.rowNum))),ISBLANK(INDEX('glossaryterms-export'!I:I,_xlpm.rowNum))),"Ready to Fix",""))</f>
        <v/>
      </c>
    </row>
    <row r="3770" spans="6:6">
      <c r="F3770" s="1" t="str" cm="1">
        <f t="array" ref="F3770">_xlfn.LET(_xlpm.rowNum,MATCH(E3770,'glossaryterms-export'!C:C,0),
IF(AND(NOT(ISBLANK(INDEX('glossaryterms-export'!H:H,_xlpm.rowNum))),ISBLANK(INDEX('glossaryterms-export'!I:I,_xlpm.rowNum))),"Ready to Fix",""))</f>
        <v/>
      </c>
    </row>
    <row r="3771" spans="6:6">
      <c r="F3771" s="1" t="str" cm="1">
        <f t="array" ref="F3771">_xlfn.LET(_xlpm.rowNum,MATCH(E3771,'glossaryterms-export'!C:C,0),
IF(AND(NOT(ISBLANK(INDEX('glossaryterms-export'!H:H,_xlpm.rowNum))),ISBLANK(INDEX('glossaryterms-export'!I:I,_xlpm.rowNum))),"Ready to Fix",""))</f>
        <v/>
      </c>
    </row>
    <row r="3772" spans="6:6">
      <c r="F3772" s="1" t="str" cm="1">
        <f t="array" ref="F3772">_xlfn.LET(_xlpm.rowNum,MATCH(E3772,'glossaryterms-export'!C:C,0),
IF(AND(NOT(ISBLANK(INDEX('glossaryterms-export'!H:H,_xlpm.rowNum))),ISBLANK(INDEX('glossaryterms-export'!I:I,_xlpm.rowNum))),"Ready to Fix",""))</f>
        <v/>
      </c>
    </row>
    <row r="3773" spans="6:6">
      <c r="F3773" s="1" t="str" cm="1">
        <f t="array" ref="F3773">_xlfn.LET(_xlpm.rowNum,MATCH(E3773,'glossaryterms-export'!C:C,0),
IF(AND(NOT(ISBLANK(INDEX('glossaryterms-export'!H:H,_xlpm.rowNum))),ISBLANK(INDEX('glossaryterms-export'!I:I,_xlpm.rowNum))),"Ready to Fix",""))</f>
        <v/>
      </c>
    </row>
    <row r="3774" spans="6:6">
      <c r="F3774" s="1" t="str" cm="1">
        <f t="array" ref="F3774">_xlfn.LET(_xlpm.rowNum,MATCH(E3774,'glossaryterms-export'!C:C,0),
IF(AND(NOT(ISBLANK(INDEX('glossaryterms-export'!H:H,_xlpm.rowNum))),ISBLANK(INDEX('glossaryterms-export'!I:I,_xlpm.rowNum))),"Ready to Fix",""))</f>
        <v/>
      </c>
    </row>
    <row r="3775" spans="6:6">
      <c r="F3775" s="1" t="str" cm="1">
        <f t="array" ref="F3775">_xlfn.LET(_xlpm.rowNum,MATCH(E3775,'glossaryterms-export'!C:C,0),
IF(AND(NOT(ISBLANK(INDEX('glossaryterms-export'!H:H,_xlpm.rowNum))),ISBLANK(INDEX('glossaryterms-export'!I:I,_xlpm.rowNum))),"Ready to Fix",""))</f>
        <v/>
      </c>
    </row>
    <row r="3776" spans="6:6">
      <c r="F3776" s="1" t="str" cm="1">
        <f t="array" ref="F3776">_xlfn.LET(_xlpm.rowNum,MATCH(E3776,'glossaryterms-export'!C:C,0),
IF(AND(NOT(ISBLANK(INDEX('glossaryterms-export'!H:H,_xlpm.rowNum))),ISBLANK(INDEX('glossaryterms-export'!I:I,_xlpm.rowNum))),"Ready to Fix",""))</f>
        <v/>
      </c>
    </row>
    <row r="3777" spans="6:6">
      <c r="F3777" s="1" t="str" cm="1">
        <f t="array" ref="F3777">_xlfn.LET(_xlpm.rowNum,MATCH(E3777,'glossaryterms-export'!C:C,0),
IF(AND(NOT(ISBLANK(INDEX('glossaryterms-export'!H:H,_xlpm.rowNum))),ISBLANK(INDEX('glossaryterms-export'!I:I,_xlpm.rowNum))),"Ready to Fix",""))</f>
        <v/>
      </c>
    </row>
    <row r="3778" spans="6:6">
      <c r="F3778" s="1" t="str" cm="1">
        <f t="array" ref="F3778">_xlfn.LET(_xlpm.rowNum,MATCH(E3778,'glossaryterms-export'!C:C,0),
IF(AND(NOT(ISBLANK(INDEX('glossaryterms-export'!H:H,_xlpm.rowNum))),ISBLANK(INDEX('glossaryterms-export'!I:I,_xlpm.rowNum))),"Ready to Fix",""))</f>
        <v/>
      </c>
    </row>
    <row r="3779" spans="6:6">
      <c r="F3779" s="1" t="str" cm="1">
        <f t="array" ref="F3779">_xlfn.LET(_xlpm.rowNum,MATCH(E3779,'glossaryterms-export'!C:C,0),
IF(AND(NOT(ISBLANK(INDEX('glossaryterms-export'!H:H,_xlpm.rowNum))),ISBLANK(INDEX('glossaryterms-export'!I:I,_xlpm.rowNum))),"Ready to Fix",""))</f>
        <v/>
      </c>
    </row>
    <row r="3780" spans="6:6">
      <c r="F3780" s="1" t="str" cm="1">
        <f t="array" ref="F3780">_xlfn.LET(_xlpm.rowNum,MATCH(E3780,'glossaryterms-export'!C:C,0),
IF(AND(NOT(ISBLANK(INDEX('glossaryterms-export'!H:H,_xlpm.rowNum))),ISBLANK(INDEX('glossaryterms-export'!I:I,_xlpm.rowNum))),"Ready to Fix",""))</f>
        <v/>
      </c>
    </row>
    <row r="3781" spans="6:6">
      <c r="F3781" s="1" t="str" cm="1">
        <f t="array" ref="F3781">_xlfn.LET(_xlpm.rowNum,MATCH(E3781,'glossaryterms-export'!C:C,0),
IF(AND(NOT(ISBLANK(INDEX('glossaryterms-export'!H:H,_xlpm.rowNum))),ISBLANK(INDEX('glossaryterms-export'!I:I,_xlpm.rowNum))),"Ready to Fix",""))</f>
        <v/>
      </c>
    </row>
    <row r="3782" spans="6:6">
      <c r="F3782" s="1" t="str" cm="1">
        <f t="array" ref="F3782">_xlfn.LET(_xlpm.rowNum,MATCH(E3782,'glossaryterms-export'!C:C,0),
IF(AND(NOT(ISBLANK(INDEX('glossaryterms-export'!H:H,_xlpm.rowNum))),ISBLANK(INDEX('glossaryterms-export'!I:I,_xlpm.rowNum))),"Ready to Fix",""))</f>
        <v/>
      </c>
    </row>
    <row r="3783" spans="6:6">
      <c r="F3783" s="1" t="str" cm="1">
        <f t="array" ref="F3783">_xlfn.LET(_xlpm.rowNum,MATCH(E3783,'glossaryterms-export'!C:C,0),
IF(AND(NOT(ISBLANK(INDEX('glossaryterms-export'!H:H,_xlpm.rowNum))),ISBLANK(INDEX('glossaryterms-export'!I:I,_xlpm.rowNum))),"Ready to Fix",""))</f>
        <v/>
      </c>
    </row>
    <row r="3784" spans="6:6">
      <c r="F3784" s="1" t="str" cm="1">
        <f t="array" ref="F3784">_xlfn.LET(_xlpm.rowNum,MATCH(E3784,'glossaryterms-export'!C:C,0),
IF(AND(NOT(ISBLANK(INDEX('glossaryterms-export'!H:H,_xlpm.rowNum))),ISBLANK(INDEX('glossaryterms-export'!I:I,_xlpm.rowNum))),"Ready to Fix",""))</f>
        <v/>
      </c>
    </row>
    <row r="3785" spans="6:6">
      <c r="F3785" s="1" t="str" cm="1">
        <f t="array" ref="F3785">_xlfn.LET(_xlpm.rowNum,MATCH(E3785,'glossaryterms-export'!C:C,0),
IF(AND(NOT(ISBLANK(INDEX('glossaryterms-export'!H:H,_xlpm.rowNum))),ISBLANK(INDEX('glossaryterms-export'!I:I,_xlpm.rowNum))),"Ready to Fix",""))</f>
        <v/>
      </c>
    </row>
    <row r="3786" spans="6:6">
      <c r="F3786" s="1" t="str" cm="1">
        <f t="array" ref="F3786">_xlfn.LET(_xlpm.rowNum,MATCH(E3786,'glossaryterms-export'!C:C,0),
IF(AND(NOT(ISBLANK(INDEX('glossaryterms-export'!H:H,_xlpm.rowNum))),ISBLANK(INDEX('glossaryterms-export'!I:I,_xlpm.rowNum))),"Ready to Fix",""))</f>
        <v/>
      </c>
    </row>
    <row r="3787" spans="6:6">
      <c r="F3787" s="1" t="str" cm="1">
        <f t="array" ref="F3787">_xlfn.LET(_xlpm.rowNum,MATCH(E3787,'glossaryterms-export'!C:C,0),
IF(AND(NOT(ISBLANK(INDEX('glossaryterms-export'!H:H,_xlpm.rowNum))),ISBLANK(INDEX('glossaryterms-export'!I:I,_xlpm.rowNum))),"Ready to Fix",""))</f>
        <v/>
      </c>
    </row>
    <row r="3788" spans="6:6">
      <c r="F3788" s="1" t="str" cm="1">
        <f t="array" ref="F3788">_xlfn.LET(_xlpm.rowNum,MATCH(E3788,'glossaryterms-export'!C:C,0),
IF(AND(NOT(ISBLANK(INDEX('glossaryterms-export'!H:H,_xlpm.rowNum))),ISBLANK(INDEX('glossaryterms-export'!I:I,_xlpm.rowNum))),"Ready to Fix",""))</f>
        <v/>
      </c>
    </row>
    <row r="3789" spans="6:6">
      <c r="F3789" s="1" t="str" cm="1">
        <f t="array" ref="F3789">_xlfn.LET(_xlpm.rowNum,MATCH(E3789,'glossaryterms-export'!C:C,0),
IF(AND(NOT(ISBLANK(INDEX('glossaryterms-export'!H:H,_xlpm.rowNum))),ISBLANK(INDEX('glossaryterms-export'!I:I,_xlpm.rowNum))),"Ready to Fix",""))</f>
        <v/>
      </c>
    </row>
    <row r="3790" spans="6:6">
      <c r="F3790" s="1" t="str" cm="1">
        <f t="array" ref="F3790">_xlfn.LET(_xlpm.rowNum,MATCH(E3790,'glossaryterms-export'!C:C,0),
IF(AND(NOT(ISBLANK(INDEX('glossaryterms-export'!H:H,_xlpm.rowNum))),ISBLANK(INDEX('glossaryterms-export'!I:I,_xlpm.rowNum))),"Ready to Fix",""))</f>
        <v/>
      </c>
    </row>
    <row r="3791" spans="6:6">
      <c r="F3791" s="1" t="str" cm="1">
        <f t="array" ref="F3791">_xlfn.LET(_xlpm.rowNum,MATCH(E3791,'glossaryterms-export'!C:C,0),
IF(AND(NOT(ISBLANK(INDEX('glossaryterms-export'!H:H,_xlpm.rowNum))),ISBLANK(INDEX('glossaryterms-export'!I:I,_xlpm.rowNum))),"Ready to Fix",""))</f>
        <v/>
      </c>
    </row>
    <row r="3792" spans="6:6">
      <c r="F3792" s="1" t="str" cm="1">
        <f t="array" ref="F3792">_xlfn.LET(_xlpm.rowNum,MATCH(E3792,'glossaryterms-export'!C:C,0),
IF(AND(NOT(ISBLANK(INDEX('glossaryterms-export'!H:H,_xlpm.rowNum))),ISBLANK(INDEX('glossaryterms-export'!I:I,_xlpm.rowNum))),"Ready to Fix",""))</f>
        <v/>
      </c>
    </row>
    <row r="3793" spans="6:6">
      <c r="F3793" s="1" t="str" cm="1">
        <f t="array" ref="F3793">_xlfn.LET(_xlpm.rowNum,MATCH(E3793,'glossaryterms-export'!C:C,0),
IF(AND(NOT(ISBLANK(INDEX('glossaryterms-export'!H:H,_xlpm.rowNum))),ISBLANK(INDEX('glossaryterms-export'!I:I,_xlpm.rowNum))),"Ready to Fix",""))</f>
        <v/>
      </c>
    </row>
    <row r="3794" spans="6:6">
      <c r="F3794" s="1" t="str" cm="1">
        <f t="array" ref="F3794">_xlfn.LET(_xlpm.rowNum,MATCH(E3794,'glossaryterms-export'!C:C,0),
IF(AND(NOT(ISBLANK(INDEX('glossaryterms-export'!H:H,_xlpm.rowNum))),ISBLANK(INDEX('glossaryterms-export'!I:I,_xlpm.rowNum))),"Ready to Fix",""))</f>
        <v/>
      </c>
    </row>
    <row r="3795" spans="6:6">
      <c r="F3795" s="1" t="str" cm="1">
        <f t="array" ref="F3795">_xlfn.LET(_xlpm.rowNum,MATCH(E3795,'glossaryterms-export'!C:C,0),
IF(AND(NOT(ISBLANK(INDEX('glossaryterms-export'!H:H,_xlpm.rowNum))),ISBLANK(INDEX('glossaryterms-export'!I:I,_xlpm.rowNum))),"Ready to Fix",""))</f>
        <v/>
      </c>
    </row>
    <row r="3796" spans="6:6">
      <c r="F3796" s="1" t="str" cm="1">
        <f t="array" ref="F3796">_xlfn.LET(_xlpm.rowNum,MATCH(E3796,'glossaryterms-export'!C:C,0),
IF(AND(NOT(ISBLANK(INDEX('glossaryterms-export'!H:H,_xlpm.rowNum))),ISBLANK(INDEX('glossaryterms-export'!I:I,_xlpm.rowNum))),"Ready to Fix",""))</f>
        <v/>
      </c>
    </row>
    <row r="3797" spans="6:6">
      <c r="F3797" s="1" t="str" cm="1">
        <f t="array" ref="F3797">_xlfn.LET(_xlpm.rowNum,MATCH(E3797,'glossaryterms-export'!C:C,0),
IF(AND(NOT(ISBLANK(INDEX('glossaryterms-export'!H:H,_xlpm.rowNum))),ISBLANK(INDEX('glossaryterms-export'!I:I,_xlpm.rowNum))),"Ready to Fix",""))</f>
        <v/>
      </c>
    </row>
    <row r="3798" spans="6:6">
      <c r="F3798" s="1" t="str" cm="1">
        <f t="array" ref="F3798">_xlfn.LET(_xlpm.rowNum,MATCH(E3798,'glossaryterms-export'!C:C,0),
IF(AND(NOT(ISBLANK(INDEX('glossaryterms-export'!H:H,_xlpm.rowNum))),ISBLANK(INDEX('glossaryterms-export'!I:I,_xlpm.rowNum))),"Ready to Fix",""))</f>
        <v/>
      </c>
    </row>
    <row r="3799" spans="6:6">
      <c r="F3799" s="1" t="str" cm="1">
        <f t="array" ref="F3799">_xlfn.LET(_xlpm.rowNum,MATCH(E3799,'glossaryterms-export'!C:C,0),
IF(AND(NOT(ISBLANK(INDEX('glossaryterms-export'!H:H,_xlpm.rowNum))),ISBLANK(INDEX('glossaryterms-export'!I:I,_xlpm.rowNum))),"Ready to Fix",""))</f>
        <v/>
      </c>
    </row>
    <row r="3800" spans="6:6">
      <c r="F3800" s="1" t="str" cm="1">
        <f t="array" ref="F3800">_xlfn.LET(_xlpm.rowNum,MATCH(E3800,'glossaryterms-export'!C:C,0),
IF(AND(NOT(ISBLANK(INDEX('glossaryterms-export'!H:H,_xlpm.rowNum))),ISBLANK(INDEX('glossaryterms-export'!I:I,_xlpm.rowNum))),"Ready to Fix",""))</f>
        <v/>
      </c>
    </row>
    <row r="3801" spans="6:6">
      <c r="F3801" s="1" t="str" cm="1">
        <f t="array" ref="F3801">_xlfn.LET(_xlpm.rowNum,MATCH(E3801,'glossaryterms-export'!C:C,0),
IF(AND(NOT(ISBLANK(INDEX('glossaryterms-export'!H:H,_xlpm.rowNum))),ISBLANK(INDEX('glossaryterms-export'!I:I,_xlpm.rowNum))),"Ready to Fix",""))</f>
        <v/>
      </c>
    </row>
    <row r="3802" spans="6:6">
      <c r="F3802" s="1" t="str" cm="1">
        <f t="array" ref="F3802">_xlfn.LET(_xlpm.rowNum,MATCH(E3802,'glossaryterms-export'!C:C,0),
IF(AND(NOT(ISBLANK(INDEX('glossaryterms-export'!H:H,_xlpm.rowNum))),ISBLANK(INDEX('glossaryterms-export'!I:I,_xlpm.rowNum))),"Ready to Fix",""))</f>
        <v/>
      </c>
    </row>
    <row r="3803" spans="6:6">
      <c r="F3803" s="1" t="str" cm="1">
        <f t="array" ref="F3803">_xlfn.LET(_xlpm.rowNum,MATCH(E3803,'glossaryterms-export'!C:C,0),
IF(AND(NOT(ISBLANK(INDEX('glossaryterms-export'!H:H,_xlpm.rowNum))),ISBLANK(INDEX('glossaryterms-export'!I:I,_xlpm.rowNum))),"Ready to Fix",""))</f>
        <v/>
      </c>
    </row>
    <row r="3804" spans="6:6">
      <c r="F3804" s="1" t="str" cm="1">
        <f t="array" ref="F3804">_xlfn.LET(_xlpm.rowNum,MATCH(E3804,'glossaryterms-export'!C:C,0),
IF(AND(NOT(ISBLANK(INDEX('glossaryterms-export'!H:H,_xlpm.rowNum))),ISBLANK(INDEX('glossaryterms-export'!I:I,_xlpm.rowNum))),"Ready to Fix",""))</f>
        <v/>
      </c>
    </row>
    <row r="3805" spans="6:6">
      <c r="F3805" s="1" t="str" cm="1">
        <f t="array" ref="F3805">_xlfn.LET(_xlpm.rowNum,MATCH(E3805,'glossaryterms-export'!C:C,0),
IF(AND(NOT(ISBLANK(INDEX('glossaryterms-export'!H:H,_xlpm.rowNum))),ISBLANK(INDEX('glossaryterms-export'!I:I,_xlpm.rowNum))),"Ready to Fix",""))</f>
        <v/>
      </c>
    </row>
    <row r="3806" spans="6:6">
      <c r="F3806" s="1" t="str" cm="1">
        <f t="array" ref="F3806">_xlfn.LET(_xlpm.rowNum,MATCH(E3806,'glossaryterms-export'!C:C,0),
IF(AND(NOT(ISBLANK(INDEX('glossaryterms-export'!H:H,_xlpm.rowNum))),ISBLANK(INDEX('glossaryterms-export'!I:I,_xlpm.rowNum))),"Ready to Fix",""))</f>
        <v/>
      </c>
    </row>
    <row r="3807" spans="6:6">
      <c r="F3807" s="1" t="str" cm="1">
        <f t="array" ref="F3807">_xlfn.LET(_xlpm.rowNum,MATCH(E3807,'glossaryterms-export'!C:C,0),
IF(AND(NOT(ISBLANK(INDEX('glossaryterms-export'!H:H,_xlpm.rowNum))),ISBLANK(INDEX('glossaryterms-export'!I:I,_xlpm.rowNum))),"Ready to Fix",""))</f>
        <v/>
      </c>
    </row>
    <row r="3808" spans="6:6">
      <c r="F3808" s="1" t="str" cm="1">
        <f t="array" ref="F3808">_xlfn.LET(_xlpm.rowNum,MATCH(E3808,'glossaryterms-export'!C:C,0),
IF(AND(NOT(ISBLANK(INDEX('glossaryterms-export'!H:H,_xlpm.rowNum))),ISBLANK(INDEX('glossaryterms-export'!I:I,_xlpm.rowNum))),"Ready to Fix",""))</f>
        <v/>
      </c>
    </row>
    <row r="3809" spans="6:6">
      <c r="F3809" s="1" t="str" cm="1">
        <f t="array" ref="F3809">_xlfn.LET(_xlpm.rowNum,MATCH(E3809,'glossaryterms-export'!C:C,0),
IF(AND(NOT(ISBLANK(INDEX('glossaryterms-export'!H:H,_xlpm.rowNum))),ISBLANK(INDEX('glossaryterms-export'!I:I,_xlpm.rowNum))),"Ready to Fix",""))</f>
        <v/>
      </c>
    </row>
    <row r="3810" spans="6:6">
      <c r="F3810" s="1" t="str" cm="1">
        <f t="array" ref="F3810">_xlfn.LET(_xlpm.rowNum,MATCH(E3810,'glossaryterms-export'!C:C,0),
IF(AND(NOT(ISBLANK(INDEX('glossaryterms-export'!H:H,_xlpm.rowNum))),ISBLANK(INDEX('glossaryterms-export'!I:I,_xlpm.rowNum))),"Ready to Fix",""))</f>
        <v/>
      </c>
    </row>
    <row r="3811" spans="6:6">
      <c r="F3811" s="1" t="str" cm="1">
        <f t="array" ref="F3811">_xlfn.LET(_xlpm.rowNum,MATCH(E3811,'glossaryterms-export'!C:C,0),
IF(AND(NOT(ISBLANK(INDEX('glossaryterms-export'!H:H,_xlpm.rowNum))),ISBLANK(INDEX('glossaryterms-export'!I:I,_xlpm.rowNum))),"Ready to Fix",""))</f>
        <v/>
      </c>
    </row>
    <row r="3812" spans="6:6">
      <c r="F3812" s="1" t="str" cm="1">
        <f t="array" ref="F3812">_xlfn.LET(_xlpm.rowNum,MATCH(E3812,'glossaryterms-export'!C:C,0),
IF(AND(NOT(ISBLANK(INDEX('glossaryterms-export'!H:H,_xlpm.rowNum))),ISBLANK(INDEX('glossaryterms-export'!I:I,_xlpm.rowNum))),"Ready to Fix",""))</f>
        <v/>
      </c>
    </row>
    <row r="3813" spans="6:6">
      <c r="F3813" s="1" t="str" cm="1">
        <f t="array" ref="F3813">_xlfn.LET(_xlpm.rowNum,MATCH(E3813,'glossaryterms-export'!C:C,0),
IF(AND(NOT(ISBLANK(INDEX('glossaryterms-export'!H:H,_xlpm.rowNum))),ISBLANK(INDEX('glossaryterms-export'!I:I,_xlpm.rowNum))),"Ready to Fix",""))</f>
        <v/>
      </c>
    </row>
    <row r="3814" spans="6:6">
      <c r="F3814" s="1" t="str" cm="1">
        <f t="array" ref="F3814">_xlfn.LET(_xlpm.rowNum,MATCH(E3814,'glossaryterms-export'!C:C,0),
IF(AND(NOT(ISBLANK(INDEX('glossaryterms-export'!H:H,_xlpm.rowNum))),ISBLANK(INDEX('glossaryterms-export'!I:I,_xlpm.rowNum))),"Ready to Fix",""))</f>
        <v/>
      </c>
    </row>
    <row r="3815" spans="6:6">
      <c r="F3815" s="1" t="str" cm="1">
        <f t="array" ref="F3815">_xlfn.LET(_xlpm.rowNum,MATCH(E3815,'glossaryterms-export'!C:C,0),
IF(AND(NOT(ISBLANK(INDEX('glossaryterms-export'!H:H,_xlpm.rowNum))),ISBLANK(INDEX('glossaryterms-export'!I:I,_xlpm.rowNum))),"Ready to Fix",""))</f>
        <v/>
      </c>
    </row>
    <row r="3816" spans="6:6">
      <c r="F3816" s="1" t="str" cm="1">
        <f t="array" ref="F3816">_xlfn.LET(_xlpm.rowNum,MATCH(E3816,'glossaryterms-export'!C:C,0),
IF(AND(NOT(ISBLANK(INDEX('glossaryterms-export'!H:H,_xlpm.rowNum))),ISBLANK(INDEX('glossaryterms-export'!I:I,_xlpm.rowNum))),"Ready to Fix",""))</f>
        <v/>
      </c>
    </row>
    <row r="3817" spans="6:6">
      <c r="F3817" s="1" t="str" cm="1">
        <f t="array" ref="F3817">_xlfn.LET(_xlpm.rowNum,MATCH(E3817,'glossaryterms-export'!C:C,0),
IF(AND(NOT(ISBLANK(INDEX('glossaryterms-export'!H:H,_xlpm.rowNum))),ISBLANK(INDEX('glossaryterms-export'!I:I,_xlpm.rowNum))),"Ready to Fix",""))</f>
        <v/>
      </c>
    </row>
    <row r="3818" spans="6:6">
      <c r="F3818" s="1" t="str" cm="1">
        <f t="array" ref="F3818">_xlfn.LET(_xlpm.rowNum,MATCH(E3818,'glossaryterms-export'!C:C,0),
IF(AND(NOT(ISBLANK(INDEX('glossaryterms-export'!H:H,_xlpm.rowNum))),ISBLANK(INDEX('glossaryterms-export'!I:I,_xlpm.rowNum))),"Ready to Fix",""))</f>
        <v/>
      </c>
    </row>
    <row r="3819" spans="6:6">
      <c r="F3819" s="1" t="str" cm="1">
        <f t="array" ref="F3819">_xlfn.LET(_xlpm.rowNum,MATCH(E3819,'glossaryterms-export'!C:C,0),
IF(AND(NOT(ISBLANK(INDEX('glossaryterms-export'!H:H,_xlpm.rowNum))),ISBLANK(INDEX('glossaryterms-export'!I:I,_xlpm.rowNum))),"Ready to Fix",""))</f>
        <v/>
      </c>
    </row>
    <row r="3820" spans="6:6">
      <c r="F3820" s="1" t="str" cm="1">
        <f t="array" ref="F3820">_xlfn.LET(_xlpm.rowNum,MATCH(E3820,'glossaryterms-export'!C:C,0),
IF(AND(NOT(ISBLANK(INDEX('glossaryterms-export'!H:H,_xlpm.rowNum))),ISBLANK(INDEX('glossaryterms-export'!I:I,_xlpm.rowNum))),"Ready to Fix",""))</f>
        <v/>
      </c>
    </row>
    <row r="3821" spans="6:6">
      <c r="F3821" s="1" t="str" cm="1">
        <f t="array" ref="F3821">_xlfn.LET(_xlpm.rowNum,MATCH(E3821,'glossaryterms-export'!C:C,0),
IF(AND(NOT(ISBLANK(INDEX('glossaryterms-export'!H:H,_xlpm.rowNum))),ISBLANK(INDEX('glossaryterms-export'!I:I,_xlpm.rowNum))),"Ready to Fix",""))</f>
        <v/>
      </c>
    </row>
    <row r="3822" spans="6:6">
      <c r="F3822" s="1" t="str" cm="1">
        <f t="array" ref="F3822">_xlfn.LET(_xlpm.rowNum,MATCH(E3822,'glossaryterms-export'!C:C,0),
IF(AND(NOT(ISBLANK(INDEX('glossaryterms-export'!H:H,_xlpm.rowNum))),ISBLANK(INDEX('glossaryterms-export'!I:I,_xlpm.rowNum))),"Ready to Fix",""))</f>
        <v/>
      </c>
    </row>
    <row r="3823" spans="6:6">
      <c r="F3823" s="1" t="str" cm="1">
        <f t="array" ref="F3823">_xlfn.LET(_xlpm.rowNum,MATCH(E3823,'glossaryterms-export'!C:C,0),
IF(AND(NOT(ISBLANK(INDEX('glossaryterms-export'!H:H,_xlpm.rowNum))),ISBLANK(INDEX('glossaryterms-export'!I:I,_xlpm.rowNum))),"Ready to Fix",""))</f>
        <v/>
      </c>
    </row>
    <row r="3824" spans="6:6">
      <c r="F3824" s="1" t="str" cm="1">
        <f t="array" ref="F3824">_xlfn.LET(_xlpm.rowNum,MATCH(E3824,'glossaryterms-export'!C:C,0),
IF(AND(NOT(ISBLANK(INDEX('glossaryterms-export'!H:H,_xlpm.rowNum))),ISBLANK(INDEX('glossaryterms-export'!I:I,_xlpm.rowNum))),"Ready to Fix",""))</f>
        <v/>
      </c>
    </row>
    <row r="3825" spans="6:6">
      <c r="F3825" s="1" t="str" cm="1">
        <f t="array" ref="F3825">_xlfn.LET(_xlpm.rowNum,MATCH(E3825,'glossaryterms-export'!C:C,0),
IF(AND(NOT(ISBLANK(INDEX('glossaryterms-export'!H:H,_xlpm.rowNum))),ISBLANK(INDEX('glossaryterms-export'!I:I,_xlpm.rowNum))),"Ready to Fix",""))</f>
        <v/>
      </c>
    </row>
    <row r="3826" spans="6:6">
      <c r="F3826" s="1" t="str" cm="1">
        <f t="array" ref="F3826">_xlfn.LET(_xlpm.rowNum,MATCH(E3826,'glossaryterms-export'!C:C,0),
IF(AND(NOT(ISBLANK(INDEX('glossaryterms-export'!H:H,_xlpm.rowNum))),ISBLANK(INDEX('glossaryterms-export'!I:I,_xlpm.rowNum))),"Ready to Fix",""))</f>
        <v/>
      </c>
    </row>
    <row r="3827" spans="6:6">
      <c r="F3827" s="1" t="str" cm="1">
        <f t="array" ref="F3827">_xlfn.LET(_xlpm.rowNum,MATCH(E3827,'glossaryterms-export'!C:C,0),
IF(AND(NOT(ISBLANK(INDEX('glossaryterms-export'!H:H,_xlpm.rowNum))),ISBLANK(INDEX('glossaryterms-export'!I:I,_xlpm.rowNum))),"Ready to Fix",""))</f>
        <v/>
      </c>
    </row>
    <row r="3828" spans="6:6">
      <c r="F3828" s="1" t="str" cm="1">
        <f t="array" ref="F3828">_xlfn.LET(_xlpm.rowNum,MATCH(E3828,'glossaryterms-export'!C:C,0),
IF(AND(NOT(ISBLANK(INDEX('glossaryterms-export'!H:H,_xlpm.rowNum))),ISBLANK(INDEX('glossaryterms-export'!I:I,_xlpm.rowNum))),"Ready to Fix",""))</f>
        <v/>
      </c>
    </row>
    <row r="3829" spans="6:6">
      <c r="F3829" s="1" t="str" cm="1">
        <f t="array" ref="F3829">_xlfn.LET(_xlpm.rowNum,MATCH(E3829,'glossaryterms-export'!C:C,0),
IF(AND(NOT(ISBLANK(INDEX('glossaryterms-export'!H:H,_xlpm.rowNum))),ISBLANK(INDEX('glossaryterms-export'!I:I,_xlpm.rowNum))),"Ready to Fix",""))</f>
        <v/>
      </c>
    </row>
    <row r="3830" spans="6:6">
      <c r="F3830" s="1" t="str" cm="1">
        <f t="array" ref="F3830">_xlfn.LET(_xlpm.rowNum,MATCH(E3830,'glossaryterms-export'!C:C,0),
IF(AND(NOT(ISBLANK(INDEX('glossaryterms-export'!H:H,_xlpm.rowNum))),ISBLANK(INDEX('glossaryterms-export'!I:I,_xlpm.rowNum))),"Ready to Fix",""))</f>
        <v/>
      </c>
    </row>
    <row r="3831" spans="6:6">
      <c r="F3831" s="1" t="str" cm="1">
        <f t="array" ref="F3831">_xlfn.LET(_xlpm.rowNum,MATCH(E3831,'glossaryterms-export'!C:C,0),
IF(AND(NOT(ISBLANK(INDEX('glossaryterms-export'!H:H,_xlpm.rowNum))),ISBLANK(INDEX('glossaryterms-export'!I:I,_xlpm.rowNum))),"Ready to Fix",""))</f>
        <v/>
      </c>
    </row>
    <row r="3832" spans="6:6">
      <c r="F3832" s="1" t="str" cm="1">
        <f t="array" ref="F3832">_xlfn.LET(_xlpm.rowNum,MATCH(E3832,'glossaryterms-export'!C:C,0),
IF(AND(NOT(ISBLANK(INDEX('glossaryterms-export'!H:H,_xlpm.rowNum))),ISBLANK(INDEX('glossaryterms-export'!I:I,_xlpm.rowNum))),"Ready to Fix",""))</f>
        <v/>
      </c>
    </row>
    <row r="3833" spans="6:6">
      <c r="F3833" s="1" t="str" cm="1">
        <f t="array" ref="F3833">_xlfn.LET(_xlpm.rowNum,MATCH(E3833,'glossaryterms-export'!C:C,0),
IF(AND(NOT(ISBLANK(INDEX('glossaryterms-export'!H:H,_xlpm.rowNum))),ISBLANK(INDEX('glossaryterms-export'!I:I,_xlpm.rowNum))),"Ready to Fix",""))</f>
        <v/>
      </c>
    </row>
    <row r="3834" spans="6:6">
      <c r="F3834" s="1" t="str" cm="1">
        <f t="array" ref="F3834">_xlfn.LET(_xlpm.rowNum,MATCH(E3834,'glossaryterms-export'!C:C,0),
IF(AND(NOT(ISBLANK(INDEX('glossaryterms-export'!H:H,_xlpm.rowNum))),ISBLANK(INDEX('glossaryterms-export'!I:I,_xlpm.rowNum))),"Ready to Fix",""))</f>
        <v/>
      </c>
    </row>
    <row r="3835" spans="6:6">
      <c r="F3835" s="1" t="str" cm="1">
        <f t="array" ref="F3835">_xlfn.LET(_xlpm.rowNum,MATCH(E3835,'glossaryterms-export'!C:C,0),
IF(AND(NOT(ISBLANK(INDEX('glossaryterms-export'!H:H,_xlpm.rowNum))),ISBLANK(INDEX('glossaryterms-export'!I:I,_xlpm.rowNum))),"Ready to Fix",""))</f>
        <v/>
      </c>
    </row>
    <row r="3836" spans="6:6">
      <c r="F3836" s="1" t="str" cm="1">
        <f t="array" ref="F3836">_xlfn.LET(_xlpm.rowNum,MATCH(E3836,'glossaryterms-export'!C:C,0),
IF(AND(NOT(ISBLANK(INDEX('glossaryterms-export'!H:H,_xlpm.rowNum))),ISBLANK(INDEX('glossaryterms-export'!I:I,_xlpm.rowNum))),"Ready to Fix",""))</f>
        <v/>
      </c>
    </row>
    <row r="3837" spans="6:6">
      <c r="F3837" s="1" t="str" cm="1">
        <f t="array" ref="F3837">_xlfn.LET(_xlpm.rowNum,MATCH(E3837,'glossaryterms-export'!C:C,0),
IF(AND(NOT(ISBLANK(INDEX('glossaryterms-export'!H:H,_xlpm.rowNum))),ISBLANK(INDEX('glossaryterms-export'!I:I,_xlpm.rowNum))),"Ready to Fix",""))</f>
        <v/>
      </c>
    </row>
    <row r="3838" spans="6:6">
      <c r="F3838" s="1" t="str" cm="1">
        <f t="array" ref="F3838">_xlfn.LET(_xlpm.rowNum,MATCH(E3838,'glossaryterms-export'!C:C,0),
IF(AND(NOT(ISBLANK(INDEX('glossaryterms-export'!H:H,_xlpm.rowNum))),ISBLANK(INDEX('glossaryterms-export'!I:I,_xlpm.rowNum))),"Ready to Fix",""))</f>
        <v/>
      </c>
    </row>
    <row r="3839" spans="6:6">
      <c r="F3839" s="1" t="str" cm="1">
        <f t="array" ref="F3839">_xlfn.LET(_xlpm.rowNum,MATCH(E3839,'glossaryterms-export'!C:C,0),
IF(AND(NOT(ISBLANK(INDEX('glossaryterms-export'!H:H,_xlpm.rowNum))),ISBLANK(INDEX('glossaryterms-export'!I:I,_xlpm.rowNum))),"Ready to Fix",""))</f>
        <v/>
      </c>
    </row>
    <row r="3840" spans="6:6">
      <c r="F3840" s="1" t="str" cm="1">
        <f t="array" ref="F3840">_xlfn.LET(_xlpm.rowNum,MATCH(E3840,'glossaryterms-export'!C:C,0),
IF(AND(NOT(ISBLANK(INDEX('glossaryterms-export'!H:H,_xlpm.rowNum))),ISBLANK(INDEX('glossaryterms-export'!I:I,_xlpm.rowNum))),"Ready to Fix",""))</f>
        <v/>
      </c>
    </row>
    <row r="3841" spans="6:6">
      <c r="F3841" s="1" t="str" cm="1">
        <f t="array" ref="F3841">_xlfn.LET(_xlpm.rowNum,MATCH(E3841,'glossaryterms-export'!C:C,0),
IF(AND(NOT(ISBLANK(INDEX('glossaryterms-export'!H:H,_xlpm.rowNum))),ISBLANK(INDEX('glossaryterms-export'!I:I,_xlpm.rowNum))),"Ready to Fix",""))</f>
        <v/>
      </c>
    </row>
    <row r="3842" spans="6:6">
      <c r="F3842" s="1" t="str" cm="1">
        <f t="array" ref="F3842">_xlfn.LET(_xlpm.rowNum,MATCH(E3842,'glossaryterms-export'!C:C,0),
IF(AND(NOT(ISBLANK(INDEX('glossaryterms-export'!H:H,_xlpm.rowNum))),ISBLANK(INDEX('glossaryterms-export'!I:I,_xlpm.rowNum))),"Ready to Fix",""))</f>
        <v/>
      </c>
    </row>
    <row r="3843" spans="6:6">
      <c r="F3843" s="1" t="str" cm="1">
        <f t="array" ref="F3843">_xlfn.LET(_xlpm.rowNum,MATCH(E3843,'glossaryterms-export'!C:C,0),
IF(AND(NOT(ISBLANK(INDEX('glossaryterms-export'!H:H,_xlpm.rowNum))),ISBLANK(INDEX('glossaryterms-export'!I:I,_xlpm.rowNum))),"Ready to Fix",""))</f>
        <v/>
      </c>
    </row>
    <row r="3844" spans="6:6">
      <c r="F3844" s="1" t="str" cm="1">
        <f t="array" ref="F3844">_xlfn.LET(_xlpm.rowNum,MATCH(E3844,'glossaryterms-export'!C:C,0),
IF(AND(NOT(ISBLANK(INDEX('glossaryterms-export'!H:H,_xlpm.rowNum))),ISBLANK(INDEX('glossaryterms-export'!I:I,_xlpm.rowNum))),"Ready to Fix",""))</f>
        <v/>
      </c>
    </row>
    <row r="3845" spans="6:6">
      <c r="F3845" s="1" t="str" cm="1">
        <f t="array" ref="F3845">_xlfn.LET(_xlpm.rowNum,MATCH(E3845,'glossaryterms-export'!C:C,0),
IF(AND(NOT(ISBLANK(INDEX('glossaryterms-export'!H:H,_xlpm.rowNum))),ISBLANK(INDEX('glossaryterms-export'!I:I,_xlpm.rowNum))),"Ready to Fix",""))</f>
        <v/>
      </c>
    </row>
    <row r="3846" spans="6:6">
      <c r="F3846" s="1" t="str" cm="1">
        <f t="array" ref="F3846">_xlfn.LET(_xlpm.rowNum,MATCH(E3846,'glossaryterms-export'!C:C,0),
IF(AND(NOT(ISBLANK(INDEX('glossaryterms-export'!H:H,_xlpm.rowNum))),ISBLANK(INDEX('glossaryterms-export'!I:I,_xlpm.rowNum))),"Ready to Fix",""))</f>
        <v/>
      </c>
    </row>
    <row r="3847" spans="6:6">
      <c r="F3847" s="1" t="str" cm="1">
        <f t="array" ref="F3847">_xlfn.LET(_xlpm.rowNum,MATCH(E3847,'glossaryterms-export'!C:C,0),
IF(AND(NOT(ISBLANK(INDEX('glossaryterms-export'!H:H,_xlpm.rowNum))),ISBLANK(INDEX('glossaryterms-export'!I:I,_xlpm.rowNum))),"Ready to Fix",""))</f>
        <v/>
      </c>
    </row>
    <row r="3848" spans="6:6">
      <c r="F3848" s="1" t="str" cm="1">
        <f t="array" ref="F3848">_xlfn.LET(_xlpm.rowNum,MATCH(E3848,'glossaryterms-export'!C:C,0),
IF(AND(NOT(ISBLANK(INDEX('glossaryterms-export'!H:H,_xlpm.rowNum))),ISBLANK(INDEX('glossaryterms-export'!I:I,_xlpm.rowNum))),"Ready to Fix",""))</f>
        <v/>
      </c>
    </row>
    <row r="3849" spans="6:6">
      <c r="F3849" s="1" t="str" cm="1">
        <f t="array" ref="F3849">_xlfn.LET(_xlpm.rowNum,MATCH(E3849,'glossaryterms-export'!C:C,0),
IF(AND(NOT(ISBLANK(INDEX('glossaryterms-export'!H:H,_xlpm.rowNum))),ISBLANK(INDEX('glossaryterms-export'!I:I,_xlpm.rowNum))),"Ready to Fix",""))</f>
        <v/>
      </c>
    </row>
    <row r="3850" spans="6:6">
      <c r="F3850" s="1" t="str" cm="1">
        <f t="array" ref="F3850">_xlfn.LET(_xlpm.rowNum,MATCH(E3850,'glossaryterms-export'!C:C,0),
IF(AND(NOT(ISBLANK(INDEX('glossaryterms-export'!H:H,_xlpm.rowNum))),ISBLANK(INDEX('glossaryterms-export'!I:I,_xlpm.rowNum))),"Ready to Fix",""))</f>
        <v/>
      </c>
    </row>
    <row r="3851" spans="6:6">
      <c r="F3851" s="1" t="str" cm="1">
        <f t="array" ref="F3851">_xlfn.LET(_xlpm.rowNum,MATCH(E3851,'glossaryterms-export'!C:C,0),
IF(AND(NOT(ISBLANK(INDEX('glossaryterms-export'!H:H,_xlpm.rowNum))),ISBLANK(INDEX('glossaryterms-export'!I:I,_xlpm.rowNum))),"Ready to Fix",""))</f>
        <v/>
      </c>
    </row>
    <row r="3852" spans="6:6">
      <c r="F3852" s="1" t="str" cm="1">
        <f t="array" ref="F3852">_xlfn.LET(_xlpm.rowNum,MATCH(E3852,'glossaryterms-export'!C:C,0),
IF(AND(NOT(ISBLANK(INDEX('glossaryterms-export'!H:H,_xlpm.rowNum))),ISBLANK(INDEX('glossaryterms-export'!I:I,_xlpm.rowNum))),"Ready to Fix",""))</f>
        <v/>
      </c>
    </row>
    <row r="3853" spans="6:6">
      <c r="F3853" s="1" t="str" cm="1">
        <f t="array" ref="F3853">_xlfn.LET(_xlpm.rowNum,MATCH(E3853,'glossaryterms-export'!C:C,0),
IF(AND(NOT(ISBLANK(INDEX('glossaryterms-export'!H:H,_xlpm.rowNum))),ISBLANK(INDEX('glossaryterms-export'!I:I,_xlpm.rowNum))),"Ready to Fix",""))</f>
        <v/>
      </c>
    </row>
    <row r="3854" spans="6:6">
      <c r="F3854" s="1" t="str" cm="1">
        <f t="array" ref="F3854">_xlfn.LET(_xlpm.rowNum,MATCH(E3854,'glossaryterms-export'!C:C,0),
IF(AND(NOT(ISBLANK(INDEX('glossaryterms-export'!H:H,_xlpm.rowNum))),ISBLANK(INDEX('glossaryterms-export'!I:I,_xlpm.rowNum))),"Ready to Fix",""))</f>
        <v/>
      </c>
    </row>
    <row r="3855" spans="6:6">
      <c r="F3855" s="1" t="str" cm="1">
        <f t="array" ref="F3855">_xlfn.LET(_xlpm.rowNum,MATCH(E3855,'glossaryterms-export'!C:C,0),
IF(AND(NOT(ISBLANK(INDEX('glossaryterms-export'!H:H,_xlpm.rowNum))),ISBLANK(INDEX('glossaryterms-export'!I:I,_xlpm.rowNum))),"Ready to Fix",""))</f>
        <v/>
      </c>
    </row>
    <row r="3856" spans="6:6">
      <c r="F3856" s="1" t="str" cm="1">
        <f t="array" ref="F3856">_xlfn.LET(_xlpm.rowNum,MATCH(E3856,'glossaryterms-export'!C:C,0),
IF(AND(NOT(ISBLANK(INDEX('glossaryterms-export'!H:H,_xlpm.rowNum))),ISBLANK(INDEX('glossaryterms-export'!I:I,_xlpm.rowNum))),"Ready to Fix",""))</f>
        <v/>
      </c>
    </row>
    <row r="3857" spans="6:6">
      <c r="F3857" s="1" t="str" cm="1">
        <f t="array" ref="F3857">_xlfn.LET(_xlpm.rowNum,MATCH(E3857,'glossaryterms-export'!C:C,0),
IF(AND(NOT(ISBLANK(INDEX('glossaryterms-export'!H:H,_xlpm.rowNum))),ISBLANK(INDEX('glossaryterms-export'!I:I,_xlpm.rowNum))),"Ready to Fix",""))</f>
        <v/>
      </c>
    </row>
    <row r="3858" spans="6:6">
      <c r="F3858" s="1" t="str" cm="1">
        <f t="array" ref="F3858">_xlfn.LET(_xlpm.rowNum,MATCH(E3858,'glossaryterms-export'!C:C,0),
IF(AND(NOT(ISBLANK(INDEX('glossaryterms-export'!H:H,_xlpm.rowNum))),ISBLANK(INDEX('glossaryterms-export'!I:I,_xlpm.rowNum))),"Ready to Fix",""))</f>
        <v/>
      </c>
    </row>
    <row r="3859" spans="6:6">
      <c r="F3859" s="1" t="str" cm="1">
        <f t="array" ref="F3859">_xlfn.LET(_xlpm.rowNum,MATCH(E3859,'glossaryterms-export'!C:C,0),
IF(AND(NOT(ISBLANK(INDEX('glossaryterms-export'!H:H,_xlpm.rowNum))),ISBLANK(INDEX('glossaryterms-export'!I:I,_xlpm.rowNum))),"Ready to Fix",""))</f>
        <v/>
      </c>
    </row>
    <row r="3860" spans="6:6">
      <c r="F3860" s="1" t="str" cm="1">
        <f t="array" ref="F3860">_xlfn.LET(_xlpm.rowNum,MATCH(E3860,'glossaryterms-export'!C:C,0),
IF(AND(NOT(ISBLANK(INDEX('glossaryterms-export'!H:H,_xlpm.rowNum))),ISBLANK(INDEX('glossaryterms-export'!I:I,_xlpm.rowNum))),"Ready to Fix",""))</f>
        <v/>
      </c>
    </row>
    <row r="3861" spans="6:6">
      <c r="F3861" s="1" t="str" cm="1">
        <f t="array" ref="F3861">_xlfn.LET(_xlpm.rowNum,MATCH(E3861,'glossaryterms-export'!C:C,0),
IF(AND(NOT(ISBLANK(INDEX('glossaryterms-export'!H:H,_xlpm.rowNum))),ISBLANK(INDEX('glossaryterms-export'!I:I,_xlpm.rowNum))),"Ready to Fix",""))</f>
        <v/>
      </c>
    </row>
    <row r="3862" spans="6:6">
      <c r="F3862" s="1" t="str" cm="1">
        <f t="array" ref="F3862">_xlfn.LET(_xlpm.rowNum,MATCH(E3862,'glossaryterms-export'!C:C,0),
IF(AND(NOT(ISBLANK(INDEX('glossaryterms-export'!H:H,_xlpm.rowNum))),ISBLANK(INDEX('glossaryterms-export'!I:I,_xlpm.rowNum))),"Ready to Fix",""))</f>
        <v/>
      </c>
    </row>
    <row r="3863" spans="6:6">
      <c r="F3863" s="1" t="str" cm="1">
        <f t="array" ref="F3863">_xlfn.LET(_xlpm.rowNum,MATCH(E3863,'glossaryterms-export'!C:C,0),
IF(AND(NOT(ISBLANK(INDEX('glossaryterms-export'!H:H,_xlpm.rowNum))),ISBLANK(INDEX('glossaryterms-export'!I:I,_xlpm.rowNum))),"Ready to Fix",""))</f>
        <v/>
      </c>
    </row>
    <row r="3864" spans="6:6">
      <c r="F3864" s="1" t="str" cm="1">
        <f t="array" ref="F3864">_xlfn.LET(_xlpm.rowNum,MATCH(E3864,'glossaryterms-export'!C:C,0),
IF(AND(NOT(ISBLANK(INDEX('glossaryterms-export'!H:H,_xlpm.rowNum))),ISBLANK(INDEX('glossaryterms-export'!I:I,_xlpm.rowNum))),"Ready to Fix",""))</f>
        <v/>
      </c>
    </row>
    <row r="3865" spans="6:6">
      <c r="F3865" s="1" t="str" cm="1">
        <f t="array" ref="F3865">_xlfn.LET(_xlpm.rowNum,MATCH(E3865,'glossaryterms-export'!C:C,0),
IF(AND(NOT(ISBLANK(INDEX('glossaryterms-export'!H:H,_xlpm.rowNum))),ISBLANK(INDEX('glossaryterms-export'!I:I,_xlpm.rowNum))),"Ready to Fix",""))</f>
        <v/>
      </c>
    </row>
    <row r="3866" spans="6:6">
      <c r="F3866" s="1" t="str" cm="1">
        <f t="array" ref="F3866">_xlfn.LET(_xlpm.rowNum,MATCH(E3866,'glossaryterms-export'!C:C,0),
IF(AND(NOT(ISBLANK(INDEX('glossaryterms-export'!H:H,_xlpm.rowNum))),ISBLANK(INDEX('glossaryterms-export'!I:I,_xlpm.rowNum))),"Ready to Fix",""))</f>
        <v/>
      </c>
    </row>
    <row r="3867" spans="6:6">
      <c r="F3867" s="1" t="str" cm="1">
        <f t="array" ref="F3867">_xlfn.LET(_xlpm.rowNum,MATCH(E3867,'glossaryterms-export'!C:C,0),
IF(AND(NOT(ISBLANK(INDEX('glossaryterms-export'!H:H,_xlpm.rowNum))),ISBLANK(INDEX('glossaryterms-export'!I:I,_xlpm.rowNum))),"Ready to Fix",""))</f>
        <v/>
      </c>
    </row>
    <row r="3868" spans="6:6">
      <c r="F3868" s="1" t="str" cm="1">
        <f t="array" ref="F3868">_xlfn.LET(_xlpm.rowNum,MATCH(E3868,'glossaryterms-export'!C:C,0),
IF(AND(NOT(ISBLANK(INDEX('glossaryterms-export'!H:H,_xlpm.rowNum))),ISBLANK(INDEX('glossaryterms-export'!I:I,_xlpm.rowNum))),"Ready to Fix",""))</f>
        <v/>
      </c>
    </row>
    <row r="3869" spans="6:6">
      <c r="F3869" s="1" t="str" cm="1">
        <f t="array" ref="F3869">_xlfn.LET(_xlpm.rowNum,MATCH(E3869,'glossaryterms-export'!C:C,0),
IF(AND(NOT(ISBLANK(INDEX('glossaryterms-export'!H:H,_xlpm.rowNum))),ISBLANK(INDEX('glossaryterms-export'!I:I,_xlpm.rowNum))),"Ready to Fix",""))</f>
        <v/>
      </c>
    </row>
    <row r="3870" spans="6:6">
      <c r="F3870" s="1" t="str" cm="1">
        <f t="array" ref="F3870">_xlfn.LET(_xlpm.rowNum,MATCH(E3870,'glossaryterms-export'!C:C,0),
IF(AND(NOT(ISBLANK(INDEX('glossaryterms-export'!H:H,_xlpm.rowNum))),ISBLANK(INDEX('glossaryterms-export'!I:I,_xlpm.rowNum))),"Ready to Fix",""))</f>
        <v/>
      </c>
    </row>
    <row r="3871" spans="6:6">
      <c r="F3871" s="1" t="str" cm="1">
        <f t="array" ref="F3871">_xlfn.LET(_xlpm.rowNum,MATCH(E3871,'glossaryterms-export'!C:C,0),
IF(AND(NOT(ISBLANK(INDEX('glossaryterms-export'!H:H,_xlpm.rowNum))),ISBLANK(INDEX('glossaryterms-export'!I:I,_xlpm.rowNum))),"Ready to Fix",""))</f>
        <v/>
      </c>
    </row>
    <row r="3872" spans="6:6">
      <c r="F3872" s="1" t="str" cm="1">
        <f t="array" ref="F3872">_xlfn.LET(_xlpm.rowNum,MATCH(E3872,'glossaryterms-export'!C:C,0),
IF(AND(NOT(ISBLANK(INDEX('glossaryterms-export'!H:H,_xlpm.rowNum))),ISBLANK(INDEX('glossaryterms-export'!I:I,_xlpm.rowNum))),"Ready to Fix",""))</f>
        <v/>
      </c>
    </row>
    <row r="3873" spans="6:6">
      <c r="F3873" s="1" t="str" cm="1">
        <f t="array" ref="F3873">_xlfn.LET(_xlpm.rowNum,MATCH(E3873,'glossaryterms-export'!C:C,0),
IF(AND(NOT(ISBLANK(INDEX('glossaryterms-export'!H:H,_xlpm.rowNum))),ISBLANK(INDEX('glossaryterms-export'!I:I,_xlpm.rowNum))),"Ready to Fix",""))</f>
        <v/>
      </c>
    </row>
    <row r="3874" spans="6:6">
      <c r="F3874" s="1" t="str" cm="1">
        <f t="array" ref="F3874">_xlfn.LET(_xlpm.rowNum,MATCH(E3874,'glossaryterms-export'!C:C,0),
IF(AND(NOT(ISBLANK(INDEX('glossaryterms-export'!H:H,_xlpm.rowNum))),ISBLANK(INDEX('glossaryterms-export'!I:I,_xlpm.rowNum))),"Ready to Fix",""))</f>
        <v/>
      </c>
    </row>
    <row r="3875" spans="6:6">
      <c r="F3875" s="1" t="str" cm="1">
        <f t="array" ref="F3875">_xlfn.LET(_xlpm.rowNum,MATCH(E3875,'glossaryterms-export'!C:C,0),
IF(AND(NOT(ISBLANK(INDEX('glossaryterms-export'!H:H,_xlpm.rowNum))),ISBLANK(INDEX('glossaryterms-export'!I:I,_xlpm.rowNum))),"Ready to Fix",""))</f>
        <v/>
      </c>
    </row>
    <row r="3876" spans="6:6">
      <c r="F3876" s="1" t="str" cm="1">
        <f t="array" ref="F3876">_xlfn.LET(_xlpm.rowNum,MATCH(E3876,'glossaryterms-export'!C:C,0),
IF(AND(NOT(ISBLANK(INDEX('glossaryterms-export'!H:H,_xlpm.rowNum))),ISBLANK(INDEX('glossaryterms-export'!I:I,_xlpm.rowNum))),"Ready to Fix",""))</f>
        <v/>
      </c>
    </row>
    <row r="3877" spans="6:6">
      <c r="F3877" s="1" t="str" cm="1">
        <f t="array" ref="F3877">_xlfn.LET(_xlpm.rowNum,MATCH(E3877,'glossaryterms-export'!C:C,0),
IF(AND(NOT(ISBLANK(INDEX('glossaryterms-export'!H:H,_xlpm.rowNum))),ISBLANK(INDEX('glossaryterms-export'!I:I,_xlpm.rowNum))),"Ready to Fix",""))</f>
        <v/>
      </c>
    </row>
    <row r="3878" spans="6:6">
      <c r="F3878" s="1" t="str" cm="1">
        <f t="array" ref="F3878">_xlfn.LET(_xlpm.rowNum,MATCH(E3878,'glossaryterms-export'!C:C,0),
IF(AND(NOT(ISBLANK(INDEX('glossaryterms-export'!H:H,_xlpm.rowNum))),ISBLANK(INDEX('glossaryterms-export'!I:I,_xlpm.rowNum))),"Ready to Fix",""))</f>
        <v/>
      </c>
    </row>
    <row r="3879" spans="6:6">
      <c r="F3879" s="1" t="str" cm="1">
        <f t="array" ref="F3879">_xlfn.LET(_xlpm.rowNum,MATCH(E3879,'glossaryterms-export'!C:C,0),
IF(AND(NOT(ISBLANK(INDEX('glossaryterms-export'!H:H,_xlpm.rowNum))),ISBLANK(INDEX('glossaryterms-export'!I:I,_xlpm.rowNum))),"Ready to Fix",""))</f>
        <v/>
      </c>
    </row>
    <row r="3880" spans="6:6">
      <c r="F3880" s="1" t="str" cm="1">
        <f t="array" ref="F3880">_xlfn.LET(_xlpm.rowNum,MATCH(E3880,'glossaryterms-export'!C:C,0),
IF(AND(NOT(ISBLANK(INDEX('glossaryterms-export'!H:H,_xlpm.rowNum))),ISBLANK(INDEX('glossaryterms-export'!I:I,_xlpm.rowNum))),"Ready to Fix",""))</f>
        <v/>
      </c>
    </row>
    <row r="3881" spans="6:6">
      <c r="F3881" s="1" t="str" cm="1">
        <f t="array" ref="F3881">_xlfn.LET(_xlpm.rowNum,MATCH(E3881,'glossaryterms-export'!C:C,0),
IF(AND(NOT(ISBLANK(INDEX('glossaryterms-export'!H:H,_xlpm.rowNum))),ISBLANK(INDEX('glossaryterms-export'!I:I,_xlpm.rowNum))),"Ready to Fix",""))</f>
        <v/>
      </c>
    </row>
    <row r="3882" spans="6:6">
      <c r="F3882" s="1" t="str" cm="1">
        <f t="array" ref="F3882">_xlfn.LET(_xlpm.rowNum,MATCH(E3882,'glossaryterms-export'!C:C,0),
IF(AND(NOT(ISBLANK(INDEX('glossaryterms-export'!H:H,_xlpm.rowNum))),ISBLANK(INDEX('glossaryterms-export'!I:I,_xlpm.rowNum))),"Ready to Fix",""))</f>
        <v/>
      </c>
    </row>
    <row r="3883" spans="6:6">
      <c r="F3883" s="1" t="str" cm="1">
        <f t="array" ref="F3883">_xlfn.LET(_xlpm.rowNum,MATCH(E3883,'glossaryterms-export'!C:C,0),
IF(AND(NOT(ISBLANK(INDEX('glossaryterms-export'!H:H,_xlpm.rowNum))),ISBLANK(INDEX('glossaryterms-export'!I:I,_xlpm.rowNum))),"Ready to Fix",""))</f>
        <v/>
      </c>
    </row>
    <row r="3884" spans="6:6">
      <c r="F3884" s="1" t="str" cm="1">
        <f t="array" ref="F3884">_xlfn.LET(_xlpm.rowNum,MATCH(E3884,'glossaryterms-export'!C:C,0),
IF(AND(NOT(ISBLANK(INDEX('glossaryterms-export'!H:H,_xlpm.rowNum))),ISBLANK(INDEX('glossaryterms-export'!I:I,_xlpm.rowNum))),"Ready to Fix",""))</f>
        <v/>
      </c>
    </row>
    <row r="3885" spans="6:6">
      <c r="F3885" s="1" t="str" cm="1">
        <f t="array" ref="F3885">_xlfn.LET(_xlpm.rowNum,MATCH(E3885,'glossaryterms-export'!C:C,0),
IF(AND(NOT(ISBLANK(INDEX('glossaryterms-export'!H:H,_xlpm.rowNum))),ISBLANK(INDEX('glossaryterms-export'!I:I,_xlpm.rowNum))),"Ready to Fix",""))</f>
        <v/>
      </c>
    </row>
    <row r="3886" spans="6:6">
      <c r="F3886" s="1" t="str" cm="1">
        <f t="array" ref="F3886">_xlfn.LET(_xlpm.rowNum,MATCH(E3886,'glossaryterms-export'!C:C,0),
IF(AND(NOT(ISBLANK(INDEX('glossaryterms-export'!H:H,_xlpm.rowNum))),ISBLANK(INDEX('glossaryterms-export'!I:I,_xlpm.rowNum))),"Ready to Fix",""))</f>
        <v/>
      </c>
    </row>
    <row r="3887" spans="6:6">
      <c r="F3887" s="1" t="str" cm="1">
        <f t="array" ref="F3887">_xlfn.LET(_xlpm.rowNum,MATCH(E3887,'glossaryterms-export'!C:C,0),
IF(AND(NOT(ISBLANK(INDEX('glossaryterms-export'!H:H,_xlpm.rowNum))),ISBLANK(INDEX('glossaryterms-export'!I:I,_xlpm.rowNum))),"Ready to Fix",""))</f>
        <v/>
      </c>
    </row>
    <row r="3888" spans="6:6">
      <c r="F3888" s="1" t="str" cm="1">
        <f t="array" ref="F3888">_xlfn.LET(_xlpm.rowNum,MATCH(E3888,'glossaryterms-export'!C:C,0),
IF(AND(NOT(ISBLANK(INDEX('glossaryterms-export'!H:H,_xlpm.rowNum))),ISBLANK(INDEX('glossaryterms-export'!I:I,_xlpm.rowNum))),"Ready to Fix",""))</f>
        <v/>
      </c>
    </row>
    <row r="3889" spans="6:6">
      <c r="F3889" s="1" t="str" cm="1">
        <f t="array" ref="F3889">_xlfn.LET(_xlpm.rowNum,MATCH(E3889,'glossaryterms-export'!C:C,0),
IF(AND(NOT(ISBLANK(INDEX('glossaryterms-export'!H:H,_xlpm.rowNum))),ISBLANK(INDEX('glossaryterms-export'!I:I,_xlpm.rowNum))),"Ready to Fix",""))</f>
        <v/>
      </c>
    </row>
    <row r="3890" spans="6:6">
      <c r="F3890" s="1" t="str" cm="1">
        <f t="array" ref="F3890">_xlfn.LET(_xlpm.rowNum,MATCH(E3890,'glossaryterms-export'!C:C,0),
IF(AND(NOT(ISBLANK(INDEX('glossaryterms-export'!H:H,_xlpm.rowNum))),ISBLANK(INDEX('glossaryterms-export'!I:I,_xlpm.rowNum))),"Ready to Fix",""))</f>
        <v/>
      </c>
    </row>
    <row r="3891" spans="6:6">
      <c r="F3891" s="1" t="str" cm="1">
        <f t="array" ref="F3891">_xlfn.LET(_xlpm.rowNum,MATCH(E3891,'glossaryterms-export'!C:C,0),
IF(AND(NOT(ISBLANK(INDEX('glossaryterms-export'!H:H,_xlpm.rowNum))),ISBLANK(INDEX('glossaryterms-export'!I:I,_xlpm.rowNum))),"Ready to Fix",""))</f>
        <v/>
      </c>
    </row>
    <row r="3892" spans="6:6">
      <c r="F3892" s="1" t="str" cm="1">
        <f t="array" ref="F3892">_xlfn.LET(_xlpm.rowNum,MATCH(E3892,'glossaryterms-export'!C:C,0),
IF(AND(NOT(ISBLANK(INDEX('glossaryterms-export'!H:H,_xlpm.rowNum))),ISBLANK(INDEX('glossaryterms-export'!I:I,_xlpm.rowNum))),"Ready to Fix",""))</f>
        <v/>
      </c>
    </row>
    <row r="3893" spans="6:6">
      <c r="F3893" s="1" t="str" cm="1">
        <f t="array" ref="F3893">_xlfn.LET(_xlpm.rowNum,MATCH(E3893,'glossaryterms-export'!C:C,0),
IF(AND(NOT(ISBLANK(INDEX('glossaryterms-export'!H:H,_xlpm.rowNum))),ISBLANK(INDEX('glossaryterms-export'!I:I,_xlpm.rowNum))),"Ready to Fix",""))</f>
        <v/>
      </c>
    </row>
    <row r="3894" spans="6:6">
      <c r="F3894" s="1" t="str" cm="1">
        <f t="array" ref="F3894">_xlfn.LET(_xlpm.rowNum,MATCH(E3894,'glossaryterms-export'!C:C,0),
IF(AND(NOT(ISBLANK(INDEX('glossaryterms-export'!H:H,_xlpm.rowNum))),ISBLANK(INDEX('glossaryterms-export'!I:I,_xlpm.rowNum))),"Ready to Fix",""))</f>
        <v/>
      </c>
    </row>
    <row r="3895" spans="6:6">
      <c r="F3895" s="1" t="str" cm="1">
        <f t="array" ref="F3895">_xlfn.LET(_xlpm.rowNum,MATCH(E3895,'glossaryterms-export'!C:C,0),
IF(AND(NOT(ISBLANK(INDEX('glossaryterms-export'!H:H,_xlpm.rowNum))),ISBLANK(INDEX('glossaryterms-export'!I:I,_xlpm.rowNum))),"Ready to Fix",""))</f>
        <v/>
      </c>
    </row>
    <row r="3896" spans="6:6">
      <c r="F3896" s="1" t="str" cm="1">
        <f t="array" ref="F3896">_xlfn.LET(_xlpm.rowNum,MATCH(E3896,'glossaryterms-export'!C:C,0),
IF(AND(NOT(ISBLANK(INDEX('glossaryterms-export'!H:H,_xlpm.rowNum))),ISBLANK(INDEX('glossaryterms-export'!I:I,_xlpm.rowNum))),"Ready to Fix",""))</f>
        <v/>
      </c>
    </row>
    <row r="3897" spans="6:6">
      <c r="F3897" s="1" t="str" cm="1">
        <f t="array" ref="F3897">_xlfn.LET(_xlpm.rowNum,MATCH(E3897,'glossaryterms-export'!C:C,0),
IF(AND(NOT(ISBLANK(INDEX('glossaryterms-export'!H:H,_xlpm.rowNum))),ISBLANK(INDEX('glossaryterms-export'!I:I,_xlpm.rowNum))),"Ready to Fix",""))</f>
        <v/>
      </c>
    </row>
    <row r="3898" spans="6:6">
      <c r="F3898" s="1" t="str" cm="1">
        <f t="array" ref="F3898">_xlfn.LET(_xlpm.rowNum,MATCH(E3898,'glossaryterms-export'!C:C,0),
IF(AND(NOT(ISBLANK(INDEX('glossaryterms-export'!H:H,_xlpm.rowNum))),ISBLANK(INDEX('glossaryterms-export'!I:I,_xlpm.rowNum))),"Ready to Fix",""))</f>
        <v/>
      </c>
    </row>
    <row r="3899" spans="6:6">
      <c r="F3899" s="1" t="str" cm="1">
        <f t="array" ref="F3899">_xlfn.LET(_xlpm.rowNum,MATCH(E3899,'glossaryterms-export'!C:C,0),
IF(AND(NOT(ISBLANK(INDEX('glossaryterms-export'!H:H,_xlpm.rowNum))),ISBLANK(INDEX('glossaryterms-export'!I:I,_xlpm.rowNum))),"Ready to Fix",""))</f>
        <v/>
      </c>
    </row>
    <row r="3900" spans="6:6">
      <c r="F3900" s="1" t="str" cm="1">
        <f t="array" ref="F3900">_xlfn.LET(_xlpm.rowNum,MATCH(E3900,'glossaryterms-export'!C:C,0),
IF(AND(NOT(ISBLANK(INDEX('glossaryterms-export'!H:H,_xlpm.rowNum))),ISBLANK(INDEX('glossaryterms-export'!I:I,_xlpm.rowNum))),"Ready to Fix",""))</f>
        <v/>
      </c>
    </row>
    <row r="3901" spans="6:6">
      <c r="F3901" s="1" t="str" cm="1">
        <f t="array" ref="F3901">_xlfn.LET(_xlpm.rowNum,MATCH(E3901,'glossaryterms-export'!C:C,0),
IF(AND(NOT(ISBLANK(INDEX('glossaryterms-export'!H:H,_xlpm.rowNum))),ISBLANK(INDEX('glossaryterms-export'!I:I,_xlpm.rowNum))),"Ready to Fix",""))</f>
        <v/>
      </c>
    </row>
    <row r="3902" spans="6:6">
      <c r="F3902" s="1" t="str" cm="1">
        <f t="array" ref="F3902">_xlfn.LET(_xlpm.rowNum,MATCH(E3902,'glossaryterms-export'!C:C,0),
IF(AND(NOT(ISBLANK(INDEX('glossaryterms-export'!H:H,_xlpm.rowNum))),ISBLANK(INDEX('glossaryterms-export'!I:I,_xlpm.rowNum))),"Ready to Fix",""))</f>
        <v/>
      </c>
    </row>
    <row r="3903" spans="6:6">
      <c r="F3903" s="1" t="str" cm="1">
        <f t="array" ref="F3903">_xlfn.LET(_xlpm.rowNum,MATCH(E3903,'glossaryterms-export'!C:C,0),
IF(AND(NOT(ISBLANK(INDEX('glossaryterms-export'!H:H,_xlpm.rowNum))),ISBLANK(INDEX('glossaryterms-export'!I:I,_xlpm.rowNum))),"Ready to Fix",""))</f>
        <v/>
      </c>
    </row>
    <row r="3904" spans="6:6">
      <c r="F3904" s="1" t="str" cm="1">
        <f t="array" ref="F3904">_xlfn.LET(_xlpm.rowNum,MATCH(E3904,'glossaryterms-export'!C:C,0),
IF(AND(NOT(ISBLANK(INDEX('glossaryterms-export'!H:H,_xlpm.rowNum))),ISBLANK(INDEX('glossaryterms-export'!I:I,_xlpm.rowNum))),"Ready to Fix",""))</f>
        <v/>
      </c>
    </row>
    <row r="3905" spans="6:6">
      <c r="F3905" s="1" t="str" cm="1">
        <f t="array" ref="F3905">_xlfn.LET(_xlpm.rowNum,MATCH(E3905,'glossaryterms-export'!C:C,0),
IF(AND(NOT(ISBLANK(INDEX('glossaryterms-export'!H:H,_xlpm.rowNum))),ISBLANK(INDEX('glossaryterms-export'!I:I,_xlpm.rowNum))),"Ready to Fix",""))</f>
        <v/>
      </c>
    </row>
    <row r="3906" spans="6:6">
      <c r="F3906" s="1" t="str" cm="1">
        <f t="array" ref="F3906">_xlfn.LET(_xlpm.rowNum,MATCH(E3906,'glossaryterms-export'!C:C,0),
IF(AND(NOT(ISBLANK(INDEX('glossaryterms-export'!H:H,_xlpm.rowNum))),ISBLANK(INDEX('glossaryterms-export'!I:I,_xlpm.rowNum))),"Ready to Fix",""))</f>
        <v/>
      </c>
    </row>
    <row r="3907" spans="6:6">
      <c r="F3907" s="1" t="str" cm="1">
        <f t="array" ref="F3907">_xlfn.LET(_xlpm.rowNum,MATCH(E3907,'glossaryterms-export'!C:C,0),
IF(AND(NOT(ISBLANK(INDEX('glossaryterms-export'!H:H,_xlpm.rowNum))),ISBLANK(INDEX('glossaryterms-export'!I:I,_xlpm.rowNum))),"Ready to Fix",""))</f>
        <v/>
      </c>
    </row>
    <row r="3908" spans="6:6">
      <c r="F3908" s="1" t="str" cm="1">
        <f t="array" ref="F3908">_xlfn.LET(_xlpm.rowNum,MATCH(E3908,'glossaryterms-export'!C:C,0),
IF(AND(NOT(ISBLANK(INDEX('glossaryterms-export'!H:H,_xlpm.rowNum))),ISBLANK(INDEX('glossaryterms-export'!I:I,_xlpm.rowNum))),"Ready to Fix",""))</f>
        <v/>
      </c>
    </row>
    <row r="3909" spans="6:6">
      <c r="F3909" s="1" t="str" cm="1">
        <f t="array" ref="F3909">_xlfn.LET(_xlpm.rowNum,MATCH(E3909,'glossaryterms-export'!C:C,0),
IF(AND(NOT(ISBLANK(INDEX('glossaryterms-export'!H:H,_xlpm.rowNum))),ISBLANK(INDEX('glossaryterms-export'!I:I,_xlpm.rowNum))),"Ready to Fix",""))</f>
        <v/>
      </c>
    </row>
    <row r="3910" spans="6:6">
      <c r="F3910" s="1" t="str" cm="1">
        <f t="array" ref="F3910">_xlfn.LET(_xlpm.rowNum,MATCH(E3910,'glossaryterms-export'!C:C,0),
IF(AND(NOT(ISBLANK(INDEX('glossaryterms-export'!H:H,_xlpm.rowNum))),ISBLANK(INDEX('glossaryterms-export'!I:I,_xlpm.rowNum))),"Ready to Fix",""))</f>
        <v/>
      </c>
    </row>
    <row r="3911" spans="6:6">
      <c r="F3911" s="1" t="str" cm="1">
        <f t="array" ref="F3911">_xlfn.LET(_xlpm.rowNum,MATCH(E3911,'glossaryterms-export'!C:C,0),
IF(AND(NOT(ISBLANK(INDEX('glossaryterms-export'!H:H,_xlpm.rowNum))),ISBLANK(INDEX('glossaryterms-export'!I:I,_xlpm.rowNum))),"Ready to Fix",""))</f>
        <v/>
      </c>
    </row>
    <row r="3912" spans="6:6">
      <c r="F3912" s="1" t="str" cm="1">
        <f t="array" ref="F3912">_xlfn.LET(_xlpm.rowNum,MATCH(E3912,'glossaryterms-export'!C:C,0),
IF(AND(NOT(ISBLANK(INDEX('glossaryterms-export'!H:H,_xlpm.rowNum))),ISBLANK(INDEX('glossaryterms-export'!I:I,_xlpm.rowNum))),"Ready to Fix",""))</f>
        <v/>
      </c>
    </row>
    <row r="3913" spans="6:6">
      <c r="F3913" s="1" t="str" cm="1">
        <f t="array" ref="F3913">_xlfn.LET(_xlpm.rowNum,MATCH(E3913,'glossaryterms-export'!C:C,0),
IF(AND(NOT(ISBLANK(INDEX('glossaryterms-export'!H:H,_xlpm.rowNum))),ISBLANK(INDEX('glossaryterms-export'!I:I,_xlpm.rowNum))),"Ready to Fix",""))</f>
        <v/>
      </c>
    </row>
    <row r="3914" spans="6:6">
      <c r="F3914" s="1" t="str" cm="1">
        <f t="array" ref="F3914">_xlfn.LET(_xlpm.rowNum,MATCH(E3914,'glossaryterms-export'!C:C,0),
IF(AND(NOT(ISBLANK(INDEX('glossaryterms-export'!H:H,_xlpm.rowNum))),ISBLANK(INDEX('glossaryterms-export'!I:I,_xlpm.rowNum))),"Ready to Fix",""))</f>
        <v/>
      </c>
    </row>
    <row r="3915" spans="6:6">
      <c r="F3915" s="1" t="str" cm="1">
        <f t="array" ref="F3915">_xlfn.LET(_xlpm.rowNum,MATCH(E3915,'glossaryterms-export'!C:C,0),
IF(AND(NOT(ISBLANK(INDEX('glossaryterms-export'!H:H,_xlpm.rowNum))),ISBLANK(INDEX('glossaryterms-export'!I:I,_xlpm.rowNum))),"Ready to Fix",""))</f>
        <v/>
      </c>
    </row>
    <row r="3916" spans="6:6">
      <c r="F3916" s="1" t="str" cm="1">
        <f t="array" ref="F3916">_xlfn.LET(_xlpm.rowNum,MATCH(E3916,'glossaryterms-export'!C:C,0),
IF(AND(NOT(ISBLANK(INDEX('glossaryterms-export'!H:H,_xlpm.rowNum))),ISBLANK(INDEX('glossaryterms-export'!I:I,_xlpm.rowNum))),"Ready to Fix",""))</f>
        <v/>
      </c>
    </row>
    <row r="3917" spans="6:6">
      <c r="F3917" s="1" t="str" cm="1">
        <f t="array" ref="F3917">_xlfn.LET(_xlpm.rowNum,MATCH(E3917,'glossaryterms-export'!C:C,0),
IF(AND(NOT(ISBLANK(INDEX('glossaryterms-export'!H:H,_xlpm.rowNum))),ISBLANK(INDEX('glossaryterms-export'!I:I,_xlpm.rowNum))),"Ready to Fix",""))</f>
        <v/>
      </c>
    </row>
    <row r="3918" spans="6:6">
      <c r="F3918" s="1" t="str" cm="1">
        <f t="array" ref="F3918">_xlfn.LET(_xlpm.rowNum,MATCH(E3918,'glossaryterms-export'!C:C,0),
IF(AND(NOT(ISBLANK(INDEX('glossaryterms-export'!H:H,_xlpm.rowNum))),ISBLANK(INDEX('glossaryterms-export'!I:I,_xlpm.rowNum))),"Ready to Fix",""))</f>
        <v/>
      </c>
    </row>
    <row r="3919" spans="6:6">
      <c r="F3919" s="1" t="str" cm="1">
        <f t="array" ref="F3919">_xlfn.LET(_xlpm.rowNum,MATCH(E3919,'glossaryterms-export'!C:C,0),
IF(AND(NOT(ISBLANK(INDEX('glossaryterms-export'!H:H,_xlpm.rowNum))),ISBLANK(INDEX('glossaryterms-export'!I:I,_xlpm.rowNum))),"Ready to Fix",""))</f>
        <v/>
      </c>
    </row>
    <row r="3920" spans="6:6">
      <c r="F3920" s="1" t="str" cm="1">
        <f t="array" ref="F3920">_xlfn.LET(_xlpm.rowNum,MATCH(E3920,'glossaryterms-export'!C:C,0),
IF(AND(NOT(ISBLANK(INDEX('glossaryterms-export'!H:H,_xlpm.rowNum))),ISBLANK(INDEX('glossaryterms-export'!I:I,_xlpm.rowNum))),"Ready to Fix",""))</f>
        <v/>
      </c>
    </row>
    <row r="3921" spans="6:6">
      <c r="F3921" s="1" t="str" cm="1">
        <f t="array" ref="F3921">_xlfn.LET(_xlpm.rowNum,MATCH(E3921,'glossaryterms-export'!C:C,0),
IF(AND(NOT(ISBLANK(INDEX('glossaryterms-export'!H:H,_xlpm.rowNum))),ISBLANK(INDEX('glossaryterms-export'!I:I,_xlpm.rowNum))),"Ready to Fix",""))</f>
        <v/>
      </c>
    </row>
    <row r="3922" spans="6:6">
      <c r="F3922" s="1" t="str" cm="1">
        <f t="array" ref="F3922">_xlfn.LET(_xlpm.rowNum,MATCH(E3922,'glossaryterms-export'!C:C,0),
IF(AND(NOT(ISBLANK(INDEX('glossaryterms-export'!H:H,_xlpm.rowNum))),ISBLANK(INDEX('glossaryterms-export'!I:I,_xlpm.rowNum))),"Ready to Fix",""))</f>
        <v/>
      </c>
    </row>
    <row r="3923" spans="6:6">
      <c r="F3923" s="1" t="str" cm="1">
        <f t="array" ref="F3923">_xlfn.LET(_xlpm.rowNum,MATCH(E3923,'glossaryterms-export'!C:C,0),
IF(AND(NOT(ISBLANK(INDEX('glossaryterms-export'!H:H,_xlpm.rowNum))),ISBLANK(INDEX('glossaryterms-export'!I:I,_xlpm.rowNum))),"Ready to Fix",""))</f>
        <v/>
      </c>
    </row>
    <row r="3924" spans="6:6">
      <c r="F3924" s="1" t="str" cm="1">
        <f t="array" ref="F3924">_xlfn.LET(_xlpm.rowNum,MATCH(E3924,'glossaryterms-export'!C:C,0),
IF(AND(NOT(ISBLANK(INDEX('glossaryterms-export'!H:H,_xlpm.rowNum))),ISBLANK(INDEX('glossaryterms-export'!I:I,_xlpm.rowNum))),"Ready to Fix",""))</f>
        <v/>
      </c>
    </row>
    <row r="3925" spans="6:6">
      <c r="F3925" s="1" t="str" cm="1">
        <f t="array" ref="F3925">_xlfn.LET(_xlpm.rowNum,MATCH(E3925,'glossaryterms-export'!C:C,0),
IF(AND(NOT(ISBLANK(INDEX('glossaryterms-export'!H:H,_xlpm.rowNum))),ISBLANK(INDEX('glossaryterms-export'!I:I,_xlpm.rowNum))),"Ready to Fix",""))</f>
        <v/>
      </c>
    </row>
    <row r="3926" spans="6:6">
      <c r="F3926" s="1" t="str" cm="1">
        <f t="array" ref="F3926">_xlfn.LET(_xlpm.rowNum,MATCH(E3926,'glossaryterms-export'!C:C,0),
IF(AND(NOT(ISBLANK(INDEX('glossaryterms-export'!H:H,_xlpm.rowNum))),ISBLANK(INDEX('glossaryterms-export'!I:I,_xlpm.rowNum))),"Ready to Fix",""))</f>
        <v/>
      </c>
    </row>
    <row r="3927" spans="6:6">
      <c r="F3927" s="1" t="str" cm="1">
        <f t="array" ref="F3927">_xlfn.LET(_xlpm.rowNum,MATCH(E3927,'glossaryterms-export'!C:C,0),
IF(AND(NOT(ISBLANK(INDEX('glossaryterms-export'!H:H,_xlpm.rowNum))),ISBLANK(INDEX('glossaryterms-export'!I:I,_xlpm.rowNum))),"Ready to Fix",""))</f>
        <v/>
      </c>
    </row>
    <row r="3928" spans="6:6">
      <c r="F3928" s="1" t="str" cm="1">
        <f t="array" ref="F3928">_xlfn.LET(_xlpm.rowNum,MATCH(E3928,'glossaryterms-export'!C:C,0),
IF(AND(NOT(ISBLANK(INDEX('glossaryterms-export'!H:H,_xlpm.rowNum))),ISBLANK(INDEX('glossaryterms-export'!I:I,_xlpm.rowNum))),"Ready to Fix",""))</f>
        <v/>
      </c>
    </row>
    <row r="3929" spans="6:6">
      <c r="F3929" s="1" t="str" cm="1">
        <f t="array" ref="F3929">_xlfn.LET(_xlpm.rowNum,MATCH(E3929,'glossaryterms-export'!C:C,0),
IF(AND(NOT(ISBLANK(INDEX('glossaryterms-export'!H:H,_xlpm.rowNum))),ISBLANK(INDEX('glossaryterms-export'!I:I,_xlpm.rowNum))),"Ready to Fix",""))</f>
        <v/>
      </c>
    </row>
    <row r="3930" spans="6:6">
      <c r="F3930" s="1" t="str" cm="1">
        <f t="array" ref="F3930">_xlfn.LET(_xlpm.rowNum,MATCH(E3930,'glossaryterms-export'!C:C,0),
IF(AND(NOT(ISBLANK(INDEX('glossaryterms-export'!H:H,_xlpm.rowNum))),ISBLANK(INDEX('glossaryterms-export'!I:I,_xlpm.rowNum))),"Ready to Fix",""))</f>
        <v/>
      </c>
    </row>
    <row r="3931" spans="6:6">
      <c r="F3931" s="1" t="str" cm="1">
        <f t="array" ref="F3931">_xlfn.LET(_xlpm.rowNum,MATCH(E3931,'glossaryterms-export'!C:C,0),
IF(AND(NOT(ISBLANK(INDEX('glossaryterms-export'!H:H,_xlpm.rowNum))),ISBLANK(INDEX('glossaryterms-export'!I:I,_xlpm.rowNum))),"Ready to Fix",""))</f>
        <v/>
      </c>
    </row>
    <row r="3932" spans="6:6">
      <c r="F3932" s="1" t="str" cm="1">
        <f t="array" ref="F3932">_xlfn.LET(_xlpm.rowNum,MATCH(E3932,'glossaryterms-export'!C:C,0),
IF(AND(NOT(ISBLANK(INDEX('glossaryterms-export'!H:H,_xlpm.rowNum))),ISBLANK(INDEX('glossaryterms-export'!I:I,_xlpm.rowNum))),"Ready to Fix",""))</f>
        <v/>
      </c>
    </row>
    <row r="3933" spans="6:6">
      <c r="F3933" s="1" t="str" cm="1">
        <f t="array" ref="F3933">_xlfn.LET(_xlpm.rowNum,MATCH(E3933,'glossaryterms-export'!C:C,0),
IF(AND(NOT(ISBLANK(INDEX('glossaryterms-export'!H:H,_xlpm.rowNum))),ISBLANK(INDEX('glossaryterms-export'!I:I,_xlpm.rowNum))),"Ready to Fix",""))</f>
        <v/>
      </c>
    </row>
    <row r="3934" spans="6:6">
      <c r="F3934" s="1" t="str" cm="1">
        <f t="array" ref="F3934">_xlfn.LET(_xlpm.rowNum,MATCH(E3934,'glossaryterms-export'!C:C,0),
IF(AND(NOT(ISBLANK(INDEX('glossaryterms-export'!H:H,_xlpm.rowNum))),ISBLANK(INDEX('glossaryterms-export'!I:I,_xlpm.rowNum))),"Ready to Fix",""))</f>
        <v/>
      </c>
    </row>
    <row r="3935" spans="6:6">
      <c r="F3935" s="1" t="str" cm="1">
        <f t="array" ref="F3935">_xlfn.LET(_xlpm.rowNum,MATCH(E3935,'glossaryterms-export'!C:C,0),
IF(AND(NOT(ISBLANK(INDEX('glossaryterms-export'!H:H,_xlpm.rowNum))),ISBLANK(INDEX('glossaryterms-export'!I:I,_xlpm.rowNum))),"Ready to Fix",""))</f>
        <v/>
      </c>
    </row>
    <row r="3936" spans="6:6">
      <c r="F3936" s="1" t="str" cm="1">
        <f t="array" ref="F3936">_xlfn.LET(_xlpm.rowNum,MATCH(E3936,'glossaryterms-export'!C:C,0),
IF(AND(NOT(ISBLANK(INDEX('glossaryterms-export'!H:H,_xlpm.rowNum))),ISBLANK(INDEX('glossaryterms-export'!I:I,_xlpm.rowNum))),"Ready to Fix",""))</f>
        <v/>
      </c>
    </row>
    <row r="3937" spans="6:6">
      <c r="F3937" s="1" t="str" cm="1">
        <f t="array" ref="F3937">_xlfn.LET(_xlpm.rowNum,MATCH(E3937,'glossaryterms-export'!C:C,0),
IF(AND(NOT(ISBLANK(INDEX('glossaryterms-export'!H:H,_xlpm.rowNum))),ISBLANK(INDEX('glossaryterms-export'!I:I,_xlpm.rowNum))),"Ready to Fix",""))</f>
        <v/>
      </c>
    </row>
    <row r="3938" spans="6:6">
      <c r="F3938" s="1" t="str" cm="1">
        <f t="array" ref="F3938">_xlfn.LET(_xlpm.rowNum,MATCH(E3938,'glossaryterms-export'!C:C,0),
IF(AND(NOT(ISBLANK(INDEX('glossaryterms-export'!H:H,_xlpm.rowNum))),ISBLANK(INDEX('glossaryterms-export'!I:I,_xlpm.rowNum))),"Ready to Fix",""))</f>
        <v/>
      </c>
    </row>
    <row r="3939" spans="6:6">
      <c r="F3939" s="1" t="str" cm="1">
        <f t="array" ref="F3939">_xlfn.LET(_xlpm.rowNum,MATCH(E3939,'glossaryterms-export'!C:C,0),
IF(AND(NOT(ISBLANK(INDEX('glossaryterms-export'!H:H,_xlpm.rowNum))),ISBLANK(INDEX('glossaryterms-export'!I:I,_xlpm.rowNum))),"Ready to Fix",""))</f>
        <v/>
      </c>
    </row>
    <row r="3940" spans="6:6">
      <c r="F3940" s="1" t="str" cm="1">
        <f t="array" ref="F3940">_xlfn.LET(_xlpm.rowNum,MATCH(E3940,'glossaryterms-export'!C:C,0),
IF(AND(NOT(ISBLANK(INDEX('glossaryterms-export'!H:H,_xlpm.rowNum))),ISBLANK(INDEX('glossaryterms-export'!I:I,_xlpm.rowNum))),"Ready to Fix",""))</f>
        <v/>
      </c>
    </row>
    <row r="3941" spans="6:6">
      <c r="F3941" s="1" t="str" cm="1">
        <f t="array" ref="F3941">_xlfn.LET(_xlpm.rowNum,MATCH(E3941,'glossaryterms-export'!C:C,0),
IF(AND(NOT(ISBLANK(INDEX('glossaryterms-export'!H:H,_xlpm.rowNum))),ISBLANK(INDEX('glossaryterms-export'!I:I,_xlpm.rowNum))),"Ready to Fix",""))</f>
        <v/>
      </c>
    </row>
    <row r="3942" spans="6:6">
      <c r="F3942" s="1" t="str" cm="1">
        <f t="array" ref="F3942">_xlfn.LET(_xlpm.rowNum,MATCH(E3942,'glossaryterms-export'!C:C,0),
IF(AND(NOT(ISBLANK(INDEX('glossaryterms-export'!H:H,_xlpm.rowNum))),ISBLANK(INDEX('glossaryterms-export'!I:I,_xlpm.rowNum))),"Ready to Fix",""))</f>
        <v/>
      </c>
    </row>
    <row r="3943" spans="6:6">
      <c r="F3943" s="1" t="str" cm="1">
        <f t="array" ref="F3943">_xlfn.LET(_xlpm.rowNum,MATCH(E3943,'glossaryterms-export'!C:C,0),
IF(AND(NOT(ISBLANK(INDEX('glossaryterms-export'!H:H,_xlpm.rowNum))),ISBLANK(INDEX('glossaryterms-export'!I:I,_xlpm.rowNum))),"Ready to Fix",""))</f>
        <v/>
      </c>
    </row>
    <row r="3944" spans="6:6">
      <c r="F3944" s="1" t="str" cm="1">
        <f t="array" ref="F3944">_xlfn.LET(_xlpm.rowNum,MATCH(E3944,'glossaryterms-export'!C:C,0),
IF(AND(NOT(ISBLANK(INDEX('glossaryterms-export'!H:H,_xlpm.rowNum))),ISBLANK(INDEX('glossaryterms-export'!I:I,_xlpm.rowNum))),"Ready to Fix",""))</f>
        <v/>
      </c>
    </row>
    <row r="3945" spans="6:6">
      <c r="F3945" s="1" t="str" cm="1">
        <f t="array" ref="F3945">_xlfn.LET(_xlpm.rowNum,MATCH(E3945,'glossaryterms-export'!C:C,0),
IF(AND(NOT(ISBLANK(INDEX('glossaryterms-export'!H:H,_xlpm.rowNum))),ISBLANK(INDEX('glossaryterms-export'!I:I,_xlpm.rowNum))),"Ready to Fix",""))</f>
        <v/>
      </c>
    </row>
    <row r="3946" spans="6:6">
      <c r="F3946" s="1" t="str" cm="1">
        <f t="array" ref="F3946">_xlfn.LET(_xlpm.rowNum,MATCH(E3946,'glossaryterms-export'!C:C,0),
IF(AND(NOT(ISBLANK(INDEX('glossaryterms-export'!H:H,_xlpm.rowNum))),ISBLANK(INDEX('glossaryterms-export'!I:I,_xlpm.rowNum))),"Ready to Fix",""))</f>
        <v/>
      </c>
    </row>
    <row r="3947" spans="6:6">
      <c r="F3947" s="1" t="str" cm="1">
        <f t="array" ref="F3947">_xlfn.LET(_xlpm.rowNum,MATCH(E3947,'glossaryterms-export'!C:C,0),
IF(AND(NOT(ISBLANK(INDEX('glossaryterms-export'!H:H,_xlpm.rowNum))),ISBLANK(INDEX('glossaryterms-export'!I:I,_xlpm.rowNum))),"Ready to Fix",""))</f>
        <v/>
      </c>
    </row>
    <row r="3948" spans="6:6">
      <c r="F3948" s="1" t="str" cm="1">
        <f t="array" ref="F3948">_xlfn.LET(_xlpm.rowNum,MATCH(E3948,'glossaryterms-export'!C:C,0),
IF(AND(NOT(ISBLANK(INDEX('glossaryterms-export'!H:H,_xlpm.rowNum))),ISBLANK(INDEX('glossaryterms-export'!I:I,_xlpm.rowNum))),"Ready to Fix",""))</f>
        <v/>
      </c>
    </row>
    <row r="3949" spans="6:6">
      <c r="F3949" s="1" t="str" cm="1">
        <f t="array" ref="F3949">_xlfn.LET(_xlpm.rowNum,MATCH(E3949,'glossaryterms-export'!C:C,0),
IF(AND(NOT(ISBLANK(INDEX('glossaryterms-export'!H:H,_xlpm.rowNum))),ISBLANK(INDEX('glossaryterms-export'!I:I,_xlpm.rowNum))),"Ready to Fix",""))</f>
        <v/>
      </c>
    </row>
    <row r="3950" spans="6:6">
      <c r="F3950" s="1" t="str" cm="1">
        <f t="array" ref="F3950">_xlfn.LET(_xlpm.rowNum,MATCH(E3950,'glossaryterms-export'!C:C,0),
IF(AND(NOT(ISBLANK(INDEX('glossaryterms-export'!H:H,_xlpm.rowNum))),ISBLANK(INDEX('glossaryterms-export'!I:I,_xlpm.rowNum))),"Ready to Fix",""))</f>
        <v/>
      </c>
    </row>
    <row r="3951" spans="6:6">
      <c r="F3951" s="1" t="str" cm="1">
        <f t="array" ref="F3951">_xlfn.LET(_xlpm.rowNum,MATCH(E3951,'glossaryterms-export'!C:C,0),
IF(AND(NOT(ISBLANK(INDEX('glossaryterms-export'!H:H,_xlpm.rowNum))),ISBLANK(INDEX('glossaryterms-export'!I:I,_xlpm.rowNum))),"Ready to Fix",""))</f>
        <v/>
      </c>
    </row>
    <row r="3952" spans="6:6">
      <c r="F3952" s="1" t="str" cm="1">
        <f t="array" ref="F3952">_xlfn.LET(_xlpm.rowNum,MATCH(E3952,'glossaryterms-export'!C:C,0),
IF(AND(NOT(ISBLANK(INDEX('glossaryterms-export'!H:H,_xlpm.rowNum))),ISBLANK(INDEX('glossaryterms-export'!I:I,_xlpm.rowNum))),"Ready to Fix",""))</f>
        <v/>
      </c>
    </row>
    <row r="3953" spans="6:6">
      <c r="F3953" s="1" t="str" cm="1">
        <f t="array" ref="F3953">_xlfn.LET(_xlpm.rowNum,MATCH(E3953,'glossaryterms-export'!C:C,0),
IF(AND(NOT(ISBLANK(INDEX('glossaryterms-export'!H:H,_xlpm.rowNum))),ISBLANK(INDEX('glossaryterms-export'!I:I,_xlpm.rowNum))),"Ready to Fix",""))</f>
        <v/>
      </c>
    </row>
    <row r="3954" spans="6:6">
      <c r="F3954" s="1" t="str" cm="1">
        <f t="array" ref="F3954">_xlfn.LET(_xlpm.rowNum,MATCH(E3954,'glossaryterms-export'!C:C,0),
IF(AND(NOT(ISBLANK(INDEX('glossaryterms-export'!H:H,_xlpm.rowNum))),ISBLANK(INDEX('glossaryterms-export'!I:I,_xlpm.rowNum))),"Ready to Fix",""))</f>
        <v/>
      </c>
    </row>
    <row r="3955" spans="6:6">
      <c r="F3955" s="1" t="str" cm="1">
        <f t="array" ref="F3955">_xlfn.LET(_xlpm.rowNum,MATCH(E3955,'glossaryterms-export'!C:C,0),
IF(AND(NOT(ISBLANK(INDEX('glossaryterms-export'!H:H,_xlpm.rowNum))),ISBLANK(INDEX('glossaryterms-export'!I:I,_xlpm.rowNum))),"Ready to Fix",""))</f>
        <v/>
      </c>
    </row>
    <row r="3956" spans="6:6">
      <c r="F3956" s="1" t="str" cm="1">
        <f t="array" ref="F3956">_xlfn.LET(_xlpm.rowNum,MATCH(E3956,'glossaryterms-export'!C:C,0),
IF(AND(NOT(ISBLANK(INDEX('glossaryterms-export'!H:H,_xlpm.rowNum))),ISBLANK(INDEX('glossaryterms-export'!I:I,_xlpm.rowNum))),"Ready to Fix",""))</f>
        <v/>
      </c>
    </row>
    <row r="3957" spans="6:6">
      <c r="F3957" s="1" t="str" cm="1">
        <f t="array" ref="F3957">_xlfn.LET(_xlpm.rowNum,MATCH(E3957,'glossaryterms-export'!C:C,0),
IF(AND(NOT(ISBLANK(INDEX('glossaryterms-export'!H:H,_xlpm.rowNum))),ISBLANK(INDEX('glossaryterms-export'!I:I,_xlpm.rowNum))),"Ready to Fix",""))</f>
        <v/>
      </c>
    </row>
    <row r="3958" spans="6:6">
      <c r="F3958" s="1" t="str" cm="1">
        <f t="array" ref="F3958">_xlfn.LET(_xlpm.rowNum,MATCH(E3958,'glossaryterms-export'!C:C,0),
IF(AND(NOT(ISBLANK(INDEX('glossaryterms-export'!H:H,_xlpm.rowNum))),ISBLANK(INDEX('glossaryterms-export'!I:I,_xlpm.rowNum))),"Ready to Fix",""))</f>
        <v/>
      </c>
    </row>
    <row r="3959" spans="6:6">
      <c r="F3959" s="1" t="str" cm="1">
        <f t="array" ref="F3959">_xlfn.LET(_xlpm.rowNum,MATCH(E3959,'glossaryterms-export'!C:C,0),
IF(AND(NOT(ISBLANK(INDEX('glossaryterms-export'!H:H,_xlpm.rowNum))),ISBLANK(INDEX('glossaryterms-export'!I:I,_xlpm.rowNum))),"Ready to Fix",""))</f>
        <v/>
      </c>
    </row>
    <row r="3960" spans="6:6">
      <c r="F3960" s="1" t="str" cm="1">
        <f t="array" ref="F3960">_xlfn.LET(_xlpm.rowNum,MATCH(E3960,'glossaryterms-export'!C:C,0),
IF(AND(NOT(ISBLANK(INDEX('glossaryterms-export'!H:H,_xlpm.rowNum))),ISBLANK(INDEX('glossaryterms-export'!I:I,_xlpm.rowNum))),"Ready to Fix",""))</f>
        <v/>
      </c>
    </row>
    <row r="3961" spans="6:6">
      <c r="F3961" s="1" t="str" cm="1">
        <f t="array" ref="F3961">_xlfn.LET(_xlpm.rowNum,MATCH(E3961,'glossaryterms-export'!C:C,0),
IF(AND(NOT(ISBLANK(INDEX('glossaryterms-export'!H:H,_xlpm.rowNum))),ISBLANK(INDEX('glossaryterms-export'!I:I,_xlpm.rowNum))),"Ready to Fix",""))</f>
        <v/>
      </c>
    </row>
    <row r="3962" spans="6:6">
      <c r="F3962" s="1" t="str" cm="1">
        <f t="array" ref="F3962">_xlfn.LET(_xlpm.rowNum,MATCH(E3962,'glossaryterms-export'!C:C,0),
IF(AND(NOT(ISBLANK(INDEX('glossaryterms-export'!H:H,_xlpm.rowNum))),ISBLANK(INDEX('glossaryterms-export'!I:I,_xlpm.rowNum))),"Ready to Fix",""))</f>
        <v/>
      </c>
    </row>
    <row r="3963" spans="6:6">
      <c r="F3963" s="1" t="str" cm="1">
        <f t="array" ref="F3963">_xlfn.LET(_xlpm.rowNum,MATCH(E3963,'glossaryterms-export'!C:C,0),
IF(AND(NOT(ISBLANK(INDEX('glossaryterms-export'!H:H,_xlpm.rowNum))),ISBLANK(INDEX('glossaryterms-export'!I:I,_xlpm.rowNum))),"Ready to Fix",""))</f>
        <v/>
      </c>
    </row>
    <row r="3964" spans="6:6">
      <c r="F3964" s="1" t="str" cm="1">
        <f t="array" ref="F3964">_xlfn.LET(_xlpm.rowNum,MATCH(E3964,'glossaryterms-export'!C:C,0),
IF(AND(NOT(ISBLANK(INDEX('glossaryterms-export'!H:H,_xlpm.rowNum))),ISBLANK(INDEX('glossaryterms-export'!I:I,_xlpm.rowNum))),"Ready to Fix",""))</f>
        <v/>
      </c>
    </row>
    <row r="3965" spans="6:6">
      <c r="F3965" s="1" t="str" cm="1">
        <f t="array" ref="F3965">_xlfn.LET(_xlpm.rowNum,MATCH(E3965,'glossaryterms-export'!C:C,0),
IF(AND(NOT(ISBLANK(INDEX('glossaryterms-export'!H:H,_xlpm.rowNum))),ISBLANK(INDEX('glossaryterms-export'!I:I,_xlpm.rowNum))),"Ready to Fix",""))</f>
        <v/>
      </c>
    </row>
    <row r="3966" spans="6:6">
      <c r="F3966" s="1" t="str" cm="1">
        <f t="array" ref="F3966">_xlfn.LET(_xlpm.rowNum,MATCH(E3966,'glossaryterms-export'!C:C,0),
IF(AND(NOT(ISBLANK(INDEX('glossaryterms-export'!H:H,_xlpm.rowNum))),ISBLANK(INDEX('glossaryterms-export'!I:I,_xlpm.rowNum))),"Ready to Fix",""))</f>
        <v/>
      </c>
    </row>
    <row r="3967" spans="6:6">
      <c r="F3967" s="1" t="str" cm="1">
        <f t="array" ref="F3967">_xlfn.LET(_xlpm.rowNum,MATCH(E3967,'glossaryterms-export'!C:C,0),
IF(AND(NOT(ISBLANK(INDEX('glossaryterms-export'!H:H,_xlpm.rowNum))),ISBLANK(INDEX('glossaryterms-export'!I:I,_xlpm.rowNum))),"Ready to Fix",""))</f>
        <v/>
      </c>
    </row>
    <row r="3968" spans="6:6">
      <c r="F3968" s="1" t="str" cm="1">
        <f t="array" ref="F3968">_xlfn.LET(_xlpm.rowNum,MATCH(E3968,'glossaryterms-export'!C:C,0),
IF(AND(NOT(ISBLANK(INDEX('glossaryterms-export'!H:H,_xlpm.rowNum))),ISBLANK(INDEX('glossaryterms-export'!I:I,_xlpm.rowNum))),"Ready to Fix",""))</f>
        <v/>
      </c>
    </row>
    <row r="3969" spans="6:6">
      <c r="F3969" s="1" t="str" cm="1">
        <f t="array" ref="F3969">_xlfn.LET(_xlpm.rowNum,MATCH(E3969,'glossaryterms-export'!C:C,0),
IF(AND(NOT(ISBLANK(INDEX('glossaryterms-export'!H:H,_xlpm.rowNum))),ISBLANK(INDEX('glossaryterms-export'!I:I,_xlpm.rowNum))),"Ready to Fix",""))</f>
        <v/>
      </c>
    </row>
    <row r="3970" spans="6:6">
      <c r="F3970" s="1" t="str" cm="1">
        <f t="array" ref="F3970">_xlfn.LET(_xlpm.rowNum,MATCH(E3970,'glossaryterms-export'!C:C,0),
IF(AND(NOT(ISBLANK(INDEX('glossaryterms-export'!H:H,_xlpm.rowNum))),ISBLANK(INDEX('glossaryterms-export'!I:I,_xlpm.rowNum))),"Ready to Fix",""))</f>
        <v/>
      </c>
    </row>
    <row r="3971" spans="6:6">
      <c r="F3971" s="1" t="str" cm="1">
        <f t="array" ref="F3971">_xlfn.LET(_xlpm.rowNum,MATCH(E3971,'glossaryterms-export'!C:C,0),
IF(AND(NOT(ISBLANK(INDEX('glossaryterms-export'!H:H,_xlpm.rowNum))),ISBLANK(INDEX('glossaryterms-export'!I:I,_xlpm.rowNum))),"Ready to Fix",""))</f>
        <v/>
      </c>
    </row>
    <row r="3972" spans="6:6">
      <c r="F3972" s="1" t="str" cm="1">
        <f t="array" ref="F3972">_xlfn.LET(_xlpm.rowNum,MATCH(E3972,'glossaryterms-export'!C:C,0),
IF(AND(NOT(ISBLANK(INDEX('glossaryterms-export'!H:H,_xlpm.rowNum))),ISBLANK(INDEX('glossaryterms-export'!I:I,_xlpm.rowNum))),"Ready to Fix",""))</f>
        <v/>
      </c>
    </row>
    <row r="3973" spans="6:6">
      <c r="F3973" s="1" t="str" cm="1">
        <f t="array" ref="F3973">_xlfn.LET(_xlpm.rowNum,MATCH(E3973,'glossaryterms-export'!C:C,0),
IF(AND(NOT(ISBLANK(INDEX('glossaryterms-export'!H:H,_xlpm.rowNum))),ISBLANK(INDEX('glossaryterms-export'!I:I,_xlpm.rowNum))),"Ready to Fix",""))</f>
        <v/>
      </c>
    </row>
    <row r="3974" spans="6:6">
      <c r="F3974" s="1" t="str" cm="1">
        <f t="array" ref="F3974">_xlfn.LET(_xlpm.rowNum,MATCH(E3974,'glossaryterms-export'!C:C,0),
IF(AND(NOT(ISBLANK(INDEX('glossaryterms-export'!H:H,_xlpm.rowNum))),ISBLANK(INDEX('glossaryterms-export'!I:I,_xlpm.rowNum))),"Ready to Fix",""))</f>
        <v/>
      </c>
    </row>
    <row r="3975" spans="6:6">
      <c r="F3975" s="1" t="str" cm="1">
        <f t="array" ref="F3975">_xlfn.LET(_xlpm.rowNum,MATCH(E3975,'glossaryterms-export'!C:C,0),
IF(AND(NOT(ISBLANK(INDEX('glossaryterms-export'!H:H,_xlpm.rowNum))),ISBLANK(INDEX('glossaryterms-export'!I:I,_xlpm.rowNum))),"Ready to Fix",""))</f>
        <v/>
      </c>
    </row>
    <row r="3976" spans="6:6">
      <c r="F3976" s="1" t="str" cm="1">
        <f t="array" ref="F3976">_xlfn.LET(_xlpm.rowNum,MATCH(E3976,'glossaryterms-export'!C:C,0),
IF(AND(NOT(ISBLANK(INDEX('glossaryterms-export'!H:H,_xlpm.rowNum))),ISBLANK(INDEX('glossaryterms-export'!I:I,_xlpm.rowNum))),"Ready to Fix",""))</f>
        <v/>
      </c>
    </row>
    <row r="3977" spans="6:6">
      <c r="F3977" s="1" t="str" cm="1">
        <f t="array" ref="F3977">_xlfn.LET(_xlpm.rowNum,MATCH(E3977,'glossaryterms-export'!C:C,0),
IF(AND(NOT(ISBLANK(INDEX('glossaryterms-export'!H:H,_xlpm.rowNum))),ISBLANK(INDEX('glossaryterms-export'!I:I,_xlpm.rowNum))),"Ready to Fix",""))</f>
        <v/>
      </c>
    </row>
    <row r="3978" spans="6:6">
      <c r="F3978" s="1" t="str" cm="1">
        <f t="array" ref="F3978">_xlfn.LET(_xlpm.rowNum,MATCH(E3978,'glossaryterms-export'!C:C,0),
IF(AND(NOT(ISBLANK(INDEX('glossaryterms-export'!H:H,_xlpm.rowNum))),ISBLANK(INDEX('glossaryterms-export'!I:I,_xlpm.rowNum))),"Ready to Fix",""))</f>
        <v/>
      </c>
    </row>
    <row r="3979" spans="6:6">
      <c r="F3979" s="1" t="str" cm="1">
        <f t="array" ref="F3979">_xlfn.LET(_xlpm.rowNum,MATCH(E3979,'glossaryterms-export'!C:C,0),
IF(AND(NOT(ISBLANK(INDEX('glossaryterms-export'!H:H,_xlpm.rowNum))),ISBLANK(INDEX('glossaryterms-export'!I:I,_xlpm.rowNum))),"Ready to Fix",""))</f>
        <v/>
      </c>
    </row>
    <row r="3980" spans="6:6">
      <c r="F3980" s="1" t="str" cm="1">
        <f t="array" ref="F3980">_xlfn.LET(_xlpm.rowNum,MATCH(E3980,'glossaryterms-export'!C:C,0),
IF(AND(NOT(ISBLANK(INDEX('glossaryterms-export'!H:H,_xlpm.rowNum))),ISBLANK(INDEX('glossaryterms-export'!I:I,_xlpm.rowNum))),"Ready to Fix",""))</f>
        <v/>
      </c>
    </row>
    <row r="3981" spans="6:6">
      <c r="F3981" s="1" t="str" cm="1">
        <f t="array" ref="F3981">_xlfn.LET(_xlpm.rowNum,MATCH(E3981,'glossaryterms-export'!C:C,0),
IF(AND(NOT(ISBLANK(INDEX('glossaryterms-export'!H:H,_xlpm.rowNum))),ISBLANK(INDEX('glossaryterms-export'!I:I,_xlpm.rowNum))),"Ready to Fix",""))</f>
        <v/>
      </c>
    </row>
    <row r="3982" spans="6:6">
      <c r="F3982" s="1" t="str" cm="1">
        <f t="array" ref="F3982">_xlfn.LET(_xlpm.rowNum,MATCH(E3982,'glossaryterms-export'!C:C,0),
IF(AND(NOT(ISBLANK(INDEX('glossaryterms-export'!H:H,_xlpm.rowNum))),ISBLANK(INDEX('glossaryterms-export'!I:I,_xlpm.rowNum))),"Ready to Fix",""))</f>
        <v/>
      </c>
    </row>
    <row r="3983" spans="6:6">
      <c r="F3983" s="1" t="str" cm="1">
        <f t="array" ref="F3983">_xlfn.LET(_xlpm.rowNum,MATCH(E3983,'glossaryterms-export'!C:C,0),
IF(AND(NOT(ISBLANK(INDEX('glossaryterms-export'!H:H,_xlpm.rowNum))),ISBLANK(INDEX('glossaryterms-export'!I:I,_xlpm.rowNum))),"Ready to Fix",""))</f>
        <v/>
      </c>
    </row>
    <row r="3984" spans="6:6">
      <c r="F3984" s="1" t="str" cm="1">
        <f t="array" ref="F3984">_xlfn.LET(_xlpm.rowNum,MATCH(E3984,'glossaryterms-export'!C:C,0),
IF(AND(NOT(ISBLANK(INDEX('glossaryterms-export'!H:H,_xlpm.rowNum))),ISBLANK(INDEX('glossaryterms-export'!I:I,_xlpm.rowNum))),"Ready to Fix",""))</f>
        <v/>
      </c>
    </row>
    <row r="3985" spans="6:6">
      <c r="F3985" s="1" t="str" cm="1">
        <f t="array" ref="F3985">_xlfn.LET(_xlpm.rowNum,MATCH(E3985,'glossaryterms-export'!C:C,0),
IF(AND(NOT(ISBLANK(INDEX('glossaryterms-export'!H:H,_xlpm.rowNum))),ISBLANK(INDEX('glossaryterms-export'!I:I,_xlpm.rowNum))),"Ready to Fix",""))</f>
        <v/>
      </c>
    </row>
    <row r="3986" spans="6:6">
      <c r="F3986" s="1" t="str" cm="1">
        <f t="array" ref="F3986">_xlfn.LET(_xlpm.rowNum,MATCH(E3986,'glossaryterms-export'!C:C,0),
IF(AND(NOT(ISBLANK(INDEX('glossaryterms-export'!H:H,_xlpm.rowNum))),ISBLANK(INDEX('glossaryterms-export'!I:I,_xlpm.rowNum))),"Ready to Fix",""))</f>
        <v/>
      </c>
    </row>
    <row r="3987" spans="6:6">
      <c r="F3987" s="1" t="str" cm="1">
        <f t="array" ref="F3987">_xlfn.LET(_xlpm.rowNum,MATCH(E3987,'glossaryterms-export'!C:C,0),
IF(AND(NOT(ISBLANK(INDEX('glossaryterms-export'!H:H,_xlpm.rowNum))),ISBLANK(INDEX('glossaryterms-export'!I:I,_xlpm.rowNum))),"Ready to Fix",""))</f>
        <v/>
      </c>
    </row>
    <row r="3988" spans="6:6">
      <c r="F3988" s="1" t="str" cm="1">
        <f t="array" ref="F3988">_xlfn.LET(_xlpm.rowNum,MATCH(E3988,'glossaryterms-export'!C:C,0),
IF(AND(NOT(ISBLANK(INDEX('glossaryterms-export'!H:H,_xlpm.rowNum))),ISBLANK(INDEX('glossaryterms-export'!I:I,_xlpm.rowNum))),"Ready to Fix",""))</f>
        <v/>
      </c>
    </row>
    <row r="3989" spans="6:6">
      <c r="F3989" s="1" t="str" cm="1">
        <f t="array" ref="F3989">_xlfn.LET(_xlpm.rowNum,MATCH(E3989,'glossaryterms-export'!C:C,0),
IF(AND(NOT(ISBLANK(INDEX('glossaryterms-export'!H:H,_xlpm.rowNum))),ISBLANK(INDEX('glossaryterms-export'!I:I,_xlpm.rowNum))),"Ready to Fix",""))</f>
        <v/>
      </c>
    </row>
    <row r="3990" spans="6:6">
      <c r="F3990" s="1" t="str" cm="1">
        <f t="array" ref="F3990">_xlfn.LET(_xlpm.rowNum,MATCH(E3990,'glossaryterms-export'!C:C,0),
IF(AND(NOT(ISBLANK(INDEX('glossaryterms-export'!H:H,_xlpm.rowNum))),ISBLANK(INDEX('glossaryterms-export'!I:I,_xlpm.rowNum))),"Ready to Fix",""))</f>
        <v/>
      </c>
    </row>
    <row r="3991" spans="6:6">
      <c r="F3991" s="1" t="str" cm="1">
        <f t="array" ref="F3991">_xlfn.LET(_xlpm.rowNum,MATCH(E3991,'glossaryterms-export'!C:C,0),
IF(AND(NOT(ISBLANK(INDEX('glossaryterms-export'!H:H,_xlpm.rowNum))),ISBLANK(INDEX('glossaryterms-export'!I:I,_xlpm.rowNum))),"Ready to Fix",""))</f>
        <v/>
      </c>
    </row>
    <row r="3992" spans="6:6">
      <c r="F3992" s="1" t="str" cm="1">
        <f t="array" ref="F3992">_xlfn.LET(_xlpm.rowNum,MATCH(E3992,'glossaryterms-export'!C:C,0),
IF(AND(NOT(ISBLANK(INDEX('glossaryterms-export'!H:H,_xlpm.rowNum))),ISBLANK(INDEX('glossaryterms-export'!I:I,_xlpm.rowNum))),"Ready to Fix",""))</f>
        <v/>
      </c>
    </row>
    <row r="3993" spans="6:6">
      <c r="F3993" s="1" t="str" cm="1">
        <f t="array" ref="F3993">_xlfn.LET(_xlpm.rowNum,MATCH(E3993,'glossaryterms-export'!C:C,0),
IF(AND(NOT(ISBLANK(INDEX('glossaryterms-export'!H:H,_xlpm.rowNum))),ISBLANK(INDEX('glossaryterms-export'!I:I,_xlpm.rowNum))),"Ready to Fix",""))</f>
        <v/>
      </c>
    </row>
    <row r="3994" spans="6:6">
      <c r="F3994" s="1" t="str" cm="1">
        <f t="array" ref="F3994">_xlfn.LET(_xlpm.rowNum,MATCH(E3994,'glossaryterms-export'!C:C,0),
IF(AND(NOT(ISBLANK(INDEX('glossaryterms-export'!H:H,_xlpm.rowNum))),ISBLANK(INDEX('glossaryterms-export'!I:I,_xlpm.rowNum))),"Ready to Fix",""))</f>
        <v/>
      </c>
    </row>
    <row r="3995" spans="6:6">
      <c r="F3995" s="1" t="str" cm="1">
        <f t="array" ref="F3995">_xlfn.LET(_xlpm.rowNum,MATCH(E3995,'glossaryterms-export'!C:C,0),
IF(AND(NOT(ISBLANK(INDEX('glossaryterms-export'!H:H,_xlpm.rowNum))),ISBLANK(INDEX('glossaryterms-export'!I:I,_xlpm.rowNum))),"Ready to Fix",""))</f>
        <v/>
      </c>
    </row>
    <row r="3996" spans="6:6">
      <c r="F3996" s="1" t="str" cm="1">
        <f t="array" ref="F3996">_xlfn.LET(_xlpm.rowNum,MATCH(E3996,'glossaryterms-export'!C:C,0),
IF(AND(NOT(ISBLANK(INDEX('glossaryterms-export'!H:H,_xlpm.rowNum))),ISBLANK(INDEX('glossaryterms-export'!I:I,_xlpm.rowNum))),"Ready to Fix",""))</f>
        <v/>
      </c>
    </row>
    <row r="3997" spans="6:6">
      <c r="F3997" s="1" t="str" cm="1">
        <f t="array" ref="F3997">_xlfn.LET(_xlpm.rowNum,MATCH(E3997,'glossaryterms-export'!C:C,0),
IF(AND(NOT(ISBLANK(INDEX('glossaryterms-export'!H:H,_xlpm.rowNum))),ISBLANK(INDEX('glossaryterms-export'!I:I,_xlpm.rowNum))),"Ready to Fix",""))</f>
        <v/>
      </c>
    </row>
    <row r="3998" spans="6:6">
      <c r="F3998" s="1" t="str" cm="1">
        <f t="array" ref="F3998">_xlfn.LET(_xlpm.rowNum,MATCH(E3998,'glossaryterms-export'!C:C,0),
IF(AND(NOT(ISBLANK(INDEX('glossaryterms-export'!H:H,_xlpm.rowNum))),ISBLANK(INDEX('glossaryterms-export'!I:I,_xlpm.rowNum))),"Ready to Fix",""))</f>
        <v/>
      </c>
    </row>
    <row r="3999" spans="6:6">
      <c r="F3999" s="1" t="str" cm="1">
        <f t="array" ref="F3999">_xlfn.LET(_xlpm.rowNum,MATCH(E3999,'glossaryterms-export'!C:C,0),
IF(AND(NOT(ISBLANK(INDEX('glossaryterms-export'!H:H,_xlpm.rowNum))),ISBLANK(INDEX('glossaryterms-export'!I:I,_xlpm.rowNum))),"Ready to Fix",""))</f>
        <v/>
      </c>
    </row>
    <row r="4000" spans="6:6">
      <c r="F4000" s="1" t="str" cm="1">
        <f t="array" ref="F4000">_xlfn.LET(_xlpm.rowNum,MATCH(E4000,'glossaryterms-export'!C:C,0),
IF(AND(NOT(ISBLANK(INDEX('glossaryterms-export'!H:H,_xlpm.rowNum))),ISBLANK(INDEX('glossaryterms-export'!I:I,_xlpm.rowNum))),"Ready to Fix",""))</f>
        <v/>
      </c>
    </row>
    <row r="4001" spans="6:6">
      <c r="F4001" s="1" t="str" cm="1">
        <f t="array" ref="F4001">_xlfn.LET(_xlpm.rowNum,MATCH(E4001,'glossaryterms-export'!C:C,0),
IF(AND(NOT(ISBLANK(INDEX('glossaryterms-export'!H:H,_xlpm.rowNum))),ISBLANK(INDEX('glossaryterms-export'!I:I,_xlpm.rowNum))),"Ready to Fix",""))</f>
        <v/>
      </c>
    </row>
    <row r="4002" spans="6:6">
      <c r="F4002" s="1" t="str" cm="1">
        <f t="array" ref="F4002">_xlfn.LET(_xlpm.rowNum,MATCH(E4002,'glossaryterms-export'!C:C,0),
IF(AND(NOT(ISBLANK(INDEX('glossaryterms-export'!H:H,_xlpm.rowNum))),ISBLANK(INDEX('glossaryterms-export'!I:I,_xlpm.rowNum))),"Ready to Fix",""))</f>
        <v/>
      </c>
    </row>
    <row r="4003" spans="6:6">
      <c r="F4003" s="1" t="str" cm="1">
        <f t="array" ref="F4003">_xlfn.LET(_xlpm.rowNum,MATCH(E4003,'glossaryterms-export'!C:C,0),
IF(AND(NOT(ISBLANK(INDEX('glossaryterms-export'!H:H,_xlpm.rowNum))),ISBLANK(INDEX('glossaryterms-export'!I:I,_xlpm.rowNum))),"Ready to Fix",""))</f>
        <v/>
      </c>
    </row>
    <row r="4004" spans="6:6">
      <c r="F4004" s="1" t="str" cm="1">
        <f t="array" ref="F4004">_xlfn.LET(_xlpm.rowNum,MATCH(E4004,'glossaryterms-export'!C:C,0),
IF(AND(NOT(ISBLANK(INDEX('glossaryterms-export'!H:H,_xlpm.rowNum))),ISBLANK(INDEX('glossaryterms-export'!I:I,_xlpm.rowNum))),"Ready to Fix",""))</f>
        <v/>
      </c>
    </row>
    <row r="4005" spans="6:6">
      <c r="F4005" s="1" t="str" cm="1">
        <f t="array" ref="F4005">_xlfn.LET(_xlpm.rowNum,MATCH(E4005,'glossaryterms-export'!C:C,0),
IF(AND(NOT(ISBLANK(INDEX('glossaryterms-export'!H:H,_xlpm.rowNum))),ISBLANK(INDEX('glossaryterms-export'!I:I,_xlpm.rowNum))),"Ready to Fix",""))</f>
        <v/>
      </c>
    </row>
    <row r="4006" spans="6:6">
      <c r="F4006" s="1" t="str" cm="1">
        <f t="array" ref="F4006">_xlfn.LET(_xlpm.rowNum,MATCH(E4006,'glossaryterms-export'!C:C,0),
IF(AND(NOT(ISBLANK(INDEX('glossaryterms-export'!H:H,_xlpm.rowNum))),ISBLANK(INDEX('glossaryterms-export'!I:I,_xlpm.rowNum))),"Ready to Fix",""))</f>
        <v/>
      </c>
    </row>
    <row r="4007" spans="6:6">
      <c r="F4007" s="1" t="str" cm="1">
        <f t="array" ref="F4007">_xlfn.LET(_xlpm.rowNum,MATCH(E4007,'glossaryterms-export'!C:C,0),
IF(AND(NOT(ISBLANK(INDEX('glossaryterms-export'!H:H,_xlpm.rowNum))),ISBLANK(INDEX('glossaryterms-export'!I:I,_xlpm.rowNum))),"Ready to Fix",""))</f>
        <v/>
      </c>
    </row>
    <row r="4008" spans="6:6">
      <c r="F4008" s="1" t="str" cm="1">
        <f t="array" ref="F4008">_xlfn.LET(_xlpm.rowNum,MATCH(E4008,'glossaryterms-export'!C:C,0),
IF(AND(NOT(ISBLANK(INDEX('glossaryterms-export'!H:H,_xlpm.rowNum))),ISBLANK(INDEX('glossaryterms-export'!I:I,_xlpm.rowNum))),"Ready to Fix",""))</f>
        <v/>
      </c>
    </row>
    <row r="4009" spans="6:6">
      <c r="F4009" s="1" t="str" cm="1">
        <f t="array" ref="F4009">_xlfn.LET(_xlpm.rowNum,MATCH(E4009,'glossaryterms-export'!C:C,0),
IF(AND(NOT(ISBLANK(INDEX('glossaryterms-export'!H:H,_xlpm.rowNum))),ISBLANK(INDEX('glossaryterms-export'!I:I,_xlpm.rowNum))),"Ready to Fix",""))</f>
        <v/>
      </c>
    </row>
    <row r="4010" spans="6:6">
      <c r="F4010" s="1" t="str" cm="1">
        <f t="array" ref="F4010">_xlfn.LET(_xlpm.rowNum,MATCH(E4010,'glossaryterms-export'!C:C,0),
IF(AND(NOT(ISBLANK(INDEX('glossaryterms-export'!H:H,_xlpm.rowNum))),ISBLANK(INDEX('glossaryterms-export'!I:I,_xlpm.rowNum))),"Ready to Fix",""))</f>
        <v/>
      </c>
    </row>
    <row r="4011" spans="6:6">
      <c r="F4011" s="1" t="str" cm="1">
        <f t="array" ref="F4011">_xlfn.LET(_xlpm.rowNum,MATCH(E4011,'glossaryterms-export'!C:C,0),
IF(AND(NOT(ISBLANK(INDEX('glossaryterms-export'!H:H,_xlpm.rowNum))),ISBLANK(INDEX('glossaryterms-export'!I:I,_xlpm.rowNum))),"Ready to Fix",""))</f>
        <v/>
      </c>
    </row>
    <row r="4012" spans="6:6">
      <c r="F4012" s="1" t="str" cm="1">
        <f t="array" ref="F4012">_xlfn.LET(_xlpm.rowNum,MATCH(E4012,'glossaryterms-export'!C:C,0),
IF(AND(NOT(ISBLANK(INDEX('glossaryterms-export'!H:H,_xlpm.rowNum))),ISBLANK(INDEX('glossaryterms-export'!I:I,_xlpm.rowNum))),"Ready to Fix",""))</f>
        <v/>
      </c>
    </row>
    <row r="4013" spans="6:6">
      <c r="F4013" s="1" t="str" cm="1">
        <f t="array" ref="F4013">_xlfn.LET(_xlpm.rowNum,MATCH(E4013,'glossaryterms-export'!C:C,0),
IF(AND(NOT(ISBLANK(INDEX('glossaryterms-export'!H:H,_xlpm.rowNum))),ISBLANK(INDEX('glossaryterms-export'!I:I,_xlpm.rowNum))),"Ready to Fix",""))</f>
        <v/>
      </c>
    </row>
    <row r="4014" spans="6:6">
      <c r="F4014" s="1" t="str" cm="1">
        <f t="array" ref="F4014">_xlfn.LET(_xlpm.rowNum,MATCH(E4014,'glossaryterms-export'!C:C,0),
IF(AND(NOT(ISBLANK(INDEX('glossaryterms-export'!H:H,_xlpm.rowNum))),ISBLANK(INDEX('glossaryterms-export'!I:I,_xlpm.rowNum))),"Ready to Fix",""))</f>
        <v/>
      </c>
    </row>
    <row r="4015" spans="6:6">
      <c r="F4015" s="1" t="str" cm="1">
        <f t="array" ref="F4015">_xlfn.LET(_xlpm.rowNum,MATCH(E4015,'glossaryterms-export'!C:C,0),
IF(AND(NOT(ISBLANK(INDEX('glossaryterms-export'!H:H,_xlpm.rowNum))),ISBLANK(INDEX('glossaryterms-export'!I:I,_xlpm.rowNum))),"Ready to Fix",""))</f>
        <v/>
      </c>
    </row>
    <row r="4016" spans="6:6">
      <c r="F4016" s="1" t="str" cm="1">
        <f t="array" ref="F4016">_xlfn.LET(_xlpm.rowNum,MATCH(E4016,'glossaryterms-export'!C:C,0),
IF(AND(NOT(ISBLANK(INDEX('glossaryterms-export'!H:H,_xlpm.rowNum))),ISBLANK(INDEX('glossaryterms-export'!I:I,_xlpm.rowNum))),"Ready to Fix",""))</f>
        <v/>
      </c>
    </row>
    <row r="4017" spans="6:6">
      <c r="F4017" s="1" t="str" cm="1">
        <f t="array" ref="F4017">_xlfn.LET(_xlpm.rowNum,MATCH(E4017,'glossaryterms-export'!C:C,0),
IF(AND(NOT(ISBLANK(INDEX('glossaryterms-export'!H:H,_xlpm.rowNum))),ISBLANK(INDEX('glossaryterms-export'!I:I,_xlpm.rowNum))),"Ready to Fix",""))</f>
        <v/>
      </c>
    </row>
    <row r="4018" spans="6:6">
      <c r="F4018" s="1" t="str" cm="1">
        <f t="array" ref="F4018">_xlfn.LET(_xlpm.rowNum,MATCH(E4018,'glossaryterms-export'!C:C,0),
IF(AND(NOT(ISBLANK(INDEX('glossaryterms-export'!H:H,_xlpm.rowNum))),ISBLANK(INDEX('glossaryterms-export'!I:I,_xlpm.rowNum))),"Ready to Fix",""))</f>
        <v/>
      </c>
    </row>
    <row r="4019" spans="6:6">
      <c r="F4019" s="1" t="str" cm="1">
        <f t="array" ref="F4019">_xlfn.LET(_xlpm.rowNum,MATCH(E4019,'glossaryterms-export'!C:C,0),
IF(AND(NOT(ISBLANK(INDEX('glossaryterms-export'!H:H,_xlpm.rowNum))),ISBLANK(INDEX('glossaryterms-export'!I:I,_xlpm.rowNum))),"Ready to Fix",""))</f>
        <v/>
      </c>
    </row>
    <row r="4020" spans="6:6">
      <c r="F4020" s="1" t="str" cm="1">
        <f t="array" ref="F4020">_xlfn.LET(_xlpm.rowNum,MATCH(E4020,'glossaryterms-export'!C:C,0),
IF(AND(NOT(ISBLANK(INDEX('glossaryterms-export'!H:H,_xlpm.rowNum))),ISBLANK(INDEX('glossaryterms-export'!I:I,_xlpm.rowNum))),"Ready to Fix",""))</f>
        <v/>
      </c>
    </row>
    <row r="4021" spans="6:6">
      <c r="F4021" s="1" t="str" cm="1">
        <f t="array" ref="F4021">_xlfn.LET(_xlpm.rowNum,MATCH(E4021,'glossaryterms-export'!C:C,0),
IF(AND(NOT(ISBLANK(INDEX('glossaryterms-export'!H:H,_xlpm.rowNum))),ISBLANK(INDEX('glossaryterms-export'!I:I,_xlpm.rowNum))),"Ready to Fix",""))</f>
        <v/>
      </c>
    </row>
    <row r="4022" spans="6:6">
      <c r="F4022" s="1" t="str" cm="1">
        <f t="array" ref="F4022">_xlfn.LET(_xlpm.rowNum,MATCH(E4022,'glossaryterms-export'!C:C,0),
IF(AND(NOT(ISBLANK(INDEX('glossaryterms-export'!H:H,_xlpm.rowNum))),ISBLANK(INDEX('glossaryterms-export'!I:I,_xlpm.rowNum))),"Ready to Fix",""))</f>
        <v/>
      </c>
    </row>
    <row r="4023" spans="6:6">
      <c r="F4023" s="1" t="str" cm="1">
        <f t="array" ref="F4023">_xlfn.LET(_xlpm.rowNum,MATCH(E4023,'glossaryterms-export'!C:C,0),
IF(AND(NOT(ISBLANK(INDEX('glossaryterms-export'!H:H,_xlpm.rowNum))),ISBLANK(INDEX('glossaryterms-export'!I:I,_xlpm.rowNum))),"Ready to Fix",""))</f>
        <v/>
      </c>
    </row>
    <row r="4024" spans="6:6">
      <c r="F4024" s="1" t="str" cm="1">
        <f t="array" ref="F4024">_xlfn.LET(_xlpm.rowNum,MATCH(E4024,'glossaryterms-export'!C:C,0),
IF(AND(NOT(ISBLANK(INDEX('glossaryterms-export'!H:H,_xlpm.rowNum))),ISBLANK(INDEX('glossaryterms-export'!I:I,_xlpm.rowNum))),"Ready to Fix",""))</f>
        <v/>
      </c>
    </row>
    <row r="4025" spans="6:6">
      <c r="F4025" s="1" t="str" cm="1">
        <f t="array" ref="F4025">_xlfn.LET(_xlpm.rowNum,MATCH(E4025,'glossaryterms-export'!C:C,0),
IF(AND(NOT(ISBLANK(INDEX('glossaryterms-export'!H:H,_xlpm.rowNum))),ISBLANK(INDEX('glossaryterms-export'!I:I,_xlpm.rowNum))),"Ready to Fix",""))</f>
        <v/>
      </c>
    </row>
    <row r="4026" spans="6:6">
      <c r="F4026" s="1" t="str" cm="1">
        <f t="array" ref="F4026">_xlfn.LET(_xlpm.rowNum,MATCH(E4026,'glossaryterms-export'!C:C,0),
IF(AND(NOT(ISBLANK(INDEX('glossaryterms-export'!H:H,_xlpm.rowNum))),ISBLANK(INDEX('glossaryterms-export'!I:I,_xlpm.rowNum))),"Ready to Fix",""))</f>
        <v/>
      </c>
    </row>
    <row r="4027" spans="6:6">
      <c r="F4027" s="1" t="str" cm="1">
        <f t="array" ref="F4027">_xlfn.LET(_xlpm.rowNum,MATCH(E4027,'glossaryterms-export'!C:C,0),
IF(AND(NOT(ISBLANK(INDEX('glossaryterms-export'!H:H,_xlpm.rowNum))),ISBLANK(INDEX('glossaryterms-export'!I:I,_xlpm.rowNum))),"Ready to Fix",""))</f>
        <v/>
      </c>
    </row>
    <row r="4028" spans="6:6">
      <c r="F4028" s="1" t="str" cm="1">
        <f t="array" ref="F4028">_xlfn.LET(_xlpm.rowNum,MATCH(E4028,'glossaryterms-export'!C:C,0),
IF(AND(NOT(ISBLANK(INDEX('glossaryterms-export'!H:H,_xlpm.rowNum))),ISBLANK(INDEX('glossaryterms-export'!I:I,_xlpm.rowNum))),"Ready to Fix",""))</f>
        <v/>
      </c>
    </row>
    <row r="4029" spans="6:6">
      <c r="F4029" s="1" t="str" cm="1">
        <f t="array" ref="F4029">_xlfn.LET(_xlpm.rowNum,MATCH(E4029,'glossaryterms-export'!C:C,0),
IF(AND(NOT(ISBLANK(INDEX('glossaryterms-export'!H:H,_xlpm.rowNum))),ISBLANK(INDEX('glossaryterms-export'!I:I,_xlpm.rowNum))),"Ready to Fix",""))</f>
        <v/>
      </c>
    </row>
    <row r="4030" spans="6:6">
      <c r="F4030" s="1" t="str" cm="1">
        <f t="array" ref="F4030">_xlfn.LET(_xlpm.rowNum,MATCH(E4030,'glossaryterms-export'!C:C,0),
IF(AND(NOT(ISBLANK(INDEX('glossaryterms-export'!H:H,_xlpm.rowNum))),ISBLANK(INDEX('glossaryterms-export'!I:I,_xlpm.rowNum))),"Ready to Fix",""))</f>
        <v/>
      </c>
    </row>
    <row r="4031" spans="6:6">
      <c r="F4031" s="1" t="str" cm="1">
        <f t="array" ref="F4031">_xlfn.LET(_xlpm.rowNum,MATCH(E4031,'glossaryterms-export'!C:C,0),
IF(AND(NOT(ISBLANK(INDEX('glossaryterms-export'!H:H,_xlpm.rowNum))),ISBLANK(INDEX('glossaryterms-export'!I:I,_xlpm.rowNum))),"Ready to Fix",""))</f>
        <v/>
      </c>
    </row>
    <row r="4032" spans="6:6">
      <c r="F4032" s="1" t="str" cm="1">
        <f t="array" ref="F4032">_xlfn.LET(_xlpm.rowNum,MATCH(E4032,'glossaryterms-export'!C:C,0),
IF(AND(NOT(ISBLANK(INDEX('glossaryterms-export'!H:H,_xlpm.rowNum))),ISBLANK(INDEX('glossaryterms-export'!I:I,_xlpm.rowNum))),"Ready to Fix",""))</f>
        <v/>
      </c>
    </row>
    <row r="4033" spans="6:6">
      <c r="F4033" s="1" t="str" cm="1">
        <f t="array" ref="F4033">_xlfn.LET(_xlpm.rowNum,MATCH(E4033,'glossaryterms-export'!C:C,0),
IF(AND(NOT(ISBLANK(INDEX('glossaryterms-export'!H:H,_xlpm.rowNum))),ISBLANK(INDEX('glossaryterms-export'!I:I,_xlpm.rowNum))),"Ready to Fix",""))</f>
        <v/>
      </c>
    </row>
    <row r="4034" spans="6:6">
      <c r="F4034" s="1" t="str" cm="1">
        <f t="array" ref="F4034">_xlfn.LET(_xlpm.rowNum,MATCH(E4034,'glossaryterms-export'!C:C,0),
IF(AND(NOT(ISBLANK(INDEX('glossaryterms-export'!H:H,_xlpm.rowNum))),ISBLANK(INDEX('glossaryterms-export'!I:I,_xlpm.rowNum))),"Ready to Fix",""))</f>
        <v/>
      </c>
    </row>
    <row r="4035" spans="6:6">
      <c r="F4035" s="1" t="str" cm="1">
        <f t="array" ref="F4035">_xlfn.LET(_xlpm.rowNum,MATCH(E4035,'glossaryterms-export'!C:C,0),
IF(AND(NOT(ISBLANK(INDEX('glossaryterms-export'!H:H,_xlpm.rowNum))),ISBLANK(INDEX('glossaryterms-export'!I:I,_xlpm.rowNum))),"Ready to Fix",""))</f>
        <v/>
      </c>
    </row>
    <row r="4036" spans="6:6">
      <c r="F4036" s="1" t="str" cm="1">
        <f t="array" ref="F4036">_xlfn.LET(_xlpm.rowNum,MATCH(E4036,'glossaryterms-export'!C:C,0),
IF(AND(NOT(ISBLANK(INDEX('glossaryterms-export'!H:H,_xlpm.rowNum))),ISBLANK(INDEX('glossaryterms-export'!I:I,_xlpm.rowNum))),"Ready to Fix",""))</f>
        <v/>
      </c>
    </row>
    <row r="4037" spans="6:6">
      <c r="F4037" s="1" t="str" cm="1">
        <f t="array" ref="F4037">_xlfn.LET(_xlpm.rowNum,MATCH(E4037,'glossaryterms-export'!C:C,0),
IF(AND(NOT(ISBLANK(INDEX('glossaryterms-export'!H:H,_xlpm.rowNum))),ISBLANK(INDEX('glossaryterms-export'!I:I,_xlpm.rowNum))),"Ready to Fix",""))</f>
        <v/>
      </c>
    </row>
    <row r="4038" spans="6:6">
      <c r="F4038" s="1" t="str" cm="1">
        <f t="array" ref="F4038">_xlfn.LET(_xlpm.rowNum,MATCH(E4038,'glossaryterms-export'!C:C,0),
IF(AND(NOT(ISBLANK(INDEX('glossaryterms-export'!H:H,_xlpm.rowNum))),ISBLANK(INDEX('glossaryterms-export'!I:I,_xlpm.rowNum))),"Ready to Fix",""))</f>
        <v/>
      </c>
    </row>
    <row r="4039" spans="6:6">
      <c r="F4039" s="1" t="str" cm="1">
        <f t="array" ref="F4039">_xlfn.LET(_xlpm.rowNum,MATCH(E4039,'glossaryterms-export'!C:C,0),
IF(AND(NOT(ISBLANK(INDEX('glossaryterms-export'!H:H,_xlpm.rowNum))),ISBLANK(INDEX('glossaryterms-export'!I:I,_xlpm.rowNum))),"Ready to Fix",""))</f>
        <v/>
      </c>
    </row>
    <row r="4040" spans="6:6">
      <c r="F4040" s="1" t="str" cm="1">
        <f t="array" ref="F4040">_xlfn.LET(_xlpm.rowNum,MATCH(E4040,'glossaryterms-export'!C:C,0),
IF(AND(NOT(ISBLANK(INDEX('glossaryterms-export'!H:H,_xlpm.rowNum))),ISBLANK(INDEX('glossaryterms-export'!I:I,_xlpm.rowNum))),"Ready to Fix",""))</f>
        <v/>
      </c>
    </row>
    <row r="4041" spans="6:6">
      <c r="F4041" s="1" t="str" cm="1">
        <f t="array" ref="F4041">_xlfn.LET(_xlpm.rowNum,MATCH(E4041,'glossaryterms-export'!C:C,0),
IF(AND(NOT(ISBLANK(INDEX('glossaryterms-export'!H:H,_xlpm.rowNum))),ISBLANK(INDEX('glossaryterms-export'!I:I,_xlpm.rowNum))),"Ready to Fix",""))</f>
        <v/>
      </c>
    </row>
    <row r="4042" spans="6:6">
      <c r="F4042" s="1" t="str" cm="1">
        <f t="array" ref="F4042">_xlfn.LET(_xlpm.rowNum,MATCH(E4042,'glossaryterms-export'!C:C,0),
IF(AND(NOT(ISBLANK(INDEX('glossaryterms-export'!H:H,_xlpm.rowNum))),ISBLANK(INDEX('glossaryterms-export'!I:I,_xlpm.rowNum))),"Ready to Fix",""))</f>
        <v/>
      </c>
    </row>
    <row r="4043" spans="6:6">
      <c r="F4043" s="1" t="str" cm="1">
        <f t="array" ref="F4043">_xlfn.LET(_xlpm.rowNum,MATCH(E4043,'glossaryterms-export'!C:C,0),
IF(AND(NOT(ISBLANK(INDEX('glossaryterms-export'!H:H,_xlpm.rowNum))),ISBLANK(INDEX('glossaryterms-export'!I:I,_xlpm.rowNum))),"Ready to Fix",""))</f>
        <v/>
      </c>
    </row>
    <row r="4044" spans="6:6">
      <c r="F4044" s="1" t="str" cm="1">
        <f t="array" ref="F4044">_xlfn.LET(_xlpm.rowNum,MATCH(E4044,'glossaryterms-export'!C:C,0),
IF(AND(NOT(ISBLANK(INDEX('glossaryterms-export'!H:H,_xlpm.rowNum))),ISBLANK(INDEX('glossaryterms-export'!I:I,_xlpm.rowNum))),"Ready to Fix",""))</f>
        <v/>
      </c>
    </row>
    <row r="4045" spans="6:6">
      <c r="F4045" s="1" t="str" cm="1">
        <f t="array" ref="F4045">_xlfn.LET(_xlpm.rowNum,MATCH(E4045,'glossaryterms-export'!C:C,0),
IF(AND(NOT(ISBLANK(INDEX('glossaryterms-export'!H:H,_xlpm.rowNum))),ISBLANK(INDEX('glossaryterms-export'!I:I,_xlpm.rowNum))),"Ready to Fix",""))</f>
        <v/>
      </c>
    </row>
    <row r="4046" spans="6:6">
      <c r="F4046" s="1" t="str" cm="1">
        <f t="array" ref="F4046">_xlfn.LET(_xlpm.rowNum,MATCH(E4046,'glossaryterms-export'!C:C,0),
IF(AND(NOT(ISBLANK(INDEX('glossaryterms-export'!H:H,_xlpm.rowNum))),ISBLANK(INDEX('glossaryterms-export'!I:I,_xlpm.rowNum))),"Ready to Fix",""))</f>
        <v/>
      </c>
    </row>
    <row r="4047" spans="6:6">
      <c r="F4047" s="1" t="str" cm="1">
        <f t="array" ref="F4047">_xlfn.LET(_xlpm.rowNum,MATCH(E4047,'glossaryterms-export'!C:C,0),
IF(AND(NOT(ISBLANK(INDEX('glossaryterms-export'!H:H,_xlpm.rowNum))),ISBLANK(INDEX('glossaryterms-export'!I:I,_xlpm.rowNum))),"Ready to Fix",""))</f>
        <v/>
      </c>
    </row>
    <row r="4048" spans="6:6">
      <c r="F4048" s="1" t="str" cm="1">
        <f t="array" ref="F4048">_xlfn.LET(_xlpm.rowNum,MATCH(E4048,'glossaryterms-export'!C:C,0),
IF(AND(NOT(ISBLANK(INDEX('glossaryterms-export'!H:H,_xlpm.rowNum))),ISBLANK(INDEX('glossaryterms-export'!I:I,_xlpm.rowNum))),"Ready to Fix",""))</f>
        <v/>
      </c>
    </row>
    <row r="4049" spans="6:6">
      <c r="F4049" s="1" t="str" cm="1">
        <f t="array" ref="F4049">_xlfn.LET(_xlpm.rowNum,MATCH(E4049,'glossaryterms-export'!C:C,0),
IF(AND(NOT(ISBLANK(INDEX('glossaryterms-export'!H:H,_xlpm.rowNum))),ISBLANK(INDEX('glossaryterms-export'!I:I,_xlpm.rowNum))),"Ready to Fix",""))</f>
        <v/>
      </c>
    </row>
    <row r="4050" spans="6:6">
      <c r="F4050" s="1" t="str" cm="1">
        <f t="array" ref="F4050">_xlfn.LET(_xlpm.rowNum,MATCH(E4050,'glossaryterms-export'!C:C,0),
IF(AND(NOT(ISBLANK(INDEX('glossaryterms-export'!H:H,_xlpm.rowNum))),ISBLANK(INDEX('glossaryterms-export'!I:I,_xlpm.rowNum))),"Ready to Fix",""))</f>
        <v/>
      </c>
    </row>
    <row r="4051" spans="6:6">
      <c r="F4051" s="1" t="str" cm="1">
        <f t="array" ref="F4051">_xlfn.LET(_xlpm.rowNum,MATCH(E4051,'glossaryterms-export'!C:C,0),
IF(AND(NOT(ISBLANK(INDEX('glossaryterms-export'!H:H,_xlpm.rowNum))),ISBLANK(INDEX('glossaryterms-export'!I:I,_xlpm.rowNum))),"Ready to Fix",""))</f>
        <v/>
      </c>
    </row>
    <row r="4052" spans="6:6">
      <c r="F4052" s="1" t="str" cm="1">
        <f t="array" ref="F4052">_xlfn.LET(_xlpm.rowNum,MATCH(E4052,'glossaryterms-export'!C:C,0),
IF(AND(NOT(ISBLANK(INDEX('glossaryterms-export'!H:H,_xlpm.rowNum))),ISBLANK(INDEX('glossaryterms-export'!I:I,_xlpm.rowNum))),"Ready to Fix",""))</f>
        <v/>
      </c>
    </row>
    <row r="4053" spans="6:6">
      <c r="F4053" s="1" t="str" cm="1">
        <f t="array" ref="F4053">_xlfn.LET(_xlpm.rowNum,MATCH(E4053,'glossaryterms-export'!C:C,0),
IF(AND(NOT(ISBLANK(INDEX('glossaryterms-export'!H:H,_xlpm.rowNum))),ISBLANK(INDEX('glossaryterms-export'!I:I,_xlpm.rowNum))),"Ready to Fix",""))</f>
        <v/>
      </c>
    </row>
    <row r="4054" spans="6:6">
      <c r="F4054" s="1" t="str" cm="1">
        <f t="array" ref="F4054">_xlfn.LET(_xlpm.rowNum,MATCH(E4054,'glossaryterms-export'!C:C,0),
IF(AND(NOT(ISBLANK(INDEX('glossaryterms-export'!H:H,_xlpm.rowNum))),ISBLANK(INDEX('glossaryterms-export'!I:I,_xlpm.rowNum))),"Ready to Fix",""))</f>
        <v/>
      </c>
    </row>
    <row r="4055" spans="6:6">
      <c r="F4055" s="1" t="str" cm="1">
        <f t="array" ref="F4055">_xlfn.LET(_xlpm.rowNum,MATCH(E4055,'glossaryterms-export'!C:C,0),
IF(AND(NOT(ISBLANK(INDEX('glossaryterms-export'!H:H,_xlpm.rowNum))),ISBLANK(INDEX('glossaryterms-export'!I:I,_xlpm.rowNum))),"Ready to Fix",""))</f>
        <v/>
      </c>
    </row>
    <row r="4056" spans="6:6">
      <c r="F4056" s="1" t="str" cm="1">
        <f t="array" ref="F4056">_xlfn.LET(_xlpm.rowNum,MATCH(E4056,'glossaryterms-export'!C:C,0),
IF(AND(NOT(ISBLANK(INDEX('glossaryterms-export'!H:H,_xlpm.rowNum))),ISBLANK(INDEX('glossaryterms-export'!I:I,_xlpm.rowNum))),"Ready to Fix",""))</f>
        <v/>
      </c>
    </row>
    <row r="4057" spans="6:6">
      <c r="F4057" s="1" t="str" cm="1">
        <f t="array" ref="F4057">_xlfn.LET(_xlpm.rowNum,MATCH(E4057,'glossaryterms-export'!C:C,0),
IF(AND(NOT(ISBLANK(INDEX('glossaryterms-export'!H:H,_xlpm.rowNum))),ISBLANK(INDEX('glossaryterms-export'!I:I,_xlpm.rowNum))),"Ready to Fix",""))</f>
        <v/>
      </c>
    </row>
    <row r="4058" spans="6:6">
      <c r="F4058" s="1" t="str" cm="1">
        <f t="array" ref="F4058">_xlfn.LET(_xlpm.rowNum,MATCH(E4058,'glossaryterms-export'!C:C,0),
IF(AND(NOT(ISBLANK(INDEX('glossaryterms-export'!H:H,_xlpm.rowNum))),ISBLANK(INDEX('glossaryterms-export'!I:I,_xlpm.rowNum))),"Ready to Fix",""))</f>
        <v/>
      </c>
    </row>
    <row r="4059" spans="6:6">
      <c r="F4059" s="1" t="str" cm="1">
        <f t="array" ref="F4059">_xlfn.LET(_xlpm.rowNum,MATCH(E4059,'glossaryterms-export'!C:C,0),
IF(AND(NOT(ISBLANK(INDEX('glossaryterms-export'!H:H,_xlpm.rowNum))),ISBLANK(INDEX('glossaryterms-export'!I:I,_xlpm.rowNum))),"Ready to Fix",""))</f>
        <v/>
      </c>
    </row>
    <row r="4060" spans="6:6">
      <c r="F4060" s="1" t="str" cm="1">
        <f t="array" ref="F4060">_xlfn.LET(_xlpm.rowNum,MATCH(E4060,'glossaryterms-export'!C:C,0),
IF(AND(NOT(ISBLANK(INDEX('glossaryterms-export'!H:H,_xlpm.rowNum))),ISBLANK(INDEX('glossaryterms-export'!I:I,_xlpm.rowNum))),"Ready to Fix",""))</f>
        <v/>
      </c>
    </row>
    <row r="4061" spans="6:6">
      <c r="F4061" s="1" t="str" cm="1">
        <f t="array" ref="F4061">_xlfn.LET(_xlpm.rowNum,MATCH(E4061,'glossaryterms-export'!C:C,0),
IF(AND(NOT(ISBLANK(INDEX('glossaryterms-export'!H:H,_xlpm.rowNum))),ISBLANK(INDEX('glossaryterms-export'!I:I,_xlpm.rowNum))),"Ready to Fix",""))</f>
        <v/>
      </c>
    </row>
    <row r="4062" spans="6:6">
      <c r="F4062" s="1" t="str" cm="1">
        <f t="array" ref="F4062">_xlfn.LET(_xlpm.rowNum,MATCH(E4062,'glossaryterms-export'!C:C,0),
IF(AND(NOT(ISBLANK(INDEX('glossaryterms-export'!H:H,_xlpm.rowNum))),ISBLANK(INDEX('glossaryterms-export'!I:I,_xlpm.rowNum))),"Ready to Fix",""))</f>
        <v/>
      </c>
    </row>
    <row r="4063" spans="6:6">
      <c r="F4063" s="1" t="str" cm="1">
        <f t="array" ref="F4063">_xlfn.LET(_xlpm.rowNum,MATCH(E4063,'glossaryterms-export'!C:C,0),
IF(AND(NOT(ISBLANK(INDEX('glossaryterms-export'!H:H,_xlpm.rowNum))),ISBLANK(INDEX('glossaryterms-export'!I:I,_xlpm.rowNum))),"Ready to Fix",""))</f>
        <v/>
      </c>
    </row>
    <row r="4064" spans="6:6">
      <c r="F4064" s="1" t="str" cm="1">
        <f t="array" ref="F4064">_xlfn.LET(_xlpm.rowNum,MATCH(E4064,'glossaryterms-export'!C:C,0),
IF(AND(NOT(ISBLANK(INDEX('glossaryterms-export'!H:H,_xlpm.rowNum))),ISBLANK(INDEX('glossaryterms-export'!I:I,_xlpm.rowNum))),"Ready to Fix",""))</f>
        <v/>
      </c>
    </row>
    <row r="4065" spans="6:6">
      <c r="F4065" s="1" t="str" cm="1">
        <f t="array" ref="F4065">_xlfn.LET(_xlpm.rowNum,MATCH(E4065,'glossaryterms-export'!C:C,0),
IF(AND(NOT(ISBLANK(INDEX('glossaryterms-export'!H:H,_xlpm.rowNum))),ISBLANK(INDEX('glossaryterms-export'!I:I,_xlpm.rowNum))),"Ready to Fix",""))</f>
        <v/>
      </c>
    </row>
    <row r="4066" spans="6:6">
      <c r="F4066" s="1" t="str" cm="1">
        <f t="array" ref="F4066">_xlfn.LET(_xlpm.rowNum,MATCH(E4066,'glossaryterms-export'!C:C,0),
IF(AND(NOT(ISBLANK(INDEX('glossaryterms-export'!H:H,_xlpm.rowNum))),ISBLANK(INDEX('glossaryterms-export'!I:I,_xlpm.rowNum))),"Ready to Fix",""))</f>
        <v/>
      </c>
    </row>
    <row r="4067" spans="6:6">
      <c r="F4067" s="1" t="str" cm="1">
        <f t="array" ref="F4067">_xlfn.LET(_xlpm.rowNum,MATCH(E4067,'glossaryterms-export'!C:C,0),
IF(AND(NOT(ISBLANK(INDEX('glossaryterms-export'!H:H,_xlpm.rowNum))),ISBLANK(INDEX('glossaryterms-export'!I:I,_xlpm.rowNum))),"Ready to Fix",""))</f>
        <v/>
      </c>
    </row>
    <row r="4068" spans="6:6">
      <c r="F4068" s="1" t="str" cm="1">
        <f t="array" ref="F4068">_xlfn.LET(_xlpm.rowNum,MATCH(E4068,'glossaryterms-export'!C:C,0),
IF(AND(NOT(ISBLANK(INDEX('glossaryterms-export'!H:H,_xlpm.rowNum))),ISBLANK(INDEX('glossaryterms-export'!I:I,_xlpm.rowNum))),"Ready to Fix",""))</f>
        <v/>
      </c>
    </row>
    <row r="4069" spans="6:6">
      <c r="F4069" s="1" t="str" cm="1">
        <f t="array" ref="F4069">_xlfn.LET(_xlpm.rowNum,MATCH(E4069,'glossaryterms-export'!C:C,0),
IF(AND(NOT(ISBLANK(INDEX('glossaryterms-export'!H:H,_xlpm.rowNum))),ISBLANK(INDEX('glossaryterms-export'!I:I,_xlpm.rowNum))),"Ready to Fix",""))</f>
        <v/>
      </c>
    </row>
    <row r="4070" spans="6:6">
      <c r="F4070" s="1" t="str" cm="1">
        <f t="array" ref="F4070">_xlfn.LET(_xlpm.rowNum,MATCH(E4070,'glossaryterms-export'!C:C,0),
IF(AND(NOT(ISBLANK(INDEX('glossaryterms-export'!H:H,_xlpm.rowNum))),ISBLANK(INDEX('glossaryterms-export'!I:I,_xlpm.rowNum))),"Ready to Fix",""))</f>
        <v/>
      </c>
    </row>
    <row r="4071" spans="6:6">
      <c r="F4071" s="1" t="str" cm="1">
        <f t="array" ref="F4071">_xlfn.LET(_xlpm.rowNum,MATCH(E4071,'glossaryterms-export'!C:C,0),
IF(AND(NOT(ISBLANK(INDEX('glossaryterms-export'!H:H,_xlpm.rowNum))),ISBLANK(INDEX('glossaryterms-export'!I:I,_xlpm.rowNum))),"Ready to Fix",""))</f>
        <v/>
      </c>
    </row>
    <row r="4072" spans="6:6">
      <c r="F4072" s="1" t="str" cm="1">
        <f t="array" ref="F4072">_xlfn.LET(_xlpm.rowNum,MATCH(E4072,'glossaryterms-export'!C:C,0),
IF(AND(NOT(ISBLANK(INDEX('glossaryterms-export'!H:H,_xlpm.rowNum))),ISBLANK(INDEX('glossaryterms-export'!I:I,_xlpm.rowNum))),"Ready to Fix",""))</f>
        <v/>
      </c>
    </row>
    <row r="4073" spans="6:6">
      <c r="F4073" s="1" t="str" cm="1">
        <f t="array" ref="F4073">_xlfn.LET(_xlpm.rowNum,MATCH(E4073,'glossaryterms-export'!C:C,0),
IF(AND(NOT(ISBLANK(INDEX('glossaryterms-export'!H:H,_xlpm.rowNum))),ISBLANK(INDEX('glossaryterms-export'!I:I,_xlpm.rowNum))),"Ready to Fix",""))</f>
        <v/>
      </c>
    </row>
    <row r="4074" spans="6:6">
      <c r="F4074" s="1" t="str" cm="1">
        <f t="array" ref="F4074">_xlfn.LET(_xlpm.rowNum,MATCH(E4074,'glossaryterms-export'!C:C,0),
IF(AND(NOT(ISBLANK(INDEX('glossaryterms-export'!H:H,_xlpm.rowNum))),ISBLANK(INDEX('glossaryterms-export'!I:I,_xlpm.rowNum))),"Ready to Fix",""))</f>
        <v/>
      </c>
    </row>
    <row r="4075" spans="6:6">
      <c r="F4075" s="1" t="str" cm="1">
        <f t="array" ref="F4075">_xlfn.LET(_xlpm.rowNum,MATCH(E4075,'glossaryterms-export'!C:C,0),
IF(AND(NOT(ISBLANK(INDEX('glossaryterms-export'!H:H,_xlpm.rowNum))),ISBLANK(INDEX('glossaryterms-export'!I:I,_xlpm.rowNum))),"Ready to Fix",""))</f>
        <v/>
      </c>
    </row>
    <row r="4076" spans="6:6">
      <c r="F4076" s="1" t="str" cm="1">
        <f t="array" ref="F4076">_xlfn.LET(_xlpm.rowNum,MATCH(E4076,'glossaryterms-export'!C:C,0),
IF(AND(NOT(ISBLANK(INDEX('glossaryterms-export'!H:H,_xlpm.rowNum))),ISBLANK(INDEX('glossaryterms-export'!I:I,_xlpm.rowNum))),"Ready to Fix",""))</f>
        <v/>
      </c>
    </row>
    <row r="4077" spans="6:6">
      <c r="F4077" s="1" t="str" cm="1">
        <f t="array" ref="F4077">_xlfn.LET(_xlpm.rowNum,MATCH(E4077,'glossaryterms-export'!C:C,0),
IF(AND(NOT(ISBLANK(INDEX('glossaryterms-export'!H:H,_xlpm.rowNum))),ISBLANK(INDEX('glossaryterms-export'!I:I,_xlpm.rowNum))),"Ready to Fix",""))</f>
        <v/>
      </c>
    </row>
    <row r="4078" spans="6:6">
      <c r="F4078" s="1" t="str" cm="1">
        <f t="array" ref="F4078">_xlfn.LET(_xlpm.rowNum,MATCH(E4078,'glossaryterms-export'!C:C,0),
IF(AND(NOT(ISBLANK(INDEX('glossaryterms-export'!H:H,_xlpm.rowNum))),ISBLANK(INDEX('glossaryterms-export'!I:I,_xlpm.rowNum))),"Ready to Fix",""))</f>
        <v/>
      </c>
    </row>
    <row r="4079" spans="6:6">
      <c r="F4079" s="1" t="str" cm="1">
        <f t="array" ref="F4079">_xlfn.LET(_xlpm.rowNum,MATCH(E4079,'glossaryterms-export'!C:C,0),
IF(AND(NOT(ISBLANK(INDEX('glossaryterms-export'!H:H,_xlpm.rowNum))),ISBLANK(INDEX('glossaryterms-export'!I:I,_xlpm.rowNum))),"Ready to Fix",""))</f>
        <v/>
      </c>
    </row>
    <row r="4080" spans="6:6">
      <c r="F4080" s="1" t="str" cm="1">
        <f t="array" ref="F4080">_xlfn.LET(_xlpm.rowNum,MATCH(E4080,'glossaryterms-export'!C:C,0),
IF(AND(NOT(ISBLANK(INDEX('glossaryterms-export'!H:H,_xlpm.rowNum))),ISBLANK(INDEX('glossaryterms-export'!I:I,_xlpm.rowNum))),"Ready to Fix",""))</f>
        <v/>
      </c>
    </row>
    <row r="4081" spans="6:6">
      <c r="F4081" s="1" t="str" cm="1">
        <f t="array" ref="F4081">_xlfn.LET(_xlpm.rowNum,MATCH(E4081,'glossaryterms-export'!C:C,0),
IF(AND(NOT(ISBLANK(INDEX('glossaryterms-export'!H:H,_xlpm.rowNum))),ISBLANK(INDEX('glossaryterms-export'!I:I,_xlpm.rowNum))),"Ready to Fix",""))</f>
        <v/>
      </c>
    </row>
    <row r="4082" spans="6:6">
      <c r="F4082" s="1" t="str" cm="1">
        <f t="array" ref="F4082">_xlfn.LET(_xlpm.rowNum,MATCH(E4082,'glossaryterms-export'!C:C,0),
IF(AND(NOT(ISBLANK(INDEX('glossaryterms-export'!H:H,_xlpm.rowNum))),ISBLANK(INDEX('glossaryterms-export'!I:I,_xlpm.rowNum))),"Ready to Fix",""))</f>
        <v/>
      </c>
    </row>
    <row r="4083" spans="6:6">
      <c r="F4083" s="1" t="str" cm="1">
        <f t="array" ref="F4083">_xlfn.LET(_xlpm.rowNum,MATCH(E4083,'glossaryterms-export'!C:C,0),
IF(AND(NOT(ISBLANK(INDEX('glossaryterms-export'!H:H,_xlpm.rowNum))),ISBLANK(INDEX('glossaryterms-export'!I:I,_xlpm.rowNum))),"Ready to Fix",""))</f>
        <v/>
      </c>
    </row>
    <row r="4084" spans="6:6">
      <c r="F4084" s="1" t="str" cm="1">
        <f t="array" ref="F4084">_xlfn.LET(_xlpm.rowNum,MATCH(E4084,'glossaryterms-export'!C:C,0),
IF(AND(NOT(ISBLANK(INDEX('glossaryterms-export'!H:H,_xlpm.rowNum))),ISBLANK(INDEX('glossaryterms-export'!I:I,_xlpm.rowNum))),"Ready to Fix",""))</f>
        <v/>
      </c>
    </row>
    <row r="4085" spans="6:6">
      <c r="F4085" s="1" t="str" cm="1">
        <f t="array" ref="F4085">_xlfn.LET(_xlpm.rowNum,MATCH(E4085,'glossaryterms-export'!C:C,0),
IF(AND(NOT(ISBLANK(INDEX('glossaryterms-export'!H:H,_xlpm.rowNum))),ISBLANK(INDEX('glossaryterms-export'!I:I,_xlpm.rowNum))),"Ready to Fix",""))</f>
        <v/>
      </c>
    </row>
    <row r="4086" spans="6:6">
      <c r="F4086" s="1" t="str" cm="1">
        <f t="array" ref="F4086">_xlfn.LET(_xlpm.rowNum,MATCH(E4086,'glossaryterms-export'!C:C,0),
IF(AND(NOT(ISBLANK(INDEX('glossaryterms-export'!H:H,_xlpm.rowNum))),ISBLANK(INDEX('glossaryterms-export'!I:I,_xlpm.rowNum))),"Ready to Fix",""))</f>
        <v/>
      </c>
    </row>
    <row r="4087" spans="6:6">
      <c r="F4087" s="1" t="str" cm="1">
        <f t="array" ref="F4087">_xlfn.LET(_xlpm.rowNum,MATCH(E4087,'glossaryterms-export'!C:C,0),
IF(AND(NOT(ISBLANK(INDEX('glossaryterms-export'!H:H,_xlpm.rowNum))),ISBLANK(INDEX('glossaryterms-export'!I:I,_xlpm.rowNum))),"Ready to Fix",""))</f>
        <v/>
      </c>
    </row>
    <row r="4088" spans="6:6">
      <c r="F4088" s="1" t="str" cm="1">
        <f t="array" ref="F4088">_xlfn.LET(_xlpm.rowNum,MATCH(E4088,'glossaryterms-export'!C:C,0),
IF(AND(NOT(ISBLANK(INDEX('glossaryterms-export'!H:H,_xlpm.rowNum))),ISBLANK(INDEX('glossaryterms-export'!I:I,_xlpm.rowNum))),"Ready to Fix",""))</f>
        <v/>
      </c>
    </row>
    <row r="4089" spans="6:6">
      <c r="F4089" s="1" t="str" cm="1">
        <f t="array" ref="F4089">_xlfn.LET(_xlpm.rowNum,MATCH(E4089,'glossaryterms-export'!C:C,0),
IF(AND(NOT(ISBLANK(INDEX('glossaryterms-export'!H:H,_xlpm.rowNum))),ISBLANK(INDEX('glossaryterms-export'!I:I,_xlpm.rowNum))),"Ready to Fix",""))</f>
        <v/>
      </c>
    </row>
    <row r="4090" spans="6:6">
      <c r="F4090" s="1" t="str" cm="1">
        <f t="array" ref="F4090">_xlfn.LET(_xlpm.rowNum,MATCH(E4090,'glossaryterms-export'!C:C,0),
IF(AND(NOT(ISBLANK(INDEX('glossaryterms-export'!H:H,_xlpm.rowNum))),ISBLANK(INDEX('glossaryterms-export'!I:I,_xlpm.rowNum))),"Ready to Fix",""))</f>
        <v/>
      </c>
    </row>
    <row r="4091" spans="6:6">
      <c r="F4091" s="1" t="str" cm="1">
        <f t="array" ref="F4091">_xlfn.LET(_xlpm.rowNum,MATCH(E4091,'glossaryterms-export'!C:C,0),
IF(AND(NOT(ISBLANK(INDEX('glossaryterms-export'!H:H,_xlpm.rowNum))),ISBLANK(INDEX('glossaryterms-export'!I:I,_xlpm.rowNum))),"Ready to Fix",""))</f>
        <v/>
      </c>
    </row>
    <row r="4092" spans="6:6">
      <c r="F4092" s="1" t="str" cm="1">
        <f t="array" ref="F4092">_xlfn.LET(_xlpm.rowNum,MATCH(E4092,'glossaryterms-export'!C:C,0),
IF(AND(NOT(ISBLANK(INDEX('glossaryterms-export'!H:H,_xlpm.rowNum))),ISBLANK(INDEX('glossaryterms-export'!I:I,_xlpm.rowNum))),"Ready to Fix",""))</f>
        <v/>
      </c>
    </row>
    <row r="4093" spans="6:6">
      <c r="F4093" s="1" t="str" cm="1">
        <f t="array" ref="F4093">_xlfn.LET(_xlpm.rowNum,MATCH(E4093,'glossaryterms-export'!C:C,0),
IF(AND(NOT(ISBLANK(INDEX('glossaryterms-export'!H:H,_xlpm.rowNum))),ISBLANK(INDEX('glossaryterms-export'!I:I,_xlpm.rowNum))),"Ready to Fix",""))</f>
        <v/>
      </c>
    </row>
    <row r="4094" spans="6:6">
      <c r="F4094" s="1" t="str" cm="1">
        <f t="array" ref="F4094">_xlfn.LET(_xlpm.rowNum,MATCH(E4094,'glossaryterms-export'!C:C,0),
IF(AND(NOT(ISBLANK(INDEX('glossaryterms-export'!H:H,_xlpm.rowNum))),ISBLANK(INDEX('glossaryterms-export'!I:I,_xlpm.rowNum))),"Ready to Fix",""))</f>
        <v/>
      </c>
    </row>
    <row r="4095" spans="6:6">
      <c r="F4095" s="1" t="str" cm="1">
        <f t="array" ref="F4095">_xlfn.LET(_xlpm.rowNum,MATCH(E4095,'glossaryterms-export'!C:C,0),
IF(AND(NOT(ISBLANK(INDEX('glossaryterms-export'!H:H,_xlpm.rowNum))),ISBLANK(INDEX('glossaryterms-export'!I:I,_xlpm.rowNum))),"Ready to Fix",""))</f>
        <v/>
      </c>
    </row>
    <row r="4096" spans="6:6">
      <c r="F4096" s="1" t="str" cm="1">
        <f t="array" ref="F4096">_xlfn.LET(_xlpm.rowNum,MATCH(E4096,'glossaryterms-export'!C:C,0),
IF(AND(NOT(ISBLANK(INDEX('glossaryterms-export'!H:H,_xlpm.rowNum))),ISBLANK(INDEX('glossaryterms-export'!I:I,_xlpm.rowNum))),"Ready to Fix",""))</f>
        <v/>
      </c>
    </row>
    <row r="4097" spans="6:6">
      <c r="F4097" s="1" t="str" cm="1">
        <f t="array" ref="F4097">_xlfn.LET(_xlpm.rowNum,MATCH(E4097,'glossaryterms-export'!C:C,0),
IF(AND(NOT(ISBLANK(INDEX('glossaryterms-export'!H:H,_xlpm.rowNum))),ISBLANK(INDEX('glossaryterms-export'!I:I,_xlpm.rowNum))),"Ready to Fix",""))</f>
        <v/>
      </c>
    </row>
    <row r="4098" spans="6:6">
      <c r="F4098" s="1" t="str" cm="1">
        <f t="array" ref="F4098">_xlfn.LET(_xlpm.rowNum,MATCH(E4098,'glossaryterms-export'!C:C,0),
IF(AND(NOT(ISBLANK(INDEX('glossaryterms-export'!H:H,_xlpm.rowNum))),ISBLANK(INDEX('glossaryterms-export'!I:I,_xlpm.rowNum))),"Ready to Fix",""))</f>
        <v/>
      </c>
    </row>
    <row r="4099" spans="6:6">
      <c r="F4099" s="1" t="str" cm="1">
        <f t="array" ref="F4099">_xlfn.LET(_xlpm.rowNum,MATCH(E4099,'glossaryterms-export'!C:C,0),
IF(AND(NOT(ISBLANK(INDEX('glossaryterms-export'!H:H,_xlpm.rowNum))),ISBLANK(INDEX('glossaryterms-export'!I:I,_xlpm.rowNum))),"Ready to Fix",""))</f>
        <v/>
      </c>
    </row>
    <row r="4100" spans="6:6">
      <c r="F4100" s="1" t="str" cm="1">
        <f t="array" ref="F4100">_xlfn.LET(_xlpm.rowNum,MATCH(E4100,'glossaryterms-export'!C:C,0),
IF(AND(NOT(ISBLANK(INDEX('glossaryterms-export'!H:H,_xlpm.rowNum))),ISBLANK(INDEX('glossaryterms-export'!I:I,_xlpm.rowNum))),"Ready to Fix",""))</f>
        <v/>
      </c>
    </row>
    <row r="4101" spans="6:6">
      <c r="F4101" s="1" t="str" cm="1">
        <f t="array" ref="F4101">_xlfn.LET(_xlpm.rowNum,MATCH(E4101,'glossaryterms-export'!C:C,0),
IF(AND(NOT(ISBLANK(INDEX('glossaryterms-export'!H:H,_xlpm.rowNum))),ISBLANK(INDEX('glossaryterms-export'!I:I,_xlpm.rowNum))),"Ready to Fix",""))</f>
        <v/>
      </c>
    </row>
    <row r="4102" spans="6:6">
      <c r="F4102" s="1" t="str" cm="1">
        <f t="array" ref="F4102">_xlfn.LET(_xlpm.rowNum,MATCH(E4102,'glossaryterms-export'!C:C,0),
IF(AND(NOT(ISBLANK(INDEX('glossaryterms-export'!H:H,_xlpm.rowNum))),ISBLANK(INDEX('glossaryterms-export'!I:I,_xlpm.rowNum))),"Ready to Fix",""))</f>
        <v/>
      </c>
    </row>
    <row r="4103" spans="6:6">
      <c r="F4103" s="1" t="str" cm="1">
        <f t="array" ref="F4103">_xlfn.LET(_xlpm.rowNum,MATCH(E4103,'glossaryterms-export'!C:C,0),
IF(AND(NOT(ISBLANK(INDEX('glossaryterms-export'!H:H,_xlpm.rowNum))),ISBLANK(INDEX('glossaryterms-export'!I:I,_xlpm.rowNum))),"Ready to Fix",""))</f>
        <v/>
      </c>
    </row>
    <row r="4104" spans="6:6">
      <c r="F4104" s="1" t="str" cm="1">
        <f t="array" ref="F4104">_xlfn.LET(_xlpm.rowNum,MATCH(E4104,'glossaryterms-export'!C:C,0),
IF(AND(NOT(ISBLANK(INDEX('glossaryterms-export'!H:H,_xlpm.rowNum))),ISBLANK(INDEX('glossaryterms-export'!I:I,_xlpm.rowNum))),"Ready to Fix",""))</f>
        <v/>
      </c>
    </row>
    <row r="4105" spans="6:6">
      <c r="F4105" s="1" t="str" cm="1">
        <f t="array" ref="F4105">_xlfn.LET(_xlpm.rowNum,MATCH(E4105,'glossaryterms-export'!C:C,0),
IF(AND(NOT(ISBLANK(INDEX('glossaryterms-export'!H:H,_xlpm.rowNum))),ISBLANK(INDEX('glossaryterms-export'!I:I,_xlpm.rowNum))),"Ready to Fix",""))</f>
        <v/>
      </c>
    </row>
    <row r="4106" spans="6:6">
      <c r="F4106" s="1" t="str" cm="1">
        <f t="array" ref="F4106">_xlfn.LET(_xlpm.rowNum,MATCH(E4106,'glossaryterms-export'!C:C,0),
IF(AND(NOT(ISBLANK(INDEX('glossaryterms-export'!H:H,_xlpm.rowNum))),ISBLANK(INDEX('glossaryterms-export'!I:I,_xlpm.rowNum))),"Ready to Fix",""))</f>
        <v/>
      </c>
    </row>
    <row r="4107" spans="6:6">
      <c r="F4107" s="1" t="str" cm="1">
        <f t="array" ref="F4107">_xlfn.LET(_xlpm.rowNum,MATCH(E4107,'glossaryterms-export'!C:C,0),
IF(AND(NOT(ISBLANK(INDEX('glossaryterms-export'!H:H,_xlpm.rowNum))),ISBLANK(INDEX('glossaryterms-export'!I:I,_xlpm.rowNum))),"Ready to Fix",""))</f>
        <v/>
      </c>
    </row>
    <row r="4108" spans="6:6">
      <c r="F4108" s="1" t="str" cm="1">
        <f t="array" ref="F4108">_xlfn.LET(_xlpm.rowNum,MATCH(E4108,'glossaryterms-export'!C:C,0),
IF(AND(NOT(ISBLANK(INDEX('glossaryterms-export'!H:H,_xlpm.rowNum))),ISBLANK(INDEX('glossaryterms-export'!I:I,_xlpm.rowNum))),"Ready to Fix",""))</f>
        <v/>
      </c>
    </row>
    <row r="4109" spans="6:6">
      <c r="F4109" s="1" t="str" cm="1">
        <f t="array" ref="F4109">_xlfn.LET(_xlpm.rowNum,MATCH(E4109,'glossaryterms-export'!C:C,0),
IF(AND(NOT(ISBLANK(INDEX('glossaryterms-export'!H:H,_xlpm.rowNum))),ISBLANK(INDEX('glossaryterms-export'!I:I,_xlpm.rowNum))),"Ready to Fix",""))</f>
        <v/>
      </c>
    </row>
    <row r="4110" spans="6:6">
      <c r="F4110" s="1" t="str" cm="1">
        <f t="array" ref="F4110">_xlfn.LET(_xlpm.rowNum,MATCH(E4110,'glossaryterms-export'!C:C,0),
IF(AND(NOT(ISBLANK(INDEX('glossaryterms-export'!H:H,_xlpm.rowNum))),ISBLANK(INDEX('glossaryterms-export'!I:I,_xlpm.rowNum))),"Ready to Fix",""))</f>
        <v/>
      </c>
    </row>
    <row r="4111" spans="6:6">
      <c r="F4111" s="1" t="str" cm="1">
        <f t="array" ref="F4111">_xlfn.LET(_xlpm.rowNum,MATCH(E4111,'glossaryterms-export'!C:C,0),
IF(AND(NOT(ISBLANK(INDEX('glossaryterms-export'!H:H,_xlpm.rowNum))),ISBLANK(INDEX('glossaryterms-export'!I:I,_xlpm.rowNum))),"Ready to Fix",""))</f>
        <v/>
      </c>
    </row>
    <row r="4112" spans="6:6">
      <c r="F4112" s="1" t="str" cm="1">
        <f t="array" ref="F4112">_xlfn.LET(_xlpm.rowNum,MATCH(E4112,'glossaryterms-export'!C:C,0),
IF(AND(NOT(ISBLANK(INDEX('glossaryterms-export'!H:H,_xlpm.rowNum))),ISBLANK(INDEX('glossaryterms-export'!I:I,_xlpm.rowNum))),"Ready to Fix",""))</f>
        <v/>
      </c>
    </row>
    <row r="4113" spans="6:6">
      <c r="F4113" s="1" t="str" cm="1">
        <f t="array" ref="F4113">_xlfn.LET(_xlpm.rowNum,MATCH(E4113,'glossaryterms-export'!C:C,0),
IF(AND(NOT(ISBLANK(INDEX('glossaryterms-export'!H:H,_xlpm.rowNum))),ISBLANK(INDEX('glossaryterms-export'!I:I,_xlpm.rowNum))),"Ready to Fix",""))</f>
        <v/>
      </c>
    </row>
    <row r="4114" spans="6:6">
      <c r="F4114" s="1" t="str" cm="1">
        <f t="array" ref="F4114">_xlfn.LET(_xlpm.rowNum,MATCH(E4114,'glossaryterms-export'!C:C,0),
IF(AND(NOT(ISBLANK(INDEX('glossaryterms-export'!H:H,_xlpm.rowNum))),ISBLANK(INDEX('glossaryterms-export'!I:I,_xlpm.rowNum))),"Ready to Fix",""))</f>
        <v/>
      </c>
    </row>
    <row r="4115" spans="6:6">
      <c r="F4115" s="1" t="str" cm="1">
        <f t="array" ref="F4115">_xlfn.LET(_xlpm.rowNum,MATCH(E4115,'glossaryterms-export'!C:C,0),
IF(AND(NOT(ISBLANK(INDEX('glossaryterms-export'!H:H,_xlpm.rowNum))),ISBLANK(INDEX('glossaryterms-export'!I:I,_xlpm.rowNum))),"Ready to Fix",""))</f>
        <v/>
      </c>
    </row>
    <row r="4116" spans="6:6">
      <c r="F4116" s="1" t="str" cm="1">
        <f t="array" ref="F4116">_xlfn.LET(_xlpm.rowNum,MATCH(E4116,'glossaryterms-export'!C:C,0),
IF(AND(NOT(ISBLANK(INDEX('glossaryterms-export'!H:H,_xlpm.rowNum))),ISBLANK(INDEX('glossaryterms-export'!I:I,_xlpm.rowNum))),"Ready to Fix",""))</f>
        <v/>
      </c>
    </row>
    <row r="4117" spans="6:6">
      <c r="F4117" s="1" t="str" cm="1">
        <f t="array" ref="F4117">_xlfn.LET(_xlpm.rowNum,MATCH(E4117,'glossaryterms-export'!C:C,0),
IF(AND(NOT(ISBLANK(INDEX('glossaryterms-export'!H:H,_xlpm.rowNum))),ISBLANK(INDEX('glossaryterms-export'!I:I,_xlpm.rowNum))),"Ready to Fix",""))</f>
        <v/>
      </c>
    </row>
    <row r="4118" spans="6:6">
      <c r="F4118" s="1" t="str" cm="1">
        <f t="array" ref="F4118">_xlfn.LET(_xlpm.rowNum,MATCH(E4118,'glossaryterms-export'!C:C,0),
IF(AND(NOT(ISBLANK(INDEX('glossaryterms-export'!H:H,_xlpm.rowNum))),ISBLANK(INDEX('glossaryterms-export'!I:I,_xlpm.rowNum))),"Ready to Fix",""))</f>
        <v/>
      </c>
    </row>
    <row r="4119" spans="6:6">
      <c r="F4119" s="1" t="str" cm="1">
        <f t="array" ref="F4119">_xlfn.LET(_xlpm.rowNum,MATCH(E4119,'glossaryterms-export'!C:C,0),
IF(AND(NOT(ISBLANK(INDEX('glossaryterms-export'!H:H,_xlpm.rowNum))),ISBLANK(INDEX('glossaryterms-export'!I:I,_xlpm.rowNum))),"Ready to Fix",""))</f>
        <v/>
      </c>
    </row>
    <row r="4120" spans="6:6">
      <c r="F4120" s="1" t="str" cm="1">
        <f t="array" ref="F4120">_xlfn.LET(_xlpm.rowNum,MATCH(E4120,'glossaryterms-export'!C:C,0),
IF(AND(NOT(ISBLANK(INDEX('glossaryterms-export'!H:H,_xlpm.rowNum))),ISBLANK(INDEX('glossaryterms-export'!I:I,_xlpm.rowNum))),"Ready to Fix",""))</f>
        <v/>
      </c>
    </row>
    <row r="4121" spans="6:6">
      <c r="F4121" s="1" t="str" cm="1">
        <f t="array" ref="F4121">_xlfn.LET(_xlpm.rowNum,MATCH(E4121,'glossaryterms-export'!C:C,0),
IF(AND(NOT(ISBLANK(INDEX('glossaryterms-export'!H:H,_xlpm.rowNum))),ISBLANK(INDEX('glossaryterms-export'!I:I,_xlpm.rowNum))),"Ready to Fix",""))</f>
        <v/>
      </c>
    </row>
    <row r="4122" spans="6:6">
      <c r="F4122" s="1" t="str" cm="1">
        <f t="array" ref="F4122">_xlfn.LET(_xlpm.rowNum,MATCH(E4122,'glossaryterms-export'!C:C,0),
IF(AND(NOT(ISBLANK(INDEX('glossaryterms-export'!H:H,_xlpm.rowNum))),ISBLANK(INDEX('glossaryterms-export'!I:I,_xlpm.rowNum))),"Ready to Fix",""))</f>
        <v/>
      </c>
    </row>
    <row r="4123" spans="6:6">
      <c r="F4123" s="1" t="str" cm="1">
        <f t="array" ref="F4123">_xlfn.LET(_xlpm.rowNum,MATCH(E4123,'glossaryterms-export'!C:C,0),
IF(AND(NOT(ISBLANK(INDEX('glossaryterms-export'!H:H,_xlpm.rowNum))),ISBLANK(INDEX('glossaryterms-export'!I:I,_xlpm.rowNum))),"Ready to Fix",""))</f>
        <v/>
      </c>
    </row>
    <row r="4124" spans="6:6">
      <c r="F4124" s="1" t="str" cm="1">
        <f t="array" ref="F4124">_xlfn.LET(_xlpm.rowNum,MATCH(E4124,'glossaryterms-export'!C:C,0),
IF(AND(NOT(ISBLANK(INDEX('glossaryterms-export'!H:H,_xlpm.rowNum))),ISBLANK(INDEX('glossaryterms-export'!I:I,_xlpm.rowNum))),"Ready to Fix",""))</f>
        <v/>
      </c>
    </row>
    <row r="4125" spans="6:6">
      <c r="F4125" s="1" t="str" cm="1">
        <f t="array" ref="F4125">_xlfn.LET(_xlpm.rowNum,MATCH(E4125,'glossaryterms-export'!C:C,0),
IF(AND(NOT(ISBLANK(INDEX('glossaryterms-export'!H:H,_xlpm.rowNum))),ISBLANK(INDEX('glossaryterms-export'!I:I,_xlpm.rowNum))),"Ready to Fix",""))</f>
        <v/>
      </c>
    </row>
    <row r="4126" spans="6:6">
      <c r="F4126" s="1" t="str" cm="1">
        <f t="array" ref="F4126">_xlfn.LET(_xlpm.rowNum,MATCH(E4126,'glossaryterms-export'!C:C,0),
IF(AND(NOT(ISBLANK(INDEX('glossaryterms-export'!H:H,_xlpm.rowNum))),ISBLANK(INDEX('glossaryterms-export'!I:I,_xlpm.rowNum))),"Ready to Fix",""))</f>
        <v/>
      </c>
    </row>
    <row r="4127" spans="6:6">
      <c r="F4127" s="1" t="str" cm="1">
        <f t="array" ref="F4127">_xlfn.LET(_xlpm.rowNum,MATCH(E4127,'glossaryterms-export'!C:C,0),
IF(AND(NOT(ISBLANK(INDEX('glossaryterms-export'!H:H,_xlpm.rowNum))),ISBLANK(INDEX('glossaryterms-export'!I:I,_xlpm.rowNum))),"Ready to Fix",""))</f>
        <v/>
      </c>
    </row>
    <row r="4128" spans="6:6">
      <c r="F4128" s="1" t="str" cm="1">
        <f t="array" ref="F4128">_xlfn.LET(_xlpm.rowNum,MATCH(E4128,'glossaryterms-export'!C:C,0),
IF(AND(NOT(ISBLANK(INDEX('glossaryterms-export'!H:H,_xlpm.rowNum))),ISBLANK(INDEX('glossaryterms-export'!I:I,_xlpm.rowNum))),"Ready to Fix",""))</f>
        <v/>
      </c>
    </row>
    <row r="4129" spans="6:6">
      <c r="F4129" s="1" t="str" cm="1">
        <f t="array" ref="F4129">_xlfn.LET(_xlpm.rowNum,MATCH(E4129,'glossaryterms-export'!C:C,0),
IF(AND(NOT(ISBLANK(INDEX('glossaryterms-export'!H:H,_xlpm.rowNum))),ISBLANK(INDEX('glossaryterms-export'!I:I,_xlpm.rowNum))),"Ready to Fix",""))</f>
        <v/>
      </c>
    </row>
    <row r="4130" spans="6:6">
      <c r="F4130" s="1" t="str" cm="1">
        <f t="array" ref="F4130">_xlfn.LET(_xlpm.rowNum,MATCH(E4130,'glossaryterms-export'!C:C,0),
IF(AND(NOT(ISBLANK(INDEX('glossaryterms-export'!H:H,_xlpm.rowNum))),ISBLANK(INDEX('glossaryterms-export'!I:I,_xlpm.rowNum))),"Ready to Fix",""))</f>
        <v/>
      </c>
    </row>
    <row r="4131" spans="6:6">
      <c r="F4131" s="1" t="str" cm="1">
        <f t="array" ref="F4131">_xlfn.LET(_xlpm.rowNum,MATCH(E4131,'glossaryterms-export'!C:C,0),
IF(AND(NOT(ISBLANK(INDEX('glossaryterms-export'!H:H,_xlpm.rowNum))),ISBLANK(INDEX('glossaryterms-export'!I:I,_xlpm.rowNum))),"Ready to Fix",""))</f>
        <v/>
      </c>
    </row>
    <row r="4132" spans="6:6">
      <c r="F4132" s="1" t="str" cm="1">
        <f t="array" ref="F4132">_xlfn.LET(_xlpm.rowNum,MATCH(E4132,'glossaryterms-export'!C:C,0),
IF(AND(NOT(ISBLANK(INDEX('glossaryterms-export'!H:H,_xlpm.rowNum))),ISBLANK(INDEX('glossaryterms-export'!I:I,_xlpm.rowNum))),"Ready to Fix",""))</f>
        <v/>
      </c>
    </row>
    <row r="4133" spans="6:6">
      <c r="F4133" s="1" t="str" cm="1">
        <f t="array" ref="F4133">_xlfn.LET(_xlpm.rowNum,MATCH(E4133,'glossaryterms-export'!C:C,0),
IF(AND(NOT(ISBLANK(INDEX('glossaryterms-export'!H:H,_xlpm.rowNum))),ISBLANK(INDEX('glossaryterms-export'!I:I,_xlpm.rowNum))),"Ready to Fix",""))</f>
        <v/>
      </c>
    </row>
    <row r="4134" spans="6:6">
      <c r="F4134" s="1" t="str" cm="1">
        <f t="array" ref="F4134">_xlfn.LET(_xlpm.rowNum,MATCH(E4134,'glossaryterms-export'!C:C,0),
IF(AND(NOT(ISBLANK(INDEX('glossaryterms-export'!H:H,_xlpm.rowNum))),ISBLANK(INDEX('glossaryterms-export'!I:I,_xlpm.rowNum))),"Ready to Fix",""))</f>
        <v/>
      </c>
    </row>
    <row r="4135" spans="6:6">
      <c r="F4135" s="1" t="str" cm="1">
        <f t="array" ref="F4135">_xlfn.LET(_xlpm.rowNum,MATCH(E4135,'glossaryterms-export'!C:C,0),
IF(AND(NOT(ISBLANK(INDEX('glossaryterms-export'!H:H,_xlpm.rowNum))),ISBLANK(INDEX('glossaryterms-export'!I:I,_xlpm.rowNum))),"Ready to Fix",""))</f>
        <v/>
      </c>
    </row>
    <row r="4136" spans="6:6">
      <c r="F4136" s="1" t="str" cm="1">
        <f t="array" ref="F4136">_xlfn.LET(_xlpm.rowNum,MATCH(E4136,'glossaryterms-export'!C:C,0),
IF(AND(NOT(ISBLANK(INDEX('glossaryterms-export'!H:H,_xlpm.rowNum))),ISBLANK(INDEX('glossaryterms-export'!I:I,_xlpm.rowNum))),"Ready to Fix",""))</f>
        <v/>
      </c>
    </row>
    <row r="4137" spans="6:6">
      <c r="F4137" s="1" t="str" cm="1">
        <f t="array" ref="F4137">_xlfn.LET(_xlpm.rowNum,MATCH(E4137,'glossaryterms-export'!C:C,0),
IF(AND(NOT(ISBLANK(INDEX('glossaryterms-export'!H:H,_xlpm.rowNum))),ISBLANK(INDEX('glossaryterms-export'!I:I,_xlpm.rowNum))),"Ready to Fix",""))</f>
        <v/>
      </c>
    </row>
    <row r="4138" spans="6:6">
      <c r="F4138" s="1" t="str" cm="1">
        <f t="array" ref="F4138">_xlfn.LET(_xlpm.rowNum,MATCH(E4138,'glossaryterms-export'!C:C,0),
IF(AND(NOT(ISBLANK(INDEX('glossaryterms-export'!H:H,_xlpm.rowNum))),ISBLANK(INDEX('glossaryterms-export'!I:I,_xlpm.rowNum))),"Ready to Fix",""))</f>
        <v/>
      </c>
    </row>
    <row r="4139" spans="6:6">
      <c r="F4139" s="1" t="str" cm="1">
        <f t="array" ref="F4139">_xlfn.LET(_xlpm.rowNum,MATCH(E4139,'glossaryterms-export'!C:C,0),
IF(AND(NOT(ISBLANK(INDEX('glossaryterms-export'!H:H,_xlpm.rowNum))),ISBLANK(INDEX('glossaryterms-export'!I:I,_xlpm.rowNum))),"Ready to Fix",""))</f>
        <v/>
      </c>
    </row>
    <row r="4140" spans="6:6">
      <c r="F4140" s="1" t="str" cm="1">
        <f t="array" ref="F4140">_xlfn.LET(_xlpm.rowNum,MATCH(E4140,'glossaryterms-export'!C:C,0),
IF(AND(NOT(ISBLANK(INDEX('glossaryterms-export'!H:H,_xlpm.rowNum))),ISBLANK(INDEX('glossaryterms-export'!I:I,_xlpm.rowNum))),"Ready to Fix",""))</f>
        <v/>
      </c>
    </row>
    <row r="4141" spans="6:6">
      <c r="F4141" s="1" t="str" cm="1">
        <f t="array" ref="F4141">_xlfn.LET(_xlpm.rowNum,MATCH(E4141,'glossaryterms-export'!C:C,0),
IF(AND(NOT(ISBLANK(INDEX('glossaryterms-export'!H:H,_xlpm.rowNum))),ISBLANK(INDEX('glossaryterms-export'!I:I,_xlpm.rowNum))),"Ready to Fix",""))</f>
        <v/>
      </c>
    </row>
    <row r="4142" spans="6:6">
      <c r="F4142" s="1" t="str" cm="1">
        <f t="array" ref="F4142">_xlfn.LET(_xlpm.rowNum,MATCH(E4142,'glossaryterms-export'!C:C,0),
IF(AND(NOT(ISBLANK(INDEX('glossaryterms-export'!H:H,_xlpm.rowNum))),ISBLANK(INDEX('glossaryterms-export'!I:I,_xlpm.rowNum))),"Ready to Fix",""))</f>
        <v/>
      </c>
    </row>
    <row r="4143" spans="6:6">
      <c r="F4143" s="1" t="str" cm="1">
        <f t="array" ref="F4143">_xlfn.LET(_xlpm.rowNum,MATCH(E4143,'glossaryterms-export'!C:C,0),
IF(AND(NOT(ISBLANK(INDEX('glossaryterms-export'!H:H,_xlpm.rowNum))),ISBLANK(INDEX('glossaryterms-export'!I:I,_xlpm.rowNum))),"Ready to Fix",""))</f>
        <v/>
      </c>
    </row>
    <row r="4144" spans="6:6">
      <c r="F4144" s="1" t="str" cm="1">
        <f t="array" ref="F4144">_xlfn.LET(_xlpm.rowNum,MATCH(E4144,'glossaryterms-export'!C:C,0),
IF(AND(NOT(ISBLANK(INDEX('glossaryterms-export'!H:H,_xlpm.rowNum))),ISBLANK(INDEX('glossaryterms-export'!I:I,_xlpm.rowNum))),"Ready to Fix",""))</f>
        <v/>
      </c>
    </row>
    <row r="4145" spans="6:6">
      <c r="F4145" s="1" t="str" cm="1">
        <f t="array" ref="F4145">_xlfn.LET(_xlpm.rowNum,MATCH(E4145,'glossaryterms-export'!C:C,0),
IF(AND(NOT(ISBLANK(INDEX('glossaryterms-export'!H:H,_xlpm.rowNum))),ISBLANK(INDEX('glossaryterms-export'!I:I,_xlpm.rowNum))),"Ready to Fix",""))</f>
        <v/>
      </c>
    </row>
    <row r="4146" spans="6:6">
      <c r="F4146" s="1" t="str" cm="1">
        <f t="array" ref="F4146">_xlfn.LET(_xlpm.rowNum,MATCH(E4146,'glossaryterms-export'!C:C,0),
IF(AND(NOT(ISBLANK(INDEX('glossaryterms-export'!H:H,_xlpm.rowNum))),ISBLANK(INDEX('glossaryterms-export'!I:I,_xlpm.rowNum))),"Ready to Fix",""))</f>
        <v/>
      </c>
    </row>
    <row r="4147" spans="6:6">
      <c r="F4147" s="1" t="str" cm="1">
        <f t="array" ref="F4147">_xlfn.LET(_xlpm.rowNum,MATCH(E4147,'glossaryterms-export'!C:C,0),
IF(AND(NOT(ISBLANK(INDEX('glossaryterms-export'!H:H,_xlpm.rowNum))),ISBLANK(INDEX('glossaryterms-export'!I:I,_xlpm.rowNum))),"Ready to Fix",""))</f>
        <v/>
      </c>
    </row>
    <row r="4148" spans="6:6">
      <c r="F4148" s="1" t="str" cm="1">
        <f t="array" ref="F4148">_xlfn.LET(_xlpm.rowNum,MATCH(E4148,'glossaryterms-export'!C:C,0),
IF(AND(NOT(ISBLANK(INDEX('glossaryterms-export'!H:H,_xlpm.rowNum))),ISBLANK(INDEX('glossaryterms-export'!I:I,_xlpm.rowNum))),"Ready to Fix",""))</f>
        <v/>
      </c>
    </row>
    <row r="4149" spans="6:6">
      <c r="F4149" s="1" t="str" cm="1">
        <f t="array" ref="F4149">_xlfn.LET(_xlpm.rowNum,MATCH(E4149,'glossaryterms-export'!C:C,0),
IF(AND(NOT(ISBLANK(INDEX('glossaryterms-export'!H:H,_xlpm.rowNum))),ISBLANK(INDEX('glossaryterms-export'!I:I,_xlpm.rowNum))),"Ready to Fix",""))</f>
        <v/>
      </c>
    </row>
    <row r="4150" spans="6:6">
      <c r="F4150" s="1" t="str" cm="1">
        <f t="array" ref="F4150">_xlfn.LET(_xlpm.rowNum,MATCH(E4150,'glossaryterms-export'!C:C,0),
IF(AND(NOT(ISBLANK(INDEX('glossaryterms-export'!H:H,_xlpm.rowNum))),ISBLANK(INDEX('glossaryterms-export'!I:I,_xlpm.rowNum))),"Ready to Fix",""))</f>
        <v/>
      </c>
    </row>
    <row r="4151" spans="6:6">
      <c r="F4151" s="1" t="str" cm="1">
        <f t="array" ref="F4151">_xlfn.LET(_xlpm.rowNum,MATCH(E4151,'glossaryterms-export'!C:C,0),
IF(AND(NOT(ISBLANK(INDEX('glossaryterms-export'!H:H,_xlpm.rowNum))),ISBLANK(INDEX('glossaryterms-export'!I:I,_xlpm.rowNum))),"Ready to Fix",""))</f>
        <v/>
      </c>
    </row>
    <row r="4152" spans="6:6">
      <c r="F4152" s="1" t="str" cm="1">
        <f t="array" ref="F4152">_xlfn.LET(_xlpm.rowNum,MATCH(E4152,'glossaryterms-export'!C:C,0),
IF(AND(NOT(ISBLANK(INDEX('glossaryterms-export'!H:H,_xlpm.rowNum))),ISBLANK(INDEX('glossaryterms-export'!I:I,_xlpm.rowNum))),"Ready to Fix",""))</f>
        <v/>
      </c>
    </row>
    <row r="4153" spans="6:6">
      <c r="F4153" s="1" t="str" cm="1">
        <f t="array" ref="F4153">_xlfn.LET(_xlpm.rowNum,MATCH(E4153,'glossaryterms-export'!C:C,0),
IF(AND(NOT(ISBLANK(INDEX('glossaryterms-export'!H:H,_xlpm.rowNum))),ISBLANK(INDEX('glossaryterms-export'!I:I,_xlpm.rowNum))),"Ready to Fix",""))</f>
        <v/>
      </c>
    </row>
    <row r="4154" spans="6:6">
      <c r="F4154" s="1" t="str" cm="1">
        <f t="array" ref="F4154">_xlfn.LET(_xlpm.rowNum,MATCH(E4154,'glossaryterms-export'!C:C,0),
IF(AND(NOT(ISBLANK(INDEX('glossaryterms-export'!H:H,_xlpm.rowNum))),ISBLANK(INDEX('glossaryterms-export'!I:I,_xlpm.rowNum))),"Ready to Fix",""))</f>
        <v/>
      </c>
    </row>
    <row r="4155" spans="6:6">
      <c r="F4155" s="1" t="str" cm="1">
        <f t="array" ref="F4155">_xlfn.LET(_xlpm.rowNum,MATCH(E4155,'glossaryterms-export'!C:C,0),
IF(AND(NOT(ISBLANK(INDEX('glossaryterms-export'!H:H,_xlpm.rowNum))),ISBLANK(INDEX('glossaryterms-export'!I:I,_xlpm.rowNum))),"Ready to Fix",""))</f>
        <v/>
      </c>
    </row>
    <row r="4156" spans="6:6">
      <c r="F4156" s="1" t="str" cm="1">
        <f t="array" ref="F4156">_xlfn.LET(_xlpm.rowNum,MATCH(E4156,'glossaryterms-export'!C:C,0),
IF(AND(NOT(ISBLANK(INDEX('glossaryterms-export'!H:H,_xlpm.rowNum))),ISBLANK(INDEX('glossaryterms-export'!I:I,_xlpm.rowNum))),"Ready to Fix",""))</f>
        <v/>
      </c>
    </row>
    <row r="4157" spans="6:6">
      <c r="F4157" s="1" t="str" cm="1">
        <f t="array" ref="F4157">_xlfn.LET(_xlpm.rowNum,MATCH(E4157,'glossaryterms-export'!C:C,0),
IF(AND(NOT(ISBLANK(INDEX('glossaryterms-export'!H:H,_xlpm.rowNum))),ISBLANK(INDEX('glossaryterms-export'!I:I,_xlpm.rowNum))),"Ready to Fix",""))</f>
        <v/>
      </c>
    </row>
    <row r="4158" spans="6:6">
      <c r="F4158" s="1" t="str" cm="1">
        <f t="array" ref="F4158">_xlfn.LET(_xlpm.rowNum,MATCH(E4158,'glossaryterms-export'!C:C,0),
IF(AND(NOT(ISBLANK(INDEX('glossaryterms-export'!H:H,_xlpm.rowNum))),ISBLANK(INDEX('glossaryterms-export'!I:I,_xlpm.rowNum))),"Ready to Fix",""))</f>
        <v/>
      </c>
    </row>
    <row r="4159" spans="6:6">
      <c r="F4159" s="1" t="str" cm="1">
        <f t="array" ref="F4159">_xlfn.LET(_xlpm.rowNum,MATCH(E4159,'glossaryterms-export'!C:C,0),
IF(AND(NOT(ISBLANK(INDEX('glossaryterms-export'!H:H,_xlpm.rowNum))),ISBLANK(INDEX('glossaryterms-export'!I:I,_xlpm.rowNum))),"Ready to Fix",""))</f>
        <v/>
      </c>
    </row>
    <row r="4160" spans="6:6">
      <c r="F4160" s="1" t="str" cm="1">
        <f t="array" ref="F4160">_xlfn.LET(_xlpm.rowNum,MATCH(E4160,'glossaryterms-export'!C:C,0),
IF(AND(NOT(ISBLANK(INDEX('glossaryterms-export'!H:H,_xlpm.rowNum))),ISBLANK(INDEX('glossaryterms-export'!I:I,_xlpm.rowNum))),"Ready to Fix",""))</f>
        <v/>
      </c>
    </row>
    <row r="4161" spans="6:6">
      <c r="F4161" s="1" t="str" cm="1">
        <f t="array" ref="F4161">_xlfn.LET(_xlpm.rowNum,MATCH(E4161,'glossaryterms-export'!C:C,0),
IF(AND(NOT(ISBLANK(INDEX('glossaryterms-export'!H:H,_xlpm.rowNum))),ISBLANK(INDEX('glossaryterms-export'!I:I,_xlpm.rowNum))),"Ready to Fix",""))</f>
        <v/>
      </c>
    </row>
    <row r="4162" spans="6:6">
      <c r="F4162" s="1" t="str" cm="1">
        <f t="array" ref="F4162">_xlfn.LET(_xlpm.rowNum,MATCH(E4162,'glossaryterms-export'!C:C,0),
IF(AND(NOT(ISBLANK(INDEX('glossaryterms-export'!H:H,_xlpm.rowNum))),ISBLANK(INDEX('glossaryterms-export'!I:I,_xlpm.rowNum))),"Ready to Fix",""))</f>
        <v/>
      </c>
    </row>
    <row r="4163" spans="6:6">
      <c r="F4163" s="1" t="str" cm="1">
        <f t="array" ref="F4163">_xlfn.LET(_xlpm.rowNum,MATCH(E4163,'glossaryterms-export'!C:C,0),
IF(AND(NOT(ISBLANK(INDEX('glossaryterms-export'!H:H,_xlpm.rowNum))),ISBLANK(INDEX('glossaryterms-export'!I:I,_xlpm.rowNum))),"Ready to Fix",""))</f>
        <v/>
      </c>
    </row>
    <row r="4164" spans="6:6">
      <c r="F4164" s="1" t="str" cm="1">
        <f t="array" ref="F4164">_xlfn.LET(_xlpm.rowNum,MATCH(E4164,'glossaryterms-export'!C:C,0),
IF(AND(NOT(ISBLANK(INDEX('glossaryterms-export'!H:H,_xlpm.rowNum))),ISBLANK(INDEX('glossaryterms-export'!I:I,_xlpm.rowNum))),"Ready to Fix",""))</f>
        <v/>
      </c>
    </row>
    <row r="4165" spans="6:6">
      <c r="F4165" s="1" t="str" cm="1">
        <f t="array" ref="F4165">_xlfn.LET(_xlpm.rowNum,MATCH(E4165,'glossaryterms-export'!C:C,0),
IF(AND(NOT(ISBLANK(INDEX('glossaryterms-export'!H:H,_xlpm.rowNum))),ISBLANK(INDEX('glossaryterms-export'!I:I,_xlpm.rowNum))),"Ready to Fix",""))</f>
        <v/>
      </c>
    </row>
    <row r="4166" spans="6:6">
      <c r="F4166" s="1" t="str" cm="1">
        <f t="array" ref="F4166">_xlfn.LET(_xlpm.rowNum,MATCH(E4166,'glossaryterms-export'!C:C,0),
IF(AND(NOT(ISBLANK(INDEX('glossaryterms-export'!H:H,_xlpm.rowNum))),ISBLANK(INDEX('glossaryterms-export'!I:I,_xlpm.rowNum))),"Ready to Fix",""))</f>
        <v/>
      </c>
    </row>
    <row r="4167" spans="6:6">
      <c r="F4167" s="1" t="str" cm="1">
        <f t="array" ref="F4167">_xlfn.LET(_xlpm.rowNum,MATCH(E4167,'glossaryterms-export'!C:C,0),
IF(AND(NOT(ISBLANK(INDEX('glossaryterms-export'!H:H,_xlpm.rowNum))),ISBLANK(INDEX('glossaryterms-export'!I:I,_xlpm.rowNum))),"Ready to Fix",""))</f>
        <v/>
      </c>
    </row>
    <row r="4168" spans="6:6">
      <c r="F4168" s="1" t="str" cm="1">
        <f t="array" ref="F4168">_xlfn.LET(_xlpm.rowNum,MATCH(E4168,'glossaryterms-export'!C:C,0),
IF(AND(NOT(ISBLANK(INDEX('glossaryterms-export'!H:H,_xlpm.rowNum))),ISBLANK(INDEX('glossaryterms-export'!I:I,_xlpm.rowNum))),"Ready to Fix",""))</f>
        <v/>
      </c>
    </row>
    <row r="4169" spans="6:6">
      <c r="F4169" s="1" t="str" cm="1">
        <f t="array" ref="F4169">_xlfn.LET(_xlpm.rowNum,MATCH(E4169,'glossaryterms-export'!C:C,0),
IF(AND(NOT(ISBLANK(INDEX('glossaryterms-export'!H:H,_xlpm.rowNum))),ISBLANK(INDEX('glossaryterms-export'!I:I,_xlpm.rowNum))),"Ready to Fix",""))</f>
        <v/>
      </c>
    </row>
    <row r="4170" spans="6:6">
      <c r="F4170" s="1" t="str" cm="1">
        <f t="array" ref="F4170">_xlfn.LET(_xlpm.rowNum,MATCH(E4170,'glossaryterms-export'!C:C,0),
IF(AND(NOT(ISBLANK(INDEX('glossaryterms-export'!H:H,_xlpm.rowNum))),ISBLANK(INDEX('glossaryterms-export'!I:I,_xlpm.rowNum))),"Ready to Fix",""))</f>
        <v/>
      </c>
    </row>
    <row r="4171" spans="6:6">
      <c r="F4171" s="1" t="str" cm="1">
        <f t="array" ref="F4171">_xlfn.LET(_xlpm.rowNum,MATCH(E4171,'glossaryterms-export'!C:C,0),
IF(AND(NOT(ISBLANK(INDEX('glossaryterms-export'!H:H,_xlpm.rowNum))),ISBLANK(INDEX('glossaryterms-export'!I:I,_xlpm.rowNum))),"Ready to Fix",""))</f>
        <v/>
      </c>
    </row>
    <row r="4172" spans="6:6">
      <c r="F4172" s="1" t="str" cm="1">
        <f t="array" ref="F4172">_xlfn.LET(_xlpm.rowNum,MATCH(E4172,'glossaryterms-export'!C:C,0),
IF(AND(NOT(ISBLANK(INDEX('glossaryterms-export'!H:H,_xlpm.rowNum))),ISBLANK(INDEX('glossaryterms-export'!I:I,_xlpm.rowNum))),"Ready to Fix",""))</f>
        <v/>
      </c>
    </row>
    <row r="4173" spans="6:6">
      <c r="F4173" s="1" t="str" cm="1">
        <f t="array" ref="F4173">_xlfn.LET(_xlpm.rowNum,MATCH(E4173,'glossaryterms-export'!C:C,0),
IF(AND(NOT(ISBLANK(INDEX('glossaryterms-export'!H:H,_xlpm.rowNum))),ISBLANK(INDEX('glossaryterms-export'!I:I,_xlpm.rowNum))),"Ready to Fix",""))</f>
        <v/>
      </c>
    </row>
    <row r="4174" spans="6:6">
      <c r="F4174" s="1" t="str" cm="1">
        <f t="array" ref="F4174">_xlfn.LET(_xlpm.rowNum,MATCH(E4174,'glossaryterms-export'!C:C,0),
IF(AND(NOT(ISBLANK(INDEX('glossaryterms-export'!H:H,_xlpm.rowNum))),ISBLANK(INDEX('glossaryterms-export'!I:I,_xlpm.rowNum))),"Ready to Fix",""))</f>
        <v/>
      </c>
    </row>
    <row r="4175" spans="6:6">
      <c r="F4175" s="1" t="str" cm="1">
        <f t="array" ref="F4175">_xlfn.LET(_xlpm.rowNum,MATCH(E4175,'glossaryterms-export'!C:C,0),
IF(AND(NOT(ISBLANK(INDEX('glossaryterms-export'!H:H,_xlpm.rowNum))),ISBLANK(INDEX('glossaryterms-export'!I:I,_xlpm.rowNum))),"Ready to Fix",""))</f>
        <v/>
      </c>
    </row>
    <row r="4176" spans="6:6">
      <c r="F4176" s="1" t="str" cm="1">
        <f t="array" ref="F4176">_xlfn.LET(_xlpm.rowNum,MATCH(E4176,'glossaryterms-export'!C:C,0),
IF(AND(NOT(ISBLANK(INDEX('glossaryterms-export'!H:H,_xlpm.rowNum))),ISBLANK(INDEX('glossaryterms-export'!I:I,_xlpm.rowNum))),"Ready to Fix",""))</f>
        <v/>
      </c>
    </row>
    <row r="4177" spans="6:6">
      <c r="F4177" s="1" t="str" cm="1">
        <f t="array" ref="F4177">_xlfn.LET(_xlpm.rowNum,MATCH(E4177,'glossaryterms-export'!C:C,0),
IF(AND(NOT(ISBLANK(INDEX('glossaryterms-export'!H:H,_xlpm.rowNum))),ISBLANK(INDEX('glossaryterms-export'!I:I,_xlpm.rowNum))),"Ready to Fix",""))</f>
        <v/>
      </c>
    </row>
    <row r="4178" spans="6:6">
      <c r="F4178" s="1" t="str" cm="1">
        <f t="array" ref="F4178">_xlfn.LET(_xlpm.rowNum,MATCH(E4178,'glossaryterms-export'!C:C,0),
IF(AND(NOT(ISBLANK(INDEX('glossaryterms-export'!H:H,_xlpm.rowNum))),ISBLANK(INDEX('glossaryterms-export'!I:I,_xlpm.rowNum))),"Ready to Fix",""))</f>
        <v/>
      </c>
    </row>
    <row r="4179" spans="6:6">
      <c r="F4179" s="1" t="str" cm="1">
        <f t="array" ref="F4179">_xlfn.LET(_xlpm.rowNum,MATCH(E4179,'glossaryterms-export'!C:C,0),
IF(AND(NOT(ISBLANK(INDEX('glossaryterms-export'!H:H,_xlpm.rowNum))),ISBLANK(INDEX('glossaryterms-export'!I:I,_xlpm.rowNum))),"Ready to Fix",""))</f>
        <v/>
      </c>
    </row>
    <row r="4180" spans="6:6">
      <c r="F4180" s="1" t="str" cm="1">
        <f t="array" ref="F4180">_xlfn.LET(_xlpm.rowNum,MATCH(E4180,'glossaryterms-export'!C:C,0),
IF(AND(NOT(ISBLANK(INDEX('glossaryterms-export'!H:H,_xlpm.rowNum))),ISBLANK(INDEX('glossaryterms-export'!I:I,_xlpm.rowNum))),"Ready to Fix",""))</f>
        <v/>
      </c>
    </row>
    <row r="4181" spans="6:6">
      <c r="F4181" s="1" t="str" cm="1">
        <f t="array" ref="F4181">_xlfn.LET(_xlpm.rowNum,MATCH(E4181,'glossaryterms-export'!C:C,0),
IF(AND(NOT(ISBLANK(INDEX('glossaryterms-export'!H:H,_xlpm.rowNum))),ISBLANK(INDEX('glossaryterms-export'!I:I,_xlpm.rowNum))),"Ready to Fix",""))</f>
        <v/>
      </c>
    </row>
    <row r="4182" spans="6:6">
      <c r="F4182" s="1" t="str" cm="1">
        <f t="array" ref="F4182">_xlfn.LET(_xlpm.rowNum,MATCH(E4182,'glossaryterms-export'!C:C,0),
IF(AND(NOT(ISBLANK(INDEX('glossaryterms-export'!H:H,_xlpm.rowNum))),ISBLANK(INDEX('glossaryterms-export'!I:I,_xlpm.rowNum))),"Ready to Fix",""))</f>
        <v/>
      </c>
    </row>
    <row r="4183" spans="6:6">
      <c r="F4183" s="1" t="str" cm="1">
        <f t="array" ref="F4183">_xlfn.LET(_xlpm.rowNum,MATCH(E4183,'glossaryterms-export'!C:C,0),
IF(AND(NOT(ISBLANK(INDEX('glossaryterms-export'!H:H,_xlpm.rowNum))),ISBLANK(INDEX('glossaryterms-export'!I:I,_xlpm.rowNum))),"Ready to Fix",""))</f>
        <v/>
      </c>
    </row>
    <row r="4184" spans="6:6">
      <c r="F4184" s="1" t="str" cm="1">
        <f t="array" ref="F4184">_xlfn.LET(_xlpm.rowNum,MATCH(E4184,'glossaryterms-export'!C:C,0),
IF(AND(NOT(ISBLANK(INDEX('glossaryterms-export'!H:H,_xlpm.rowNum))),ISBLANK(INDEX('glossaryterms-export'!I:I,_xlpm.rowNum))),"Ready to Fix",""))</f>
        <v/>
      </c>
    </row>
    <row r="4185" spans="6:6">
      <c r="F4185" s="1" t="str" cm="1">
        <f t="array" ref="F4185">_xlfn.LET(_xlpm.rowNum,MATCH(E4185,'glossaryterms-export'!C:C,0),
IF(AND(NOT(ISBLANK(INDEX('glossaryterms-export'!H:H,_xlpm.rowNum))),ISBLANK(INDEX('glossaryterms-export'!I:I,_xlpm.rowNum))),"Ready to Fix",""))</f>
        <v/>
      </c>
    </row>
    <row r="4186" spans="6:6">
      <c r="F4186" s="1" t="str" cm="1">
        <f t="array" ref="F4186">_xlfn.LET(_xlpm.rowNum,MATCH(E4186,'glossaryterms-export'!C:C,0),
IF(AND(NOT(ISBLANK(INDEX('glossaryterms-export'!H:H,_xlpm.rowNum))),ISBLANK(INDEX('glossaryterms-export'!I:I,_xlpm.rowNum))),"Ready to Fix",""))</f>
        <v/>
      </c>
    </row>
    <row r="4187" spans="6:6">
      <c r="F4187" s="1" t="str" cm="1">
        <f t="array" ref="F4187">_xlfn.LET(_xlpm.rowNum,MATCH(E4187,'glossaryterms-export'!C:C,0),
IF(AND(NOT(ISBLANK(INDEX('glossaryterms-export'!H:H,_xlpm.rowNum))),ISBLANK(INDEX('glossaryterms-export'!I:I,_xlpm.rowNum))),"Ready to Fix",""))</f>
        <v/>
      </c>
    </row>
    <row r="4188" spans="6:6">
      <c r="F4188" s="1" t="str" cm="1">
        <f t="array" ref="F4188">_xlfn.LET(_xlpm.rowNum,MATCH(E4188,'glossaryterms-export'!C:C,0),
IF(AND(NOT(ISBLANK(INDEX('glossaryterms-export'!H:H,_xlpm.rowNum))),ISBLANK(INDEX('glossaryterms-export'!I:I,_xlpm.rowNum))),"Ready to Fix",""))</f>
        <v/>
      </c>
    </row>
    <row r="4189" spans="6:6">
      <c r="F4189" s="1" t="str" cm="1">
        <f t="array" ref="F4189">_xlfn.LET(_xlpm.rowNum,MATCH(E4189,'glossaryterms-export'!C:C,0),
IF(AND(NOT(ISBLANK(INDEX('glossaryterms-export'!H:H,_xlpm.rowNum))),ISBLANK(INDEX('glossaryterms-export'!I:I,_xlpm.rowNum))),"Ready to Fix",""))</f>
        <v/>
      </c>
    </row>
    <row r="4190" spans="6:6">
      <c r="F4190" s="1" t="str" cm="1">
        <f t="array" ref="F4190">_xlfn.LET(_xlpm.rowNum,MATCH(E4190,'glossaryterms-export'!C:C,0),
IF(AND(NOT(ISBLANK(INDEX('glossaryterms-export'!H:H,_xlpm.rowNum))),ISBLANK(INDEX('glossaryterms-export'!I:I,_xlpm.rowNum))),"Ready to Fix",""))</f>
        <v/>
      </c>
    </row>
    <row r="4191" spans="6:6">
      <c r="F4191" s="1" t="str" cm="1">
        <f t="array" ref="F4191">_xlfn.LET(_xlpm.rowNum,MATCH(E4191,'glossaryterms-export'!C:C,0),
IF(AND(NOT(ISBLANK(INDEX('glossaryterms-export'!H:H,_xlpm.rowNum))),ISBLANK(INDEX('glossaryterms-export'!I:I,_xlpm.rowNum))),"Ready to Fix",""))</f>
        <v/>
      </c>
    </row>
    <row r="4192" spans="6:6">
      <c r="F4192" s="1" t="str" cm="1">
        <f t="array" ref="F4192">_xlfn.LET(_xlpm.rowNum,MATCH(E4192,'glossaryterms-export'!C:C,0),
IF(AND(NOT(ISBLANK(INDEX('glossaryterms-export'!H:H,_xlpm.rowNum))),ISBLANK(INDEX('glossaryterms-export'!I:I,_xlpm.rowNum))),"Ready to Fix",""))</f>
        <v/>
      </c>
    </row>
    <row r="4193" spans="6:6">
      <c r="F4193" s="1" t="str" cm="1">
        <f t="array" ref="F4193">_xlfn.LET(_xlpm.rowNum,MATCH(E4193,'glossaryterms-export'!C:C,0),
IF(AND(NOT(ISBLANK(INDEX('glossaryterms-export'!H:H,_xlpm.rowNum))),ISBLANK(INDEX('glossaryterms-export'!I:I,_xlpm.rowNum))),"Ready to Fix",""))</f>
        <v/>
      </c>
    </row>
    <row r="4194" spans="6:6">
      <c r="F4194" s="1" t="str" cm="1">
        <f t="array" ref="F4194">_xlfn.LET(_xlpm.rowNum,MATCH(E4194,'glossaryterms-export'!C:C,0),
IF(AND(NOT(ISBLANK(INDEX('glossaryterms-export'!H:H,_xlpm.rowNum))),ISBLANK(INDEX('glossaryterms-export'!I:I,_xlpm.rowNum))),"Ready to Fix",""))</f>
        <v/>
      </c>
    </row>
    <row r="4195" spans="6:6">
      <c r="F4195" s="1" t="str" cm="1">
        <f t="array" ref="F4195">_xlfn.LET(_xlpm.rowNum,MATCH(E4195,'glossaryterms-export'!C:C,0),
IF(AND(NOT(ISBLANK(INDEX('glossaryterms-export'!H:H,_xlpm.rowNum))),ISBLANK(INDEX('glossaryterms-export'!I:I,_xlpm.rowNum))),"Ready to Fix",""))</f>
        <v/>
      </c>
    </row>
    <row r="4196" spans="6:6">
      <c r="F4196" s="1" t="str" cm="1">
        <f t="array" ref="F4196">_xlfn.LET(_xlpm.rowNum,MATCH(E4196,'glossaryterms-export'!C:C,0),
IF(AND(NOT(ISBLANK(INDEX('glossaryterms-export'!H:H,_xlpm.rowNum))),ISBLANK(INDEX('glossaryterms-export'!I:I,_xlpm.rowNum))),"Ready to Fix",""))</f>
        <v/>
      </c>
    </row>
    <row r="4197" spans="6:6">
      <c r="F4197" s="1" t="str" cm="1">
        <f t="array" ref="F4197">_xlfn.LET(_xlpm.rowNum,MATCH(E4197,'glossaryterms-export'!C:C,0),
IF(AND(NOT(ISBLANK(INDEX('glossaryterms-export'!H:H,_xlpm.rowNum))),ISBLANK(INDEX('glossaryterms-export'!I:I,_xlpm.rowNum))),"Ready to Fix",""))</f>
        <v/>
      </c>
    </row>
    <row r="4198" spans="6:6">
      <c r="F4198" s="1" t="str" cm="1">
        <f t="array" ref="F4198">_xlfn.LET(_xlpm.rowNum,MATCH(E4198,'glossaryterms-export'!C:C,0),
IF(AND(NOT(ISBLANK(INDEX('glossaryterms-export'!H:H,_xlpm.rowNum))),ISBLANK(INDEX('glossaryterms-export'!I:I,_xlpm.rowNum))),"Ready to Fix",""))</f>
        <v/>
      </c>
    </row>
    <row r="4199" spans="6:6">
      <c r="F4199" s="1" t="str" cm="1">
        <f t="array" ref="F4199">_xlfn.LET(_xlpm.rowNum,MATCH(E4199,'glossaryterms-export'!C:C,0),
IF(AND(NOT(ISBLANK(INDEX('glossaryterms-export'!H:H,_xlpm.rowNum))),ISBLANK(INDEX('glossaryterms-export'!I:I,_xlpm.rowNum))),"Ready to Fix",""))</f>
        <v/>
      </c>
    </row>
    <row r="4200" spans="6:6">
      <c r="F4200" s="1" t="str" cm="1">
        <f t="array" ref="F4200">_xlfn.LET(_xlpm.rowNum,MATCH(E4200,'glossaryterms-export'!C:C,0),
IF(AND(NOT(ISBLANK(INDEX('glossaryterms-export'!H:H,_xlpm.rowNum))),ISBLANK(INDEX('glossaryterms-export'!I:I,_xlpm.rowNum))),"Ready to Fix",""))</f>
        <v/>
      </c>
    </row>
    <row r="4201" spans="6:6">
      <c r="F4201" s="1" t="str" cm="1">
        <f t="array" ref="F4201">_xlfn.LET(_xlpm.rowNum,MATCH(E4201,'glossaryterms-export'!C:C,0),
IF(AND(NOT(ISBLANK(INDEX('glossaryterms-export'!H:H,_xlpm.rowNum))),ISBLANK(INDEX('glossaryterms-export'!I:I,_xlpm.rowNum))),"Ready to Fix",""))</f>
        <v/>
      </c>
    </row>
    <row r="4202" spans="6:6">
      <c r="F4202" s="1" t="str" cm="1">
        <f t="array" ref="F4202">_xlfn.LET(_xlpm.rowNum,MATCH(E4202,'glossaryterms-export'!C:C,0),
IF(AND(NOT(ISBLANK(INDEX('glossaryterms-export'!H:H,_xlpm.rowNum))),ISBLANK(INDEX('glossaryterms-export'!I:I,_xlpm.rowNum))),"Ready to Fix",""))</f>
        <v/>
      </c>
    </row>
    <row r="4203" spans="6:6">
      <c r="F4203" s="1" t="str" cm="1">
        <f t="array" ref="F4203">_xlfn.LET(_xlpm.rowNum,MATCH(E4203,'glossaryterms-export'!C:C,0),
IF(AND(NOT(ISBLANK(INDEX('glossaryterms-export'!H:H,_xlpm.rowNum))),ISBLANK(INDEX('glossaryterms-export'!I:I,_xlpm.rowNum))),"Ready to Fix",""))</f>
        <v/>
      </c>
    </row>
    <row r="4204" spans="6:6">
      <c r="F4204" s="1" t="str" cm="1">
        <f t="array" ref="F4204">_xlfn.LET(_xlpm.rowNum,MATCH(E4204,'glossaryterms-export'!C:C,0),
IF(AND(NOT(ISBLANK(INDEX('glossaryterms-export'!H:H,_xlpm.rowNum))),ISBLANK(INDEX('glossaryterms-export'!I:I,_xlpm.rowNum))),"Ready to Fix",""))</f>
        <v/>
      </c>
    </row>
    <row r="4205" spans="6:6">
      <c r="F4205" s="1" t="str" cm="1">
        <f t="array" ref="F4205">_xlfn.LET(_xlpm.rowNum,MATCH(E4205,'glossaryterms-export'!C:C,0),
IF(AND(NOT(ISBLANK(INDEX('glossaryterms-export'!H:H,_xlpm.rowNum))),ISBLANK(INDEX('glossaryterms-export'!I:I,_xlpm.rowNum))),"Ready to Fix",""))</f>
        <v/>
      </c>
    </row>
    <row r="4206" spans="6:6">
      <c r="F4206" s="1" t="str" cm="1">
        <f t="array" ref="F4206">_xlfn.LET(_xlpm.rowNum,MATCH(E4206,'glossaryterms-export'!C:C,0),
IF(AND(NOT(ISBLANK(INDEX('glossaryterms-export'!H:H,_xlpm.rowNum))),ISBLANK(INDEX('glossaryterms-export'!I:I,_xlpm.rowNum))),"Ready to Fix",""))</f>
        <v/>
      </c>
    </row>
    <row r="4207" spans="6:6">
      <c r="F4207" s="1" t="str" cm="1">
        <f t="array" ref="F4207">_xlfn.LET(_xlpm.rowNum,MATCH(E4207,'glossaryterms-export'!C:C,0),
IF(AND(NOT(ISBLANK(INDEX('glossaryterms-export'!H:H,_xlpm.rowNum))),ISBLANK(INDEX('glossaryterms-export'!I:I,_xlpm.rowNum))),"Ready to Fix",""))</f>
        <v/>
      </c>
    </row>
    <row r="4208" spans="6:6">
      <c r="F4208" s="1" t="str" cm="1">
        <f t="array" ref="F4208">_xlfn.LET(_xlpm.rowNum,MATCH(E4208,'glossaryterms-export'!C:C,0),
IF(AND(NOT(ISBLANK(INDEX('glossaryterms-export'!H:H,_xlpm.rowNum))),ISBLANK(INDEX('glossaryterms-export'!I:I,_xlpm.rowNum))),"Ready to Fix",""))</f>
        <v/>
      </c>
    </row>
    <row r="4209" spans="6:6">
      <c r="F4209" s="1" t="str" cm="1">
        <f t="array" ref="F4209">_xlfn.LET(_xlpm.rowNum,MATCH(E4209,'glossaryterms-export'!C:C,0),
IF(AND(NOT(ISBLANK(INDEX('glossaryterms-export'!H:H,_xlpm.rowNum))),ISBLANK(INDEX('glossaryterms-export'!I:I,_xlpm.rowNum))),"Ready to Fix",""))</f>
        <v/>
      </c>
    </row>
    <row r="4210" spans="6:6">
      <c r="F4210" s="1" t="str" cm="1">
        <f t="array" ref="F4210">_xlfn.LET(_xlpm.rowNum,MATCH(E4210,'glossaryterms-export'!C:C,0),
IF(AND(NOT(ISBLANK(INDEX('glossaryterms-export'!H:H,_xlpm.rowNum))),ISBLANK(INDEX('glossaryterms-export'!I:I,_xlpm.rowNum))),"Ready to Fix",""))</f>
        <v/>
      </c>
    </row>
    <row r="4211" spans="6:6">
      <c r="F4211" s="1" t="str" cm="1">
        <f t="array" ref="F4211">_xlfn.LET(_xlpm.rowNum,MATCH(E4211,'glossaryterms-export'!C:C,0),
IF(AND(NOT(ISBLANK(INDEX('glossaryterms-export'!H:H,_xlpm.rowNum))),ISBLANK(INDEX('glossaryterms-export'!I:I,_xlpm.rowNum))),"Ready to Fix",""))</f>
        <v/>
      </c>
    </row>
    <row r="4212" spans="6:6">
      <c r="F4212" s="1" t="str" cm="1">
        <f t="array" ref="F4212">_xlfn.LET(_xlpm.rowNum,MATCH(E4212,'glossaryterms-export'!C:C,0),
IF(AND(NOT(ISBLANK(INDEX('glossaryterms-export'!H:H,_xlpm.rowNum))),ISBLANK(INDEX('glossaryterms-export'!I:I,_xlpm.rowNum))),"Ready to Fix",""))</f>
        <v/>
      </c>
    </row>
    <row r="4213" spans="6:6">
      <c r="F4213" s="1" t="str" cm="1">
        <f t="array" ref="F4213">_xlfn.LET(_xlpm.rowNum,MATCH(E4213,'glossaryterms-export'!C:C,0),
IF(AND(NOT(ISBLANK(INDEX('glossaryterms-export'!H:H,_xlpm.rowNum))),ISBLANK(INDEX('glossaryterms-export'!I:I,_xlpm.rowNum))),"Ready to Fix",""))</f>
        <v/>
      </c>
    </row>
    <row r="4214" spans="6:6">
      <c r="F4214" s="1" t="str" cm="1">
        <f t="array" ref="F4214">_xlfn.LET(_xlpm.rowNum,MATCH(E4214,'glossaryterms-export'!C:C,0),
IF(AND(NOT(ISBLANK(INDEX('glossaryterms-export'!H:H,_xlpm.rowNum))),ISBLANK(INDEX('glossaryterms-export'!I:I,_xlpm.rowNum))),"Ready to Fix",""))</f>
        <v/>
      </c>
    </row>
    <row r="4215" spans="6:6">
      <c r="F4215" s="1" t="str" cm="1">
        <f t="array" ref="F4215">_xlfn.LET(_xlpm.rowNum,MATCH(E4215,'glossaryterms-export'!C:C,0),
IF(AND(NOT(ISBLANK(INDEX('glossaryterms-export'!H:H,_xlpm.rowNum))),ISBLANK(INDEX('glossaryterms-export'!I:I,_xlpm.rowNum))),"Ready to Fix",""))</f>
        <v/>
      </c>
    </row>
    <row r="4216" spans="6:6">
      <c r="F4216" s="1" t="str" cm="1">
        <f t="array" ref="F4216">_xlfn.LET(_xlpm.rowNum,MATCH(E4216,'glossaryterms-export'!C:C,0),
IF(AND(NOT(ISBLANK(INDEX('glossaryterms-export'!H:H,_xlpm.rowNum))),ISBLANK(INDEX('glossaryterms-export'!I:I,_xlpm.rowNum))),"Ready to Fix",""))</f>
        <v/>
      </c>
    </row>
    <row r="4217" spans="6:6">
      <c r="F4217" s="1" t="str" cm="1">
        <f t="array" ref="F4217">_xlfn.LET(_xlpm.rowNum,MATCH(E4217,'glossaryterms-export'!C:C,0),
IF(AND(NOT(ISBLANK(INDEX('glossaryterms-export'!H:H,_xlpm.rowNum))),ISBLANK(INDEX('glossaryterms-export'!I:I,_xlpm.rowNum))),"Ready to Fix",""))</f>
        <v/>
      </c>
    </row>
    <row r="4218" spans="6:6">
      <c r="F4218" s="1" t="str" cm="1">
        <f t="array" ref="F4218">_xlfn.LET(_xlpm.rowNum,MATCH(E4218,'glossaryterms-export'!C:C,0),
IF(AND(NOT(ISBLANK(INDEX('glossaryterms-export'!H:H,_xlpm.rowNum))),ISBLANK(INDEX('glossaryterms-export'!I:I,_xlpm.rowNum))),"Ready to Fix",""))</f>
        <v/>
      </c>
    </row>
    <row r="4219" spans="6:6">
      <c r="F4219" s="1" t="str" cm="1">
        <f t="array" ref="F4219">_xlfn.LET(_xlpm.rowNum,MATCH(E4219,'glossaryterms-export'!C:C,0),
IF(AND(NOT(ISBLANK(INDEX('glossaryterms-export'!H:H,_xlpm.rowNum))),ISBLANK(INDEX('glossaryterms-export'!I:I,_xlpm.rowNum))),"Ready to Fix",""))</f>
        <v/>
      </c>
    </row>
    <row r="4220" spans="6:6">
      <c r="F4220" s="1" t="str" cm="1">
        <f t="array" ref="F4220">_xlfn.LET(_xlpm.rowNum,MATCH(E4220,'glossaryterms-export'!C:C,0),
IF(AND(NOT(ISBLANK(INDEX('glossaryterms-export'!H:H,_xlpm.rowNum))),ISBLANK(INDEX('glossaryterms-export'!I:I,_xlpm.rowNum))),"Ready to Fix",""))</f>
        <v/>
      </c>
    </row>
    <row r="4221" spans="6:6">
      <c r="F4221" s="1" t="str" cm="1">
        <f t="array" ref="F4221">_xlfn.LET(_xlpm.rowNum,MATCH(E4221,'glossaryterms-export'!C:C,0),
IF(AND(NOT(ISBLANK(INDEX('glossaryterms-export'!H:H,_xlpm.rowNum))),ISBLANK(INDEX('glossaryterms-export'!I:I,_xlpm.rowNum))),"Ready to Fix",""))</f>
        <v/>
      </c>
    </row>
    <row r="4222" spans="6:6">
      <c r="F4222" s="1" t="str" cm="1">
        <f t="array" ref="F4222">_xlfn.LET(_xlpm.rowNum,MATCH(E4222,'glossaryterms-export'!C:C,0),
IF(AND(NOT(ISBLANK(INDEX('glossaryterms-export'!H:H,_xlpm.rowNum))),ISBLANK(INDEX('glossaryterms-export'!I:I,_xlpm.rowNum))),"Ready to Fix",""))</f>
        <v/>
      </c>
    </row>
    <row r="4223" spans="6:6">
      <c r="F4223" s="1" t="str" cm="1">
        <f t="array" ref="F4223">_xlfn.LET(_xlpm.rowNum,MATCH(E4223,'glossaryterms-export'!C:C,0),
IF(AND(NOT(ISBLANK(INDEX('glossaryterms-export'!H:H,_xlpm.rowNum))),ISBLANK(INDEX('glossaryterms-export'!I:I,_xlpm.rowNum))),"Ready to Fix",""))</f>
        <v/>
      </c>
    </row>
    <row r="4224" spans="6:6">
      <c r="F4224" s="1" t="str" cm="1">
        <f t="array" ref="F4224">_xlfn.LET(_xlpm.rowNum,MATCH(E4224,'glossaryterms-export'!C:C,0),
IF(AND(NOT(ISBLANK(INDEX('glossaryterms-export'!H:H,_xlpm.rowNum))),ISBLANK(INDEX('glossaryterms-export'!I:I,_xlpm.rowNum))),"Ready to Fix",""))</f>
        <v/>
      </c>
    </row>
    <row r="4225" spans="6:6">
      <c r="F4225" s="1" t="str" cm="1">
        <f t="array" ref="F4225">_xlfn.LET(_xlpm.rowNum,MATCH(E4225,'glossaryterms-export'!C:C,0),
IF(AND(NOT(ISBLANK(INDEX('glossaryterms-export'!H:H,_xlpm.rowNum))),ISBLANK(INDEX('glossaryterms-export'!I:I,_xlpm.rowNum))),"Ready to Fix",""))</f>
        <v/>
      </c>
    </row>
    <row r="4226" spans="6:6">
      <c r="F4226" s="1" t="str" cm="1">
        <f t="array" ref="F4226">_xlfn.LET(_xlpm.rowNum,MATCH(E4226,'glossaryterms-export'!C:C,0),
IF(AND(NOT(ISBLANK(INDEX('glossaryterms-export'!H:H,_xlpm.rowNum))),ISBLANK(INDEX('glossaryterms-export'!I:I,_xlpm.rowNum))),"Ready to Fix",""))</f>
        <v/>
      </c>
    </row>
    <row r="4227" spans="6:6">
      <c r="F4227" s="1" t="str" cm="1">
        <f t="array" ref="F4227">_xlfn.LET(_xlpm.rowNum,MATCH(E4227,'glossaryterms-export'!C:C,0),
IF(AND(NOT(ISBLANK(INDEX('glossaryterms-export'!H:H,_xlpm.rowNum))),ISBLANK(INDEX('glossaryterms-export'!I:I,_xlpm.rowNum))),"Ready to Fix",""))</f>
        <v/>
      </c>
    </row>
    <row r="4228" spans="6:6">
      <c r="F4228" s="1" t="str" cm="1">
        <f t="array" ref="F4228">_xlfn.LET(_xlpm.rowNum,MATCH(E4228,'glossaryterms-export'!C:C,0),
IF(AND(NOT(ISBLANK(INDEX('glossaryterms-export'!H:H,_xlpm.rowNum))),ISBLANK(INDEX('glossaryterms-export'!I:I,_xlpm.rowNum))),"Ready to Fix",""))</f>
        <v/>
      </c>
    </row>
    <row r="4229" spans="6:6">
      <c r="F4229" s="1" t="str" cm="1">
        <f t="array" ref="F4229">_xlfn.LET(_xlpm.rowNum,MATCH(E4229,'glossaryterms-export'!C:C,0),
IF(AND(NOT(ISBLANK(INDEX('glossaryterms-export'!H:H,_xlpm.rowNum))),ISBLANK(INDEX('glossaryterms-export'!I:I,_xlpm.rowNum))),"Ready to Fix",""))</f>
        <v/>
      </c>
    </row>
    <row r="4230" spans="6:6">
      <c r="F4230" s="1" t="str" cm="1">
        <f t="array" ref="F4230">_xlfn.LET(_xlpm.rowNum,MATCH(E4230,'glossaryterms-export'!C:C,0),
IF(AND(NOT(ISBLANK(INDEX('glossaryterms-export'!H:H,_xlpm.rowNum))),ISBLANK(INDEX('glossaryterms-export'!I:I,_xlpm.rowNum))),"Ready to Fix",""))</f>
        <v/>
      </c>
    </row>
    <row r="4231" spans="6:6">
      <c r="F4231" s="1" t="str" cm="1">
        <f t="array" ref="F4231">_xlfn.LET(_xlpm.rowNum,MATCH(E4231,'glossaryterms-export'!C:C,0),
IF(AND(NOT(ISBLANK(INDEX('glossaryterms-export'!H:H,_xlpm.rowNum))),ISBLANK(INDEX('glossaryterms-export'!I:I,_xlpm.rowNum))),"Ready to Fix",""))</f>
        <v/>
      </c>
    </row>
    <row r="4232" spans="6:6">
      <c r="F4232" s="1" t="str" cm="1">
        <f t="array" ref="F4232">_xlfn.LET(_xlpm.rowNum,MATCH(E4232,'glossaryterms-export'!C:C,0),
IF(AND(NOT(ISBLANK(INDEX('glossaryterms-export'!H:H,_xlpm.rowNum))),ISBLANK(INDEX('glossaryterms-export'!I:I,_xlpm.rowNum))),"Ready to Fix",""))</f>
        <v/>
      </c>
    </row>
    <row r="4233" spans="6:6">
      <c r="F4233" s="1" t="str" cm="1">
        <f t="array" ref="F4233">_xlfn.LET(_xlpm.rowNum,MATCH(E4233,'glossaryterms-export'!C:C,0),
IF(AND(NOT(ISBLANK(INDEX('glossaryterms-export'!H:H,_xlpm.rowNum))),ISBLANK(INDEX('glossaryterms-export'!I:I,_xlpm.rowNum))),"Ready to Fix",""))</f>
        <v/>
      </c>
    </row>
    <row r="4234" spans="6:6">
      <c r="F4234" s="1" t="str" cm="1">
        <f t="array" ref="F4234">_xlfn.LET(_xlpm.rowNum,MATCH(E4234,'glossaryterms-export'!C:C,0),
IF(AND(NOT(ISBLANK(INDEX('glossaryterms-export'!H:H,_xlpm.rowNum))),ISBLANK(INDEX('glossaryterms-export'!I:I,_xlpm.rowNum))),"Ready to Fix",""))</f>
        <v/>
      </c>
    </row>
    <row r="4235" spans="6:6">
      <c r="F4235" s="1" t="str" cm="1">
        <f t="array" ref="F4235">_xlfn.LET(_xlpm.rowNum,MATCH(E4235,'glossaryterms-export'!C:C,0),
IF(AND(NOT(ISBLANK(INDEX('glossaryterms-export'!H:H,_xlpm.rowNum))),ISBLANK(INDEX('glossaryterms-export'!I:I,_xlpm.rowNum))),"Ready to Fix",""))</f>
        <v/>
      </c>
    </row>
    <row r="4236" spans="6:6">
      <c r="F4236" s="1" t="str" cm="1">
        <f t="array" ref="F4236">_xlfn.LET(_xlpm.rowNum,MATCH(E4236,'glossaryterms-export'!C:C,0),
IF(AND(NOT(ISBLANK(INDEX('glossaryterms-export'!H:H,_xlpm.rowNum))),ISBLANK(INDEX('glossaryterms-export'!I:I,_xlpm.rowNum))),"Ready to Fix",""))</f>
        <v/>
      </c>
    </row>
    <row r="4237" spans="6:6">
      <c r="F4237" s="1" t="str" cm="1">
        <f t="array" ref="F4237">_xlfn.LET(_xlpm.rowNum,MATCH(E4237,'glossaryterms-export'!C:C,0),
IF(AND(NOT(ISBLANK(INDEX('glossaryterms-export'!H:H,_xlpm.rowNum))),ISBLANK(INDEX('glossaryterms-export'!I:I,_xlpm.rowNum))),"Ready to Fix",""))</f>
        <v/>
      </c>
    </row>
    <row r="4238" spans="6:6">
      <c r="F4238" s="1" t="str" cm="1">
        <f t="array" ref="F4238">_xlfn.LET(_xlpm.rowNum,MATCH(E4238,'glossaryterms-export'!C:C,0),
IF(AND(NOT(ISBLANK(INDEX('glossaryterms-export'!H:H,_xlpm.rowNum))),ISBLANK(INDEX('glossaryterms-export'!I:I,_xlpm.rowNum))),"Ready to Fix",""))</f>
        <v/>
      </c>
    </row>
    <row r="4239" spans="6:6">
      <c r="F4239" s="1" t="str" cm="1">
        <f t="array" ref="F4239">_xlfn.LET(_xlpm.rowNum,MATCH(E4239,'glossaryterms-export'!C:C,0),
IF(AND(NOT(ISBLANK(INDEX('glossaryterms-export'!H:H,_xlpm.rowNum))),ISBLANK(INDEX('glossaryterms-export'!I:I,_xlpm.rowNum))),"Ready to Fix",""))</f>
        <v/>
      </c>
    </row>
    <row r="4240" spans="6:6">
      <c r="F4240" s="1" t="str" cm="1">
        <f t="array" ref="F4240">_xlfn.LET(_xlpm.rowNum,MATCH(E4240,'glossaryterms-export'!C:C,0),
IF(AND(NOT(ISBLANK(INDEX('glossaryterms-export'!H:H,_xlpm.rowNum))),ISBLANK(INDEX('glossaryterms-export'!I:I,_xlpm.rowNum))),"Ready to Fix",""))</f>
        <v/>
      </c>
    </row>
    <row r="4241" spans="6:6">
      <c r="F4241" s="1" t="str" cm="1">
        <f t="array" ref="F4241">_xlfn.LET(_xlpm.rowNum,MATCH(E4241,'glossaryterms-export'!C:C,0),
IF(AND(NOT(ISBLANK(INDEX('glossaryterms-export'!H:H,_xlpm.rowNum))),ISBLANK(INDEX('glossaryterms-export'!I:I,_xlpm.rowNum))),"Ready to Fix",""))</f>
        <v/>
      </c>
    </row>
    <row r="4242" spans="6:6">
      <c r="F4242" s="1" t="str" cm="1">
        <f t="array" ref="F4242">_xlfn.LET(_xlpm.rowNum,MATCH(E4242,'glossaryterms-export'!C:C,0),
IF(AND(NOT(ISBLANK(INDEX('glossaryterms-export'!H:H,_xlpm.rowNum))),ISBLANK(INDEX('glossaryterms-export'!I:I,_xlpm.rowNum))),"Ready to Fix",""))</f>
        <v/>
      </c>
    </row>
    <row r="4243" spans="6:6">
      <c r="F4243" s="1" t="str" cm="1">
        <f t="array" ref="F4243">_xlfn.LET(_xlpm.rowNum,MATCH(E4243,'glossaryterms-export'!C:C,0),
IF(AND(NOT(ISBLANK(INDEX('glossaryterms-export'!H:H,_xlpm.rowNum))),ISBLANK(INDEX('glossaryterms-export'!I:I,_xlpm.rowNum))),"Ready to Fix",""))</f>
        <v/>
      </c>
    </row>
    <row r="4244" spans="6:6">
      <c r="F4244" s="1" t="str" cm="1">
        <f t="array" ref="F4244">_xlfn.LET(_xlpm.rowNum,MATCH(E4244,'glossaryterms-export'!C:C,0),
IF(AND(NOT(ISBLANK(INDEX('glossaryterms-export'!H:H,_xlpm.rowNum))),ISBLANK(INDEX('glossaryterms-export'!I:I,_xlpm.rowNum))),"Ready to Fix",""))</f>
        <v/>
      </c>
    </row>
    <row r="4245" spans="6:6">
      <c r="F4245" s="1" t="str" cm="1">
        <f t="array" ref="F4245">_xlfn.LET(_xlpm.rowNum,MATCH(E4245,'glossaryterms-export'!C:C,0),
IF(AND(NOT(ISBLANK(INDEX('glossaryterms-export'!H:H,_xlpm.rowNum))),ISBLANK(INDEX('glossaryterms-export'!I:I,_xlpm.rowNum))),"Ready to Fix",""))</f>
        <v/>
      </c>
    </row>
    <row r="4246" spans="6:6">
      <c r="F4246" s="1" t="str" cm="1">
        <f t="array" ref="F4246">_xlfn.LET(_xlpm.rowNum,MATCH(E4246,'glossaryterms-export'!C:C,0),
IF(AND(NOT(ISBLANK(INDEX('glossaryterms-export'!H:H,_xlpm.rowNum))),ISBLANK(INDEX('glossaryterms-export'!I:I,_xlpm.rowNum))),"Ready to Fix",""))</f>
        <v/>
      </c>
    </row>
    <row r="4247" spans="6:6">
      <c r="F4247" s="1" t="str" cm="1">
        <f t="array" ref="F4247">_xlfn.LET(_xlpm.rowNum,MATCH(E4247,'glossaryterms-export'!C:C,0),
IF(AND(NOT(ISBLANK(INDEX('glossaryterms-export'!H:H,_xlpm.rowNum))),ISBLANK(INDEX('glossaryterms-export'!I:I,_xlpm.rowNum))),"Ready to Fix",""))</f>
        <v/>
      </c>
    </row>
    <row r="4248" spans="6:6">
      <c r="F4248" s="1" t="str" cm="1">
        <f t="array" ref="F4248">_xlfn.LET(_xlpm.rowNum,MATCH(E4248,'glossaryterms-export'!C:C,0),
IF(AND(NOT(ISBLANK(INDEX('glossaryterms-export'!H:H,_xlpm.rowNum))),ISBLANK(INDEX('glossaryterms-export'!I:I,_xlpm.rowNum))),"Ready to Fix",""))</f>
        <v/>
      </c>
    </row>
    <row r="4249" spans="6:6">
      <c r="F4249" s="1" t="str" cm="1">
        <f t="array" ref="F4249">_xlfn.LET(_xlpm.rowNum,MATCH(E4249,'glossaryterms-export'!C:C,0),
IF(AND(NOT(ISBLANK(INDEX('glossaryterms-export'!H:H,_xlpm.rowNum))),ISBLANK(INDEX('glossaryterms-export'!I:I,_xlpm.rowNum))),"Ready to Fix",""))</f>
        <v/>
      </c>
    </row>
    <row r="4250" spans="6:6">
      <c r="F4250" s="1" t="str" cm="1">
        <f t="array" ref="F4250">_xlfn.LET(_xlpm.rowNum,MATCH(E4250,'glossaryterms-export'!C:C,0),
IF(AND(NOT(ISBLANK(INDEX('glossaryterms-export'!H:H,_xlpm.rowNum))),ISBLANK(INDEX('glossaryterms-export'!I:I,_xlpm.rowNum))),"Ready to Fix",""))</f>
        <v/>
      </c>
    </row>
    <row r="4251" spans="6:6">
      <c r="F4251" s="1" t="str" cm="1">
        <f t="array" ref="F4251">_xlfn.LET(_xlpm.rowNum,MATCH(E4251,'glossaryterms-export'!C:C,0),
IF(AND(NOT(ISBLANK(INDEX('glossaryterms-export'!H:H,_xlpm.rowNum))),ISBLANK(INDEX('glossaryterms-export'!I:I,_xlpm.rowNum))),"Ready to Fix",""))</f>
        <v/>
      </c>
    </row>
    <row r="4252" spans="6:6">
      <c r="F4252" s="1" t="str" cm="1">
        <f t="array" ref="F4252">_xlfn.LET(_xlpm.rowNum,MATCH(E4252,'glossaryterms-export'!C:C,0),
IF(AND(NOT(ISBLANK(INDEX('glossaryterms-export'!H:H,_xlpm.rowNum))),ISBLANK(INDEX('glossaryterms-export'!I:I,_xlpm.rowNum))),"Ready to Fix",""))</f>
        <v/>
      </c>
    </row>
    <row r="4253" spans="6:6">
      <c r="F4253" s="1" t="str" cm="1">
        <f t="array" ref="F4253">_xlfn.LET(_xlpm.rowNum,MATCH(E4253,'glossaryterms-export'!C:C,0),
IF(AND(NOT(ISBLANK(INDEX('glossaryterms-export'!H:H,_xlpm.rowNum))),ISBLANK(INDEX('glossaryterms-export'!I:I,_xlpm.rowNum))),"Ready to Fix",""))</f>
        <v/>
      </c>
    </row>
    <row r="4254" spans="6:6">
      <c r="F4254" s="1" t="str" cm="1">
        <f t="array" ref="F4254">_xlfn.LET(_xlpm.rowNum,MATCH(E4254,'glossaryterms-export'!C:C,0),
IF(AND(NOT(ISBLANK(INDEX('glossaryterms-export'!H:H,_xlpm.rowNum))),ISBLANK(INDEX('glossaryterms-export'!I:I,_xlpm.rowNum))),"Ready to Fix",""))</f>
        <v/>
      </c>
    </row>
    <row r="4255" spans="6:6">
      <c r="F4255" s="1" t="str" cm="1">
        <f t="array" ref="F4255">_xlfn.LET(_xlpm.rowNum,MATCH(E4255,'glossaryterms-export'!C:C,0),
IF(AND(NOT(ISBLANK(INDEX('glossaryterms-export'!H:H,_xlpm.rowNum))),ISBLANK(INDEX('glossaryterms-export'!I:I,_xlpm.rowNum))),"Ready to Fix",""))</f>
        <v/>
      </c>
    </row>
    <row r="4256" spans="6:6">
      <c r="F4256" s="1" t="str" cm="1">
        <f t="array" ref="F4256">_xlfn.LET(_xlpm.rowNum,MATCH(E4256,'glossaryterms-export'!C:C,0),
IF(AND(NOT(ISBLANK(INDEX('glossaryterms-export'!H:H,_xlpm.rowNum))),ISBLANK(INDEX('glossaryterms-export'!I:I,_xlpm.rowNum))),"Ready to Fix",""))</f>
        <v/>
      </c>
    </row>
    <row r="4257" spans="6:6">
      <c r="F4257" s="1" t="str" cm="1">
        <f t="array" ref="F4257">_xlfn.LET(_xlpm.rowNum,MATCH(E4257,'glossaryterms-export'!C:C,0),
IF(AND(NOT(ISBLANK(INDEX('glossaryterms-export'!H:H,_xlpm.rowNum))),ISBLANK(INDEX('glossaryterms-export'!I:I,_xlpm.rowNum))),"Ready to Fix",""))</f>
        <v/>
      </c>
    </row>
    <row r="4258" spans="6:6">
      <c r="F4258" s="1" t="str" cm="1">
        <f t="array" ref="F4258">_xlfn.LET(_xlpm.rowNum,MATCH(E4258,'glossaryterms-export'!C:C,0),
IF(AND(NOT(ISBLANK(INDEX('glossaryterms-export'!H:H,_xlpm.rowNum))),ISBLANK(INDEX('glossaryterms-export'!I:I,_xlpm.rowNum))),"Ready to Fix",""))</f>
        <v/>
      </c>
    </row>
    <row r="4259" spans="6:6">
      <c r="F4259" s="1" t="str" cm="1">
        <f t="array" ref="F4259">_xlfn.LET(_xlpm.rowNum,MATCH(E4259,'glossaryterms-export'!C:C,0),
IF(AND(NOT(ISBLANK(INDEX('glossaryterms-export'!H:H,_xlpm.rowNum))),ISBLANK(INDEX('glossaryterms-export'!I:I,_xlpm.rowNum))),"Ready to Fix",""))</f>
        <v/>
      </c>
    </row>
    <row r="4260" spans="6:6">
      <c r="F4260" s="1" t="str" cm="1">
        <f t="array" ref="F4260">_xlfn.LET(_xlpm.rowNum,MATCH(E4260,'glossaryterms-export'!C:C,0),
IF(AND(NOT(ISBLANK(INDEX('glossaryterms-export'!H:H,_xlpm.rowNum))),ISBLANK(INDEX('glossaryterms-export'!I:I,_xlpm.rowNum))),"Ready to Fix",""))</f>
        <v/>
      </c>
    </row>
    <row r="4261" spans="6:6">
      <c r="F4261" s="1" t="str" cm="1">
        <f t="array" ref="F4261">_xlfn.LET(_xlpm.rowNum,MATCH(E4261,'glossaryterms-export'!C:C,0),
IF(AND(NOT(ISBLANK(INDEX('glossaryterms-export'!H:H,_xlpm.rowNum))),ISBLANK(INDEX('glossaryterms-export'!I:I,_xlpm.rowNum))),"Ready to Fix",""))</f>
        <v/>
      </c>
    </row>
    <row r="4262" spans="6:6">
      <c r="F4262" s="1" t="str" cm="1">
        <f t="array" ref="F4262">_xlfn.LET(_xlpm.rowNum,MATCH(E4262,'glossaryterms-export'!C:C,0),
IF(AND(NOT(ISBLANK(INDEX('glossaryterms-export'!H:H,_xlpm.rowNum))),ISBLANK(INDEX('glossaryterms-export'!I:I,_xlpm.rowNum))),"Ready to Fix",""))</f>
        <v/>
      </c>
    </row>
    <row r="4263" spans="6:6">
      <c r="F4263" s="1" t="str" cm="1">
        <f t="array" ref="F4263">_xlfn.LET(_xlpm.rowNum,MATCH(E4263,'glossaryterms-export'!C:C,0),
IF(AND(NOT(ISBLANK(INDEX('glossaryterms-export'!H:H,_xlpm.rowNum))),ISBLANK(INDEX('glossaryterms-export'!I:I,_xlpm.rowNum))),"Ready to Fix",""))</f>
        <v/>
      </c>
    </row>
    <row r="4264" spans="6:6">
      <c r="F4264" s="1" t="str" cm="1">
        <f t="array" ref="F4264">_xlfn.LET(_xlpm.rowNum,MATCH(E4264,'glossaryterms-export'!C:C,0),
IF(AND(NOT(ISBLANK(INDEX('glossaryterms-export'!H:H,_xlpm.rowNum))),ISBLANK(INDEX('glossaryterms-export'!I:I,_xlpm.rowNum))),"Ready to Fix",""))</f>
        <v/>
      </c>
    </row>
    <row r="4265" spans="6:6">
      <c r="F4265" s="1" t="str" cm="1">
        <f t="array" ref="F4265">_xlfn.LET(_xlpm.rowNum,MATCH(E4265,'glossaryterms-export'!C:C,0),
IF(AND(NOT(ISBLANK(INDEX('glossaryterms-export'!H:H,_xlpm.rowNum))),ISBLANK(INDEX('glossaryterms-export'!I:I,_xlpm.rowNum))),"Ready to Fix",""))</f>
        <v/>
      </c>
    </row>
    <row r="4266" spans="6:6">
      <c r="F4266" s="1" t="str" cm="1">
        <f t="array" ref="F4266">_xlfn.LET(_xlpm.rowNum,MATCH(E4266,'glossaryterms-export'!C:C,0),
IF(AND(NOT(ISBLANK(INDEX('glossaryterms-export'!H:H,_xlpm.rowNum))),ISBLANK(INDEX('glossaryterms-export'!I:I,_xlpm.rowNum))),"Ready to Fix",""))</f>
        <v/>
      </c>
    </row>
    <row r="4267" spans="6:6">
      <c r="F4267" s="1" t="str" cm="1">
        <f t="array" ref="F4267">_xlfn.LET(_xlpm.rowNum,MATCH(E4267,'glossaryterms-export'!C:C,0),
IF(AND(NOT(ISBLANK(INDEX('glossaryterms-export'!H:H,_xlpm.rowNum))),ISBLANK(INDEX('glossaryterms-export'!I:I,_xlpm.rowNum))),"Ready to Fix",""))</f>
        <v/>
      </c>
    </row>
    <row r="4268" spans="6:6">
      <c r="F4268" s="1" t="str" cm="1">
        <f t="array" ref="F4268">_xlfn.LET(_xlpm.rowNum,MATCH(E4268,'glossaryterms-export'!C:C,0),
IF(AND(NOT(ISBLANK(INDEX('glossaryterms-export'!H:H,_xlpm.rowNum))),ISBLANK(INDEX('glossaryterms-export'!I:I,_xlpm.rowNum))),"Ready to Fix",""))</f>
        <v/>
      </c>
    </row>
    <row r="4269" spans="6:6">
      <c r="F4269" s="1" t="str" cm="1">
        <f t="array" ref="F4269">_xlfn.LET(_xlpm.rowNum,MATCH(E4269,'glossaryterms-export'!C:C,0),
IF(AND(NOT(ISBLANK(INDEX('glossaryterms-export'!H:H,_xlpm.rowNum))),ISBLANK(INDEX('glossaryterms-export'!I:I,_xlpm.rowNum))),"Ready to Fix",""))</f>
        <v/>
      </c>
    </row>
    <row r="4270" spans="6:6">
      <c r="F4270" s="1" t="str" cm="1">
        <f t="array" ref="F4270">_xlfn.LET(_xlpm.rowNum,MATCH(E4270,'glossaryterms-export'!C:C,0),
IF(AND(NOT(ISBLANK(INDEX('glossaryterms-export'!H:H,_xlpm.rowNum))),ISBLANK(INDEX('glossaryterms-export'!I:I,_xlpm.rowNum))),"Ready to Fix",""))</f>
        <v/>
      </c>
    </row>
    <row r="4271" spans="6:6">
      <c r="F4271" s="1" t="str" cm="1">
        <f t="array" ref="F4271">_xlfn.LET(_xlpm.rowNum,MATCH(E4271,'glossaryterms-export'!C:C,0),
IF(AND(NOT(ISBLANK(INDEX('glossaryterms-export'!H:H,_xlpm.rowNum))),ISBLANK(INDEX('glossaryterms-export'!I:I,_xlpm.rowNum))),"Ready to Fix",""))</f>
        <v/>
      </c>
    </row>
    <row r="4272" spans="6:6">
      <c r="F4272" s="1" t="str" cm="1">
        <f t="array" ref="F4272">_xlfn.LET(_xlpm.rowNum,MATCH(E4272,'glossaryterms-export'!C:C,0),
IF(AND(NOT(ISBLANK(INDEX('glossaryterms-export'!H:H,_xlpm.rowNum))),ISBLANK(INDEX('glossaryterms-export'!I:I,_xlpm.rowNum))),"Ready to Fix",""))</f>
        <v/>
      </c>
    </row>
    <row r="4273" spans="6:6">
      <c r="F4273" s="1" t="str" cm="1">
        <f t="array" ref="F4273">_xlfn.LET(_xlpm.rowNum,MATCH(E4273,'glossaryterms-export'!C:C,0),
IF(AND(NOT(ISBLANK(INDEX('glossaryterms-export'!H:H,_xlpm.rowNum))),ISBLANK(INDEX('glossaryterms-export'!I:I,_xlpm.rowNum))),"Ready to Fix",""))</f>
        <v/>
      </c>
    </row>
    <row r="4274" spans="6:6">
      <c r="F4274" s="1" t="str" cm="1">
        <f t="array" ref="F4274">_xlfn.LET(_xlpm.rowNum,MATCH(E4274,'glossaryterms-export'!C:C,0),
IF(AND(NOT(ISBLANK(INDEX('glossaryterms-export'!H:H,_xlpm.rowNum))),ISBLANK(INDEX('glossaryterms-export'!I:I,_xlpm.rowNum))),"Ready to Fix",""))</f>
        <v/>
      </c>
    </row>
    <row r="4275" spans="6:6">
      <c r="F4275" s="1" t="str" cm="1">
        <f t="array" ref="F4275">_xlfn.LET(_xlpm.rowNum,MATCH(E4275,'glossaryterms-export'!C:C,0),
IF(AND(NOT(ISBLANK(INDEX('glossaryterms-export'!H:H,_xlpm.rowNum))),ISBLANK(INDEX('glossaryterms-export'!I:I,_xlpm.rowNum))),"Ready to Fix",""))</f>
        <v/>
      </c>
    </row>
    <row r="4276" spans="6:6">
      <c r="F4276" s="1" t="str" cm="1">
        <f t="array" ref="F4276">_xlfn.LET(_xlpm.rowNum,MATCH(E4276,'glossaryterms-export'!C:C,0),
IF(AND(NOT(ISBLANK(INDEX('glossaryterms-export'!H:H,_xlpm.rowNum))),ISBLANK(INDEX('glossaryterms-export'!I:I,_xlpm.rowNum))),"Ready to Fix",""))</f>
        <v/>
      </c>
    </row>
    <row r="4277" spans="6:6">
      <c r="F4277" s="1" t="str" cm="1">
        <f t="array" ref="F4277">_xlfn.LET(_xlpm.rowNum,MATCH(E4277,'glossaryterms-export'!C:C,0),
IF(AND(NOT(ISBLANK(INDEX('glossaryterms-export'!H:H,_xlpm.rowNum))),ISBLANK(INDEX('glossaryterms-export'!I:I,_xlpm.rowNum))),"Ready to Fix",""))</f>
        <v/>
      </c>
    </row>
    <row r="4278" spans="6:6">
      <c r="F4278" s="1" t="str" cm="1">
        <f t="array" ref="F4278">_xlfn.LET(_xlpm.rowNum,MATCH(E4278,'glossaryterms-export'!C:C,0),
IF(AND(NOT(ISBLANK(INDEX('glossaryterms-export'!H:H,_xlpm.rowNum))),ISBLANK(INDEX('glossaryterms-export'!I:I,_xlpm.rowNum))),"Ready to Fix",""))</f>
        <v/>
      </c>
    </row>
    <row r="4279" spans="6:6">
      <c r="F4279" s="1" t="str" cm="1">
        <f t="array" ref="F4279">_xlfn.LET(_xlpm.rowNum,MATCH(E4279,'glossaryterms-export'!C:C,0),
IF(AND(NOT(ISBLANK(INDEX('glossaryterms-export'!H:H,_xlpm.rowNum))),ISBLANK(INDEX('glossaryterms-export'!I:I,_xlpm.rowNum))),"Ready to Fix",""))</f>
        <v/>
      </c>
    </row>
    <row r="4280" spans="6:6">
      <c r="F4280" s="1" t="str" cm="1">
        <f t="array" ref="F4280">_xlfn.LET(_xlpm.rowNum,MATCH(E4280,'glossaryterms-export'!C:C,0),
IF(AND(NOT(ISBLANK(INDEX('glossaryterms-export'!H:H,_xlpm.rowNum))),ISBLANK(INDEX('glossaryterms-export'!I:I,_xlpm.rowNum))),"Ready to Fix",""))</f>
        <v/>
      </c>
    </row>
    <row r="4281" spans="6:6">
      <c r="F4281" s="1" t="str" cm="1">
        <f t="array" ref="F4281">_xlfn.LET(_xlpm.rowNum,MATCH(E4281,'glossaryterms-export'!C:C,0),
IF(AND(NOT(ISBLANK(INDEX('glossaryterms-export'!H:H,_xlpm.rowNum))),ISBLANK(INDEX('glossaryterms-export'!I:I,_xlpm.rowNum))),"Ready to Fix",""))</f>
        <v/>
      </c>
    </row>
    <row r="4282" spans="6:6">
      <c r="F4282" s="1" t="str" cm="1">
        <f t="array" ref="F4282">_xlfn.LET(_xlpm.rowNum,MATCH(E4282,'glossaryterms-export'!C:C,0),
IF(AND(NOT(ISBLANK(INDEX('glossaryterms-export'!H:H,_xlpm.rowNum))),ISBLANK(INDEX('glossaryterms-export'!I:I,_xlpm.rowNum))),"Ready to Fix",""))</f>
        <v/>
      </c>
    </row>
    <row r="4283" spans="6:6">
      <c r="F4283" s="1" t="str" cm="1">
        <f t="array" ref="F4283">_xlfn.LET(_xlpm.rowNum,MATCH(E4283,'glossaryterms-export'!C:C,0),
IF(AND(NOT(ISBLANK(INDEX('glossaryterms-export'!H:H,_xlpm.rowNum))),ISBLANK(INDEX('glossaryterms-export'!I:I,_xlpm.rowNum))),"Ready to Fix",""))</f>
        <v/>
      </c>
    </row>
    <row r="4284" spans="6:6">
      <c r="F4284" s="1" t="str" cm="1">
        <f t="array" ref="F4284">_xlfn.LET(_xlpm.rowNum,MATCH(E4284,'glossaryterms-export'!C:C,0),
IF(AND(NOT(ISBLANK(INDEX('glossaryterms-export'!H:H,_xlpm.rowNum))),ISBLANK(INDEX('glossaryterms-export'!I:I,_xlpm.rowNum))),"Ready to Fix",""))</f>
        <v/>
      </c>
    </row>
    <row r="4285" spans="6:6">
      <c r="F4285" s="1" t="str" cm="1">
        <f t="array" ref="F4285">_xlfn.LET(_xlpm.rowNum,MATCH(E4285,'glossaryterms-export'!C:C,0),
IF(AND(NOT(ISBLANK(INDEX('glossaryterms-export'!H:H,_xlpm.rowNum))),ISBLANK(INDEX('glossaryterms-export'!I:I,_xlpm.rowNum))),"Ready to Fix",""))</f>
        <v/>
      </c>
    </row>
    <row r="4286" spans="6:6">
      <c r="F4286" s="1" t="str" cm="1">
        <f t="array" ref="F4286">_xlfn.LET(_xlpm.rowNum,MATCH(E4286,'glossaryterms-export'!C:C,0),
IF(AND(NOT(ISBLANK(INDEX('glossaryterms-export'!H:H,_xlpm.rowNum))),ISBLANK(INDEX('glossaryterms-export'!I:I,_xlpm.rowNum))),"Ready to Fix",""))</f>
        <v/>
      </c>
    </row>
    <row r="4287" spans="6:6">
      <c r="F4287" s="1" t="str" cm="1">
        <f t="array" ref="F4287">_xlfn.LET(_xlpm.rowNum,MATCH(E4287,'glossaryterms-export'!C:C,0),
IF(AND(NOT(ISBLANK(INDEX('glossaryterms-export'!H:H,_xlpm.rowNum))),ISBLANK(INDEX('glossaryterms-export'!I:I,_xlpm.rowNum))),"Ready to Fix",""))</f>
        <v/>
      </c>
    </row>
    <row r="4288" spans="6:6">
      <c r="F4288" s="1" t="str" cm="1">
        <f t="array" ref="F4288">_xlfn.LET(_xlpm.rowNum,MATCH(E4288,'glossaryterms-export'!C:C,0),
IF(AND(NOT(ISBLANK(INDEX('glossaryterms-export'!H:H,_xlpm.rowNum))),ISBLANK(INDEX('glossaryterms-export'!I:I,_xlpm.rowNum))),"Ready to Fix",""))</f>
        <v/>
      </c>
    </row>
    <row r="4289" spans="6:6">
      <c r="F4289" s="1" t="str" cm="1">
        <f t="array" ref="F4289">_xlfn.LET(_xlpm.rowNum,MATCH(E4289,'glossaryterms-export'!C:C,0),
IF(AND(NOT(ISBLANK(INDEX('glossaryterms-export'!H:H,_xlpm.rowNum))),ISBLANK(INDEX('glossaryterms-export'!I:I,_xlpm.rowNum))),"Ready to Fix",""))</f>
        <v/>
      </c>
    </row>
    <row r="4290" spans="6:6">
      <c r="F4290" s="1" t="str" cm="1">
        <f t="array" ref="F4290">_xlfn.LET(_xlpm.rowNum,MATCH(E4290,'glossaryterms-export'!C:C,0),
IF(AND(NOT(ISBLANK(INDEX('glossaryterms-export'!H:H,_xlpm.rowNum))),ISBLANK(INDEX('glossaryterms-export'!I:I,_xlpm.rowNum))),"Ready to Fix",""))</f>
        <v/>
      </c>
    </row>
    <row r="4291" spans="6:6">
      <c r="F4291" s="1" t="str" cm="1">
        <f t="array" ref="F4291">_xlfn.LET(_xlpm.rowNum,MATCH(E4291,'glossaryterms-export'!C:C,0),
IF(AND(NOT(ISBLANK(INDEX('glossaryterms-export'!H:H,_xlpm.rowNum))),ISBLANK(INDEX('glossaryterms-export'!I:I,_xlpm.rowNum))),"Ready to Fix",""))</f>
        <v/>
      </c>
    </row>
    <row r="4292" spans="6:6">
      <c r="F4292" s="1" t="str" cm="1">
        <f t="array" ref="F4292">_xlfn.LET(_xlpm.rowNum,MATCH(E4292,'glossaryterms-export'!C:C,0),
IF(AND(NOT(ISBLANK(INDEX('glossaryterms-export'!H:H,_xlpm.rowNum))),ISBLANK(INDEX('glossaryterms-export'!I:I,_xlpm.rowNum))),"Ready to Fix",""))</f>
        <v/>
      </c>
    </row>
    <row r="4293" spans="6:6">
      <c r="F4293" s="1" t="str" cm="1">
        <f t="array" ref="F4293">_xlfn.LET(_xlpm.rowNum,MATCH(E4293,'glossaryterms-export'!C:C,0),
IF(AND(NOT(ISBLANK(INDEX('glossaryterms-export'!H:H,_xlpm.rowNum))),ISBLANK(INDEX('glossaryterms-export'!I:I,_xlpm.rowNum))),"Ready to Fix",""))</f>
        <v/>
      </c>
    </row>
    <row r="4294" spans="6:6">
      <c r="F4294" s="1" t="str" cm="1">
        <f t="array" ref="F4294">_xlfn.LET(_xlpm.rowNum,MATCH(E4294,'glossaryterms-export'!C:C,0),
IF(AND(NOT(ISBLANK(INDEX('glossaryterms-export'!H:H,_xlpm.rowNum))),ISBLANK(INDEX('glossaryterms-export'!I:I,_xlpm.rowNum))),"Ready to Fix",""))</f>
        <v/>
      </c>
    </row>
    <row r="4295" spans="6:6">
      <c r="F4295" s="1" t="str" cm="1">
        <f t="array" ref="F4295">_xlfn.LET(_xlpm.rowNum,MATCH(E4295,'glossaryterms-export'!C:C,0),
IF(AND(NOT(ISBLANK(INDEX('glossaryterms-export'!H:H,_xlpm.rowNum))),ISBLANK(INDEX('glossaryterms-export'!I:I,_xlpm.rowNum))),"Ready to Fix",""))</f>
        <v/>
      </c>
    </row>
    <row r="4296" spans="6:6">
      <c r="F4296" s="1" t="str" cm="1">
        <f t="array" ref="F4296">_xlfn.LET(_xlpm.rowNum,MATCH(E4296,'glossaryterms-export'!C:C,0),
IF(AND(NOT(ISBLANK(INDEX('glossaryterms-export'!H:H,_xlpm.rowNum))),ISBLANK(INDEX('glossaryterms-export'!I:I,_xlpm.rowNum))),"Ready to Fix",""))</f>
        <v/>
      </c>
    </row>
    <row r="4297" spans="6:6">
      <c r="F4297" s="1" t="str" cm="1">
        <f t="array" ref="F4297">_xlfn.LET(_xlpm.rowNum,MATCH(E4297,'glossaryterms-export'!C:C,0),
IF(AND(NOT(ISBLANK(INDEX('glossaryterms-export'!H:H,_xlpm.rowNum))),ISBLANK(INDEX('glossaryterms-export'!I:I,_xlpm.rowNum))),"Ready to Fix",""))</f>
        <v/>
      </c>
    </row>
    <row r="4298" spans="6:6">
      <c r="F4298" s="1" t="str" cm="1">
        <f t="array" ref="F4298">_xlfn.LET(_xlpm.rowNum,MATCH(E4298,'glossaryterms-export'!C:C,0),
IF(AND(NOT(ISBLANK(INDEX('glossaryterms-export'!H:H,_xlpm.rowNum))),ISBLANK(INDEX('glossaryterms-export'!I:I,_xlpm.rowNum))),"Ready to Fix",""))</f>
        <v/>
      </c>
    </row>
    <row r="4299" spans="6:6">
      <c r="F4299" s="1" t="str" cm="1">
        <f t="array" ref="F4299">_xlfn.LET(_xlpm.rowNum,MATCH(E4299,'glossaryterms-export'!C:C,0),
IF(AND(NOT(ISBLANK(INDEX('glossaryterms-export'!H:H,_xlpm.rowNum))),ISBLANK(INDEX('glossaryterms-export'!I:I,_xlpm.rowNum))),"Ready to Fix",""))</f>
        <v/>
      </c>
    </row>
    <row r="4300" spans="6:6">
      <c r="F4300" s="1" t="str" cm="1">
        <f t="array" ref="F4300">_xlfn.LET(_xlpm.rowNum,MATCH(E4300,'glossaryterms-export'!C:C,0),
IF(AND(NOT(ISBLANK(INDEX('glossaryterms-export'!H:H,_xlpm.rowNum))),ISBLANK(INDEX('glossaryterms-export'!I:I,_xlpm.rowNum))),"Ready to Fix",""))</f>
        <v/>
      </c>
    </row>
    <row r="4301" spans="6:6">
      <c r="F4301" s="1" t="str" cm="1">
        <f t="array" ref="F4301">_xlfn.LET(_xlpm.rowNum,MATCH(E4301,'glossaryterms-export'!C:C,0),
IF(AND(NOT(ISBLANK(INDEX('glossaryterms-export'!H:H,_xlpm.rowNum))),ISBLANK(INDEX('glossaryterms-export'!I:I,_xlpm.rowNum))),"Ready to Fix",""))</f>
        <v/>
      </c>
    </row>
    <row r="4302" spans="6:6">
      <c r="F4302" s="1" t="str" cm="1">
        <f t="array" ref="F4302">_xlfn.LET(_xlpm.rowNum,MATCH(E4302,'glossaryterms-export'!C:C,0),
IF(AND(NOT(ISBLANK(INDEX('glossaryterms-export'!H:H,_xlpm.rowNum))),ISBLANK(INDEX('glossaryterms-export'!I:I,_xlpm.rowNum))),"Ready to Fix",""))</f>
        <v/>
      </c>
    </row>
    <row r="4303" spans="6:6">
      <c r="F4303" s="1" t="str" cm="1">
        <f t="array" ref="F4303">_xlfn.LET(_xlpm.rowNum,MATCH(E4303,'glossaryterms-export'!C:C,0),
IF(AND(NOT(ISBLANK(INDEX('glossaryterms-export'!H:H,_xlpm.rowNum))),ISBLANK(INDEX('glossaryterms-export'!I:I,_xlpm.rowNum))),"Ready to Fix",""))</f>
        <v/>
      </c>
    </row>
    <row r="4304" spans="6:6">
      <c r="F4304" s="1" t="str" cm="1">
        <f t="array" ref="F4304">_xlfn.LET(_xlpm.rowNum,MATCH(E4304,'glossaryterms-export'!C:C,0),
IF(AND(NOT(ISBLANK(INDEX('glossaryterms-export'!H:H,_xlpm.rowNum))),ISBLANK(INDEX('glossaryterms-export'!I:I,_xlpm.rowNum))),"Ready to Fix",""))</f>
        <v/>
      </c>
    </row>
    <row r="4305" spans="6:6">
      <c r="F4305" s="1" t="str" cm="1">
        <f t="array" ref="F4305">_xlfn.LET(_xlpm.rowNum,MATCH(E4305,'glossaryterms-export'!C:C,0),
IF(AND(NOT(ISBLANK(INDEX('glossaryterms-export'!H:H,_xlpm.rowNum))),ISBLANK(INDEX('glossaryterms-export'!I:I,_xlpm.rowNum))),"Ready to Fix",""))</f>
        <v/>
      </c>
    </row>
    <row r="4306" spans="6:6">
      <c r="F4306" s="1" t="str" cm="1">
        <f t="array" ref="F4306">_xlfn.LET(_xlpm.rowNum,MATCH(E4306,'glossaryterms-export'!C:C,0),
IF(AND(NOT(ISBLANK(INDEX('glossaryterms-export'!H:H,_xlpm.rowNum))),ISBLANK(INDEX('glossaryterms-export'!I:I,_xlpm.rowNum))),"Ready to Fix",""))</f>
        <v/>
      </c>
    </row>
    <row r="4307" spans="6:6">
      <c r="F4307" s="1" t="str" cm="1">
        <f t="array" ref="F4307">_xlfn.LET(_xlpm.rowNum,MATCH(E4307,'glossaryterms-export'!C:C,0),
IF(AND(NOT(ISBLANK(INDEX('glossaryterms-export'!H:H,_xlpm.rowNum))),ISBLANK(INDEX('glossaryterms-export'!I:I,_xlpm.rowNum))),"Ready to Fix",""))</f>
        <v/>
      </c>
    </row>
    <row r="4308" spans="6:6">
      <c r="F4308" s="1" t="str" cm="1">
        <f t="array" ref="F4308">_xlfn.LET(_xlpm.rowNum,MATCH(E4308,'glossaryterms-export'!C:C,0),
IF(AND(NOT(ISBLANK(INDEX('glossaryterms-export'!H:H,_xlpm.rowNum))),ISBLANK(INDEX('glossaryterms-export'!I:I,_xlpm.rowNum))),"Ready to Fix",""))</f>
        <v/>
      </c>
    </row>
    <row r="4309" spans="6:6">
      <c r="F4309" s="1" t="str" cm="1">
        <f t="array" ref="F4309">_xlfn.LET(_xlpm.rowNum,MATCH(E4309,'glossaryterms-export'!C:C,0),
IF(AND(NOT(ISBLANK(INDEX('glossaryterms-export'!H:H,_xlpm.rowNum))),ISBLANK(INDEX('glossaryterms-export'!I:I,_xlpm.rowNum))),"Ready to Fix",""))</f>
        <v/>
      </c>
    </row>
    <row r="4310" spans="6:6">
      <c r="F4310" s="1" t="str" cm="1">
        <f t="array" ref="F4310">_xlfn.LET(_xlpm.rowNum,MATCH(E4310,'glossaryterms-export'!C:C,0),
IF(AND(NOT(ISBLANK(INDEX('glossaryterms-export'!H:H,_xlpm.rowNum))),ISBLANK(INDEX('glossaryterms-export'!I:I,_xlpm.rowNum))),"Ready to Fix",""))</f>
        <v/>
      </c>
    </row>
    <row r="4311" spans="6:6">
      <c r="F4311" s="1" t="str" cm="1">
        <f t="array" ref="F4311">_xlfn.LET(_xlpm.rowNum,MATCH(E4311,'glossaryterms-export'!C:C,0),
IF(AND(NOT(ISBLANK(INDEX('glossaryterms-export'!H:H,_xlpm.rowNum))),ISBLANK(INDEX('glossaryterms-export'!I:I,_xlpm.rowNum))),"Ready to Fix",""))</f>
        <v/>
      </c>
    </row>
    <row r="4312" spans="6:6">
      <c r="F4312" s="1" t="str" cm="1">
        <f t="array" ref="F4312">_xlfn.LET(_xlpm.rowNum,MATCH(E4312,'glossaryterms-export'!C:C,0),
IF(AND(NOT(ISBLANK(INDEX('glossaryterms-export'!H:H,_xlpm.rowNum))),ISBLANK(INDEX('glossaryterms-export'!I:I,_xlpm.rowNum))),"Ready to Fix",""))</f>
        <v/>
      </c>
    </row>
    <row r="4313" spans="6:6">
      <c r="F4313" s="1" t="str" cm="1">
        <f t="array" ref="F4313">_xlfn.LET(_xlpm.rowNum,MATCH(E4313,'glossaryterms-export'!C:C,0),
IF(AND(NOT(ISBLANK(INDEX('glossaryterms-export'!H:H,_xlpm.rowNum))),ISBLANK(INDEX('glossaryterms-export'!I:I,_xlpm.rowNum))),"Ready to Fix",""))</f>
        <v/>
      </c>
    </row>
    <row r="4314" spans="6:6">
      <c r="F4314" s="1" t="str" cm="1">
        <f t="array" ref="F4314">_xlfn.LET(_xlpm.rowNum,MATCH(E4314,'glossaryterms-export'!C:C,0),
IF(AND(NOT(ISBLANK(INDEX('glossaryterms-export'!H:H,_xlpm.rowNum))),ISBLANK(INDEX('glossaryterms-export'!I:I,_xlpm.rowNum))),"Ready to Fix",""))</f>
        <v/>
      </c>
    </row>
    <row r="4315" spans="6:6">
      <c r="F4315" s="1" t="str" cm="1">
        <f t="array" ref="F4315">_xlfn.LET(_xlpm.rowNum,MATCH(E4315,'glossaryterms-export'!C:C,0),
IF(AND(NOT(ISBLANK(INDEX('glossaryterms-export'!H:H,_xlpm.rowNum))),ISBLANK(INDEX('glossaryterms-export'!I:I,_xlpm.rowNum))),"Ready to Fix",""))</f>
        <v/>
      </c>
    </row>
    <row r="4316" spans="6:6">
      <c r="F4316" s="1" t="str" cm="1">
        <f t="array" ref="F4316">_xlfn.LET(_xlpm.rowNum,MATCH(E4316,'glossaryterms-export'!C:C,0),
IF(AND(NOT(ISBLANK(INDEX('glossaryterms-export'!H:H,_xlpm.rowNum))),ISBLANK(INDEX('glossaryterms-export'!I:I,_xlpm.rowNum))),"Ready to Fix",""))</f>
        <v/>
      </c>
    </row>
    <row r="4317" spans="6:6">
      <c r="F4317" s="1" t="str" cm="1">
        <f t="array" ref="F4317">_xlfn.LET(_xlpm.rowNum,MATCH(E4317,'glossaryterms-export'!C:C,0),
IF(AND(NOT(ISBLANK(INDEX('glossaryterms-export'!H:H,_xlpm.rowNum))),ISBLANK(INDEX('glossaryterms-export'!I:I,_xlpm.rowNum))),"Ready to Fix",""))</f>
        <v/>
      </c>
    </row>
    <row r="4318" spans="6:6">
      <c r="F4318" s="1" t="str" cm="1">
        <f t="array" ref="F4318">_xlfn.LET(_xlpm.rowNum,MATCH(E4318,'glossaryterms-export'!C:C,0),
IF(AND(NOT(ISBLANK(INDEX('glossaryterms-export'!H:H,_xlpm.rowNum))),ISBLANK(INDEX('glossaryterms-export'!I:I,_xlpm.rowNum))),"Ready to Fix",""))</f>
        <v/>
      </c>
    </row>
    <row r="4319" spans="6:6">
      <c r="F4319" s="1" t="str" cm="1">
        <f t="array" ref="F4319">_xlfn.LET(_xlpm.rowNum,MATCH(E4319,'glossaryterms-export'!C:C,0),
IF(AND(NOT(ISBLANK(INDEX('glossaryterms-export'!H:H,_xlpm.rowNum))),ISBLANK(INDEX('glossaryterms-export'!I:I,_xlpm.rowNum))),"Ready to Fix",""))</f>
        <v/>
      </c>
    </row>
    <row r="4320" spans="6:6">
      <c r="F4320" s="1" t="str" cm="1">
        <f t="array" ref="F4320">_xlfn.LET(_xlpm.rowNum,MATCH(E4320,'glossaryterms-export'!C:C,0),
IF(AND(NOT(ISBLANK(INDEX('glossaryterms-export'!H:H,_xlpm.rowNum))),ISBLANK(INDEX('glossaryterms-export'!I:I,_xlpm.rowNum))),"Ready to Fix",""))</f>
        <v/>
      </c>
    </row>
    <row r="4321" spans="6:6">
      <c r="F4321" s="1" t="str" cm="1">
        <f t="array" ref="F4321">_xlfn.LET(_xlpm.rowNum,MATCH(E4321,'glossaryterms-export'!C:C,0),
IF(AND(NOT(ISBLANK(INDEX('glossaryterms-export'!H:H,_xlpm.rowNum))),ISBLANK(INDEX('glossaryterms-export'!I:I,_xlpm.rowNum))),"Ready to Fix",""))</f>
        <v/>
      </c>
    </row>
    <row r="4322" spans="6:6">
      <c r="F4322" s="1" t="str" cm="1">
        <f t="array" ref="F4322">_xlfn.LET(_xlpm.rowNum,MATCH(E4322,'glossaryterms-export'!C:C,0),
IF(AND(NOT(ISBLANK(INDEX('glossaryterms-export'!H:H,_xlpm.rowNum))),ISBLANK(INDEX('glossaryterms-export'!I:I,_xlpm.rowNum))),"Ready to Fix",""))</f>
        <v/>
      </c>
    </row>
    <row r="4323" spans="6:6">
      <c r="F4323" s="1" t="str" cm="1">
        <f t="array" ref="F4323">_xlfn.LET(_xlpm.rowNum,MATCH(E4323,'glossaryterms-export'!C:C,0),
IF(AND(NOT(ISBLANK(INDEX('glossaryterms-export'!H:H,_xlpm.rowNum))),ISBLANK(INDEX('glossaryterms-export'!I:I,_xlpm.rowNum))),"Ready to Fix",""))</f>
        <v/>
      </c>
    </row>
    <row r="4324" spans="6:6">
      <c r="F4324" s="1" t="str" cm="1">
        <f t="array" ref="F4324">_xlfn.LET(_xlpm.rowNum,MATCH(E4324,'glossaryterms-export'!C:C,0),
IF(AND(NOT(ISBLANK(INDEX('glossaryterms-export'!H:H,_xlpm.rowNum))),ISBLANK(INDEX('glossaryterms-export'!I:I,_xlpm.rowNum))),"Ready to Fix",""))</f>
        <v/>
      </c>
    </row>
    <row r="4325" spans="6:6">
      <c r="F4325" s="1" t="str" cm="1">
        <f t="array" ref="F4325">_xlfn.LET(_xlpm.rowNum,MATCH(E4325,'glossaryterms-export'!C:C,0),
IF(AND(NOT(ISBLANK(INDEX('glossaryterms-export'!H:H,_xlpm.rowNum))),ISBLANK(INDEX('glossaryterms-export'!I:I,_xlpm.rowNum))),"Ready to Fix",""))</f>
        <v/>
      </c>
    </row>
    <row r="4326" spans="6:6">
      <c r="F4326" s="1" t="str" cm="1">
        <f t="array" ref="F4326">_xlfn.LET(_xlpm.rowNum,MATCH(E4326,'glossaryterms-export'!C:C,0),
IF(AND(NOT(ISBLANK(INDEX('glossaryterms-export'!H:H,_xlpm.rowNum))),ISBLANK(INDEX('glossaryterms-export'!I:I,_xlpm.rowNum))),"Ready to Fix",""))</f>
        <v/>
      </c>
    </row>
    <row r="4327" spans="6:6">
      <c r="F4327" s="1" t="str" cm="1">
        <f t="array" ref="F4327">_xlfn.LET(_xlpm.rowNum,MATCH(E4327,'glossaryterms-export'!C:C,0),
IF(AND(NOT(ISBLANK(INDEX('glossaryterms-export'!H:H,_xlpm.rowNum))),ISBLANK(INDEX('glossaryterms-export'!I:I,_xlpm.rowNum))),"Ready to Fix",""))</f>
        <v/>
      </c>
    </row>
    <row r="4328" spans="6:6">
      <c r="F4328" s="1" t="str" cm="1">
        <f t="array" ref="F4328">_xlfn.LET(_xlpm.rowNum,MATCH(E4328,'glossaryterms-export'!C:C,0),
IF(AND(NOT(ISBLANK(INDEX('glossaryterms-export'!H:H,_xlpm.rowNum))),ISBLANK(INDEX('glossaryterms-export'!I:I,_xlpm.rowNum))),"Ready to Fix",""))</f>
        <v/>
      </c>
    </row>
    <row r="4329" spans="6:6">
      <c r="F4329" s="1" t="str" cm="1">
        <f t="array" ref="F4329">_xlfn.LET(_xlpm.rowNum,MATCH(E4329,'glossaryterms-export'!C:C,0),
IF(AND(NOT(ISBLANK(INDEX('glossaryterms-export'!H:H,_xlpm.rowNum))),ISBLANK(INDEX('glossaryterms-export'!I:I,_xlpm.rowNum))),"Ready to Fix",""))</f>
        <v/>
      </c>
    </row>
    <row r="4330" spans="6:6">
      <c r="F4330" s="1" t="str" cm="1">
        <f t="array" ref="F4330">_xlfn.LET(_xlpm.rowNum,MATCH(E4330,'glossaryterms-export'!C:C,0),
IF(AND(NOT(ISBLANK(INDEX('glossaryterms-export'!H:H,_xlpm.rowNum))),ISBLANK(INDEX('glossaryterms-export'!I:I,_xlpm.rowNum))),"Ready to Fix",""))</f>
        <v/>
      </c>
    </row>
    <row r="4331" spans="6:6">
      <c r="F4331" s="1" t="str" cm="1">
        <f t="array" ref="F4331">_xlfn.LET(_xlpm.rowNum,MATCH(E4331,'glossaryterms-export'!C:C,0),
IF(AND(NOT(ISBLANK(INDEX('glossaryterms-export'!H:H,_xlpm.rowNum))),ISBLANK(INDEX('glossaryterms-export'!I:I,_xlpm.rowNum))),"Ready to Fix",""))</f>
        <v/>
      </c>
    </row>
    <row r="4332" spans="6:6">
      <c r="F4332" s="1" t="str" cm="1">
        <f t="array" ref="F4332">_xlfn.LET(_xlpm.rowNum,MATCH(E4332,'glossaryterms-export'!C:C,0),
IF(AND(NOT(ISBLANK(INDEX('glossaryterms-export'!H:H,_xlpm.rowNum))),ISBLANK(INDEX('glossaryterms-export'!I:I,_xlpm.rowNum))),"Ready to Fix",""))</f>
        <v/>
      </c>
    </row>
    <row r="4333" spans="6:6">
      <c r="F4333" s="1" t="str" cm="1">
        <f t="array" ref="F4333">_xlfn.LET(_xlpm.rowNum,MATCH(E4333,'glossaryterms-export'!C:C,0),
IF(AND(NOT(ISBLANK(INDEX('glossaryterms-export'!H:H,_xlpm.rowNum))),ISBLANK(INDEX('glossaryterms-export'!I:I,_xlpm.rowNum))),"Ready to Fix",""))</f>
        <v/>
      </c>
    </row>
    <row r="4334" spans="6:6">
      <c r="F4334" s="1" t="str" cm="1">
        <f t="array" ref="F4334">_xlfn.LET(_xlpm.rowNum,MATCH(E4334,'glossaryterms-export'!C:C,0),
IF(AND(NOT(ISBLANK(INDEX('glossaryterms-export'!H:H,_xlpm.rowNum))),ISBLANK(INDEX('glossaryterms-export'!I:I,_xlpm.rowNum))),"Ready to Fix",""))</f>
        <v/>
      </c>
    </row>
    <row r="4335" spans="6:6">
      <c r="F4335" s="1" t="str" cm="1">
        <f t="array" ref="F4335">_xlfn.LET(_xlpm.rowNum,MATCH(E4335,'glossaryterms-export'!C:C,0),
IF(AND(NOT(ISBLANK(INDEX('glossaryterms-export'!H:H,_xlpm.rowNum))),ISBLANK(INDEX('glossaryterms-export'!I:I,_xlpm.rowNum))),"Ready to Fix",""))</f>
        <v/>
      </c>
    </row>
    <row r="4336" spans="6:6">
      <c r="F4336" s="1" t="str" cm="1">
        <f t="array" ref="F4336">_xlfn.LET(_xlpm.rowNum,MATCH(E4336,'glossaryterms-export'!C:C,0),
IF(AND(NOT(ISBLANK(INDEX('glossaryterms-export'!H:H,_xlpm.rowNum))),ISBLANK(INDEX('glossaryterms-export'!I:I,_xlpm.rowNum))),"Ready to Fix",""))</f>
        <v/>
      </c>
    </row>
    <row r="4337" spans="6:6">
      <c r="F4337" s="1" t="str" cm="1">
        <f t="array" ref="F4337">_xlfn.LET(_xlpm.rowNum,MATCH(E4337,'glossaryterms-export'!C:C,0),
IF(AND(NOT(ISBLANK(INDEX('glossaryterms-export'!H:H,_xlpm.rowNum))),ISBLANK(INDEX('glossaryterms-export'!I:I,_xlpm.rowNum))),"Ready to Fix",""))</f>
        <v/>
      </c>
    </row>
    <row r="4338" spans="6:6">
      <c r="F4338" s="1" t="str" cm="1">
        <f t="array" ref="F4338">_xlfn.LET(_xlpm.rowNum,MATCH(E4338,'glossaryterms-export'!C:C,0),
IF(AND(NOT(ISBLANK(INDEX('glossaryterms-export'!H:H,_xlpm.rowNum))),ISBLANK(INDEX('glossaryterms-export'!I:I,_xlpm.rowNum))),"Ready to Fix",""))</f>
        <v/>
      </c>
    </row>
    <row r="4339" spans="6:6">
      <c r="F4339" s="1" t="str" cm="1">
        <f t="array" ref="F4339">_xlfn.LET(_xlpm.rowNum,MATCH(E4339,'glossaryterms-export'!C:C,0),
IF(AND(NOT(ISBLANK(INDEX('glossaryterms-export'!H:H,_xlpm.rowNum))),ISBLANK(INDEX('glossaryterms-export'!I:I,_xlpm.rowNum))),"Ready to Fix",""))</f>
        <v/>
      </c>
    </row>
    <row r="4340" spans="6:6">
      <c r="F4340" s="1" t="str" cm="1">
        <f t="array" ref="F4340">_xlfn.LET(_xlpm.rowNum,MATCH(E4340,'glossaryterms-export'!C:C,0),
IF(AND(NOT(ISBLANK(INDEX('glossaryterms-export'!H:H,_xlpm.rowNum))),ISBLANK(INDEX('glossaryterms-export'!I:I,_xlpm.rowNum))),"Ready to Fix",""))</f>
        <v/>
      </c>
    </row>
    <row r="4341" spans="6:6">
      <c r="F4341" s="1" t="str" cm="1">
        <f t="array" ref="F4341">_xlfn.LET(_xlpm.rowNum,MATCH(E4341,'glossaryterms-export'!C:C,0),
IF(AND(NOT(ISBLANK(INDEX('glossaryterms-export'!H:H,_xlpm.rowNum))),ISBLANK(INDEX('glossaryterms-export'!I:I,_xlpm.rowNum))),"Ready to Fix",""))</f>
        <v/>
      </c>
    </row>
    <row r="4342" spans="6:6">
      <c r="F4342" s="1" t="str" cm="1">
        <f t="array" ref="F4342">_xlfn.LET(_xlpm.rowNum,MATCH(E4342,'glossaryterms-export'!C:C,0),
IF(AND(NOT(ISBLANK(INDEX('glossaryterms-export'!H:H,_xlpm.rowNum))),ISBLANK(INDEX('glossaryterms-export'!I:I,_xlpm.rowNum))),"Ready to Fix",""))</f>
        <v/>
      </c>
    </row>
    <row r="4343" spans="6:6">
      <c r="F4343" s="1" t="str" cm="1">
        <f t="array" ref="F4343">_xlfn.LET(_xlpm.rowNum,MATCH(E4343,'glossaryterms-export'!C:C,0),
IF(AND(NOT(ISBLANK(INDEX('glossaryterms-export'!H:H,_xlpm.rowNum))),ISBLANK(INDEX('glossaryterms-export'!I:I,_xlpm.rowNum))),"Ready to Fix",""))</f>
        <v/>
      </c>
    </row>
    <row r="4344" spans="6:6">
      <c r="F4344" s="1" t="str" cm="1">
        <f t="array" ref="F4344">_xlfn.LET(_xlpm.rowNum,MATCH(E4344,'glossaryterms-export'!C:C,0),
IF(AND(NOT(ISBLANK(INDEX('glossaryterms-export'!H:H,_xlpm.rowNum))),ISBLANK(INDEX('glossaryterms-export'!I:I,_xlpm.rowNum))),"Ready to Fix",""))</f>
        <v/>
      </c>
    </row>
    <row r="4345" spans="6:6">
      <c r="F4345" s="1" t="str" cm="1">
        <f t="array" ref="F4345">_xlfn.LET(_xlpm.rowNum,MATCH(E4345,'glossaryterms-export'!C:C,0),
IF(AND(NOT(ISBLANK(INDEX('glossaryterms-export'!H:H,_xlpm.rowNum))),ISBLANK(INDEX('glossaryterms-export'!I:I,_xlpm.rowNum))),"Ready to Fix",""))</f>
        <v/>
      </c>
    </row>
    <row r="4346" spans="6:6">
      <c r="F4346" s="1" t="str" cm="1">
        <f t="array" ref="F4346">_xlfn.LET(_xlpm.rowNum,MATCH(E4346,'glossaryterms-export'!C:C,0),
IF(AND(NOT(ISBLANK(INDEX('glossaryterms-export'!H:H,_xlpm.rowNum))),ISBLANK(INDEX('glossaryterms-export'!I:I,_xlpm.rowNum))),"Ready to Fix",""))</f>
        <v/>
      </c>
    </row>
    <row r="4347" spans="6:6">
      <c r="F4347" s="1" t="str" cm="1">
        <f t="array" ref="F4347">_xlfn.LET(_xlpm.rowNum,MATCH(E4347,'glossaryterms-export'!C:C,0),
IF(AND(NOT(ISBLANK(INDEX('glossaryterms-export'!H:H,_xlpm.rowNum))),ISBLANK(INDEX('glossaryterms-export'!I:I,_xlpm.rowNum))),"Ready to Fix",""))</f>
        <v/>
      </c>
    </row>
    <row r="4348" spans="6:6">
      <c r="F4348" s="1" t="str" cm="1">
        <f t="array" ref="F4348">_xlfn.LET(_xlpm.rowNum,MATCH(E4348,'glossaryterms-export'!C:C,0),
IF(AND(NOT(ISBLANK(INDEX('glossaryterms-export'!H:H,_xlpm.rowNum))),ISBLANK(INDEX('glossaryterms-export'!I:I,_xlpm.rowNum))),"Ready to Fix",""))</f>
        <v/>
      </c>
    </row>
    <row r="4349" spans="6:6">
      <c r="F4349" s="1" t="str" cm="1">
        <f t="array" ref="F4349">_xlfn.LET(_xlpm.rowNum,MATCH(E4349,'glossaryterms-export'!C:C,0),
IF(AND(NOT(ISBLANK(INDEX('glossaryterms-export'!H:H,_xlpm.rowNum))),ISBLANK(INDEX('glossaryterms-export'!I:I,_xlpm.rowNum))),"Ready to Fix",""))</f>
        <v/>
      </c>
    </row>
    <row r="4350" spans="6:6">
      <c r="F4350" s="1" t="str" cm="1">
        <f t="array" ref="F4350">_xlfn.LET(_xlpm.rowNum,MATCH(E4350,'glossaryterms-export'!C:C,0),
IF(AND(NOT(ISBLANK(INDEX('glossaryterms-export'!H:H,_xlpm.rowNum))),ISBLANK(INDEX('glossaryterms-export'!I:I,_xlpm.rowNum))),"Ready to Fix",""))</f>
        <v/>
      </c>
    </row>
    <row r="4351" spans="6:6">
      <c r="F4351" s="1" t="str" cm="1">
        <f t="array" ref="F4351">_xlfn.LET(_xlpm.rowNum,MATCH(E4351,'glossaryterms-export'!C:C,0),
IF(AND(NOT(ISBLANK(INDEX('glossaryterms-export'!H:H,_xlpm.rowNum))),ISBLANK(INDEX('glossaryterms-export'!I:I,_xlpm.rowNum))),"Ready to Fix",""))</f>
        <v/>
      </c>
    </row>
    <row r="4352" spans="6:6">
      <c r="F4352" s="1" t="str" cm="1">
        <f t="array" ref="F4352">_xlfn.LET(_xlpm.rowNum,MATCH(E4352,'glossaryterms-export'!C:C,0),
IF(AND(NOT(ISBLANK(INDEX('glossaryterms-export'!H:H,_xlpm.rowNum))),ISBLANK(INDEX('glossaryterms-export'!I:I,_xlpm.rowNum))),"Ready to Fix",""))</f>
        <v/>
      </c>
    </row>
    <row r="4353" spans="6:6">
      <c r="F4353" s="1" t="str" cm="1">
        <f t="array" ref="F4353">_xlfn.LET(_xlpm.rowNum,MATCH(E4353,'glossaryterms-export'!C:C,0),
IF(AND(NOT(ISBLANK(INDEX('glossaryterms-export'!H:H,_xlpm.rowNum))),ISBLANK(INDEX('glossaryterms-export'!I:I,_xlpm.rowNum))),"Ready to Fix",""))</f>
        <v/>
      </c>
    </row>
    <row r="4354" spans="6:6">
      <c r="F4354" s="1" t="str" cm="1">
        <f t="array" ref="F4354">_xlfn.LET(_xlpm.rowNum,MATCH(E4354,'glossaryterms-export'!C:C,0),
IF(AND(NOT(ISBLANK(INDEX('glossaryterms-export'!H:H,_xlpm.rowNum))),ISBLANK(INDEX('glossaryterms-export'!I:I,_xlpm.rowNum))),"Ready to Fix",""))</f>
        <v/>
      </c>
    </row>
    <row r="4355" spans="6:6">
      <c r="F4355" s="1" t="str" cm="1">
        <f t="array" ref="F4355">_xlfn.LET(_xlpm.rowNum,MATCH(E4355,'glossaryterms-export'!C:C,0),
IF(AND(NOT(ISBLANK(INDEX('glossaryterms-export'!H:H,_xlpm.rowNum))),ISBLANK(INDEX('glossaryterms-export'!I:I,_xlpm.rowNum))),"Ready to Fix",""))</f>
        <v/>
      </c>
    </row>
    <row r="4356" spans="6:6">
      <c r="F4356" s="1" t="str" cm="1">
        <f t="array" ref="F4356">_xlfn.LET(_xlpm.rowNum,MATCH(E4356,'glossaryterms-export'!C:C,0),
IF(AND(NOT(ISBLANK(INDEX('glossaryterms-export'!H:H,_xlpm.rowNum))),ISBLANK(INDEX('glossaryterms-export'!I:I,_xlpm.rowNum))),"Ready to Fix",""))</f>
        <v/>
      </c>
    </row>
    <row r="4357" spans="6:6">
      <c r="F4357" s="1" t="str" cm="1">
        <f t="array" ref="F4357">_xlfn.LET(_xlpm.rowNum,MATCH(E4357,'glossaryterms-export'!C:C,0),
IF(AND(NOT(ISBLANK(INDEX('glossaryterms-export'!H:H,_xlpm.rowNum))),ISBLANK(INDEX('glossaryterms-export'!I:I,_xlpm.rowNum))),"Ready to Fix",""))</f>
        <v/>
      </c>
    </row>
    <row r="4358" spans="6:6">
      <c r="F4358" s="1" t="str" cm="1">
        <f t="array" ref="F4358">_xlfn.LET(_xlpm.rowNum,MATCH(E4358,'glossaryterms-export'!C:C,0),
IF(AND(NOT(ISBLANK(INDEX('glossaryterms-export'!H:H,_xlpm.rowNum))),ISBLANK(INDEX('glossaryterms-export'!I:I,_xlpm.rowNum))),"Ready to Fix",""))</f>
        <v/>
      </c>
    </row>
    <row r="4359" spans="6:6">
      <c r="F4359" s="1" t="str" cm="1">
        <f t="array" ref="F4359">_xlfn.LET(_xlpm.rowNum,MATCH(E4359,'glossaryterms-export'!C:C,0),
IF(AND(NOT(ISBLANK(INDEX('glossaryterms-export'!H:H,_xlpm.rowNum))),ISBLANK(INDEX('glossaryterms-export'!I:I,_xlpm.rowNum))),"Ready to Fix",""))</f>
        <v/>
      </c>
    </row>
    <row r="4360" spans="6:6">
      <c r="F4360" s="1" t="str" cm="1">
        <f t="array" ref="F4360">_xlfn.LET(_xlpm.rowNum,MATCH(E4360,'glossaryterms-export'!C:C,0),
IF(AND(NOT(ISBLANK(INDEX('glossaryterms-export'!H:H,_xlpm.rowNum))),ISBLANK(INDEX('glossaryterms-export'!I:I,_xlpm.rowNum))),"Ready to Fix",""))</f>
        <v/>
      </c>
    </row>
    <row r="4361" spans="6:6">
      <c r="F4361" s="1" t="str" cm="1">
        <f t="array" ref="F4361">_xlfn.LET(_xlpm.rowNum,MATCH(E4361,'glossaryterms-export'!C:C,0),
IF(AND(NOT(ISBLANK(INDEX('glossaryterms-export'!H:H,_xlpm.rowNum))),ISBLANK(INDEX('glossaryterms-export'!I:I,_xlpm.rowNum))),"Ready to Fix",""))</f>
        <v/>
      </c>
    </row>
    <row r="4362" spans="6:6">
      <c r="F4362" s="1" t="str" cm="1">
        <f t="array" ref="F4362">_xlfn.LET(_xlpm.rowNum,MATCH(E4362,'glossaryterms-export'!C:C,0),
IF(AND(NOT(ISBLANK(INDEX('glossaryterms-export'!H:H,_xlpm.rowNum))),ISBLANK(INDEX('glossaryterms-export'!I:I,_xlpm.rowNum))),"Ready to Fix",""))</f>
        <v/>
      </c>
    </row>
    <row r="4363" spans="6:6">
      <c r="F4363" s="1" t="str" cm="1">
        <f t="array" ref="F4363">_xlfn.LET(_xlpm.rowNum,MATCH(E4363,'glossaryterms-export'!C:C,0),
IF(AND(NOT(ISBLANK(INDEX('glossaryterms-export'!H:H,_xlpm.rowNum))),ISBLANK(INDEX('glossaryterms-export'!I:I,_xlpm.rowNum))),"Ready to Fix",""))</f>
        <v/>
      </c>
    </row>
    <row r="4364" spans="6:6">
      <c r="F4364" s="1" t="str" cm="1">
        <f t="array" ref="F4364">_xlfn.LET(_xlpm.rowNum,MATCH(E4364,'glossaryterms-export'!C:C,0),
IF(AND(NOT(ISBLANK(INDEX('glossaryterms-export'!H:H,_xlpm.rowNum))),ISBLANK(INDEX('glossaryterms-export'!I:I,_xlpm.rowNum))),"Ready to Fix",""))</f>
        <v/>
      </c>
    </row>
    <row r="4365" spans="6:6">
      <c r="F4365" s="1" t="str" cm="1">
        <f t="array" ref="F4365">_xlfn.LET(_xlpm.rowNum,MATCH(E4365,'glossaryterms-export'!C:C,0),
IF(AND(NOT(ISBLANK(INDEX('glossaryterms-export'!H:H,_xlpm.rowNum))),ISBLANK(INDEX('glossaryterms-export'!I:I,_xlpm.rowNum))),"Ready to Fix",""))</f>
        <v/>
      </c>
    </row>
    <row r="4366" spans="6:6">
      <c r="F4366" s="1" t="str" cm="1">
        <f t="array" ref="F4366">_xlfn.LET(_xlpm.rowNum,MATCH(E4366,'glossaryterms-export'!C:C,0),
IF(AND(NOT(ISBLANK(INDEX('glossaryterms-export'!H:H,_xlpm.rowNum))),ISBLANK(INDEX('glossaryterms-export'!I:I,_xlpm.rowNum))),"Ready to Fix",""))</f>
        <v/>
      </c>
    </row>
    <row r="4367" spans="6:6">
      <c r="F4367" s="1" t="str" cm="1">
        <f t="array" ref="F4367">_xlfn.LET(_xlpm.rowNum,MATCH(E4367,'glossaryterms-export'!C:C,0),
IF(AND(NOT(ISBLANK(INDEX('glossaryterms-export'!H:H,_xlpm.rowNum))),ISBLANK(INDEX('glossaryterms-export'!I:I,_xlpm.rowNum))),"Ready to Fix",""))</f>
        <v/>
      </c>
    </row>
    <row r="4368" spans="6:6">
      <c r="F4368" s="1" t="str" cm="1">
        <f t="array" ref="F4368">_xlfn.LET(_xlpm.rowNum,MATCH(E4368,'glossaryterms-export'!C:C,0),
IF(AND(NOT(ISBLANK(INDEX('glossaryterms-export'!H:H,_xlpm.rowNum))),ISBLANK(INDEX('glossaryterms-export'!I:I,_xlpm.rowNum))),"Ready to Fix",""))</f>
        <v/>
      </c>
    </row>
    <row r="4369" spans="6:6">
      <c r="F4369" s="1" t="str" cm="1">
        <f t="array" ref="F4369">_xlfn.LET(_xlpm.rowNum,MATCH(E4369,'glossaryterms-export'!C:C,0),
IF(AND(NOT(ISBLANK(INDEX('glossaryterms-export'!H:H,_xlpm.rowNum))),ISBLANK(INDEX('glossaryterms-export'!I:I,_xlpm.rowNum))),"Ready to Fix",""))</f>
        <v/>
      </c>
    </row>
    <row r="4370" spans="6:6">
      <c r="F4370" s="1" t="str" cm="1">
        <f t="array" ref="F4370">_xlfn.LET(_xlpm.rowNum,MATCH(E4370,'glossaryterms-export'!C:C,0),
IF(AND(NOT(ISBLANK(INDEX('glossaryterms-export'!H:H,_xlpm.rowNum))),ISBLANK(INDEX('glossaryterms-export'!I:I,_xlpm.rowNum))),"Ready to Fix",""))</f>
        <v/>
      </c>
    </row>
    <row r="4371" spans="6:6">
      <c r="F4371" s="1" t="str" cm="1">
        <f t="array" ref="F4371">_xlfn.LET(_xlpm.rowNum,MATCH(E4371,'glossaryterms-export'!C:C,0),
IF(AND(NOT(ISBLANK(INDEX('glossaryterms-export'!H:H,_xlpm.rowNum))),ISBLANK(INDEX('glossaryterms-export'!I:I,_xlpm.rowNum))),"Ready to Fix",""))</f>
        <v/>
      </c>
    </row>
    <row r="4372" spans="6:6">
      <c r="F4372" s="1" t="str" cm="1">
        <f t="array" ref="F4372">_xlfn.LET(_xlpm.rowNum,MATCH(E4372,'glossaryterms-export'!C:C,0),
IF(AND(NOT(ISBLANK(INDEX('glossaryterms-export'!H:H,_xlpm.rowNum))),ISBLANK(INDEX('glossaryterms-export'!I:I,_xlpm.rowNum))),"Ready to Fix",""))</f>
        <v/>
      </c>
    </row>
    <row r="4373" spans="6:6">
      <c r="F4373" s="1" t="str" cm="1">
        <f t="array" ref="F4373">_xlfn.LET(_xlpm.rowNum,MATCH(E4373,'glossaryterms-export'!C:C,0),
IF(AND(NOT(ISBLANK(INDEX('glossaryterms-export'!H:H,_xlpm.rowNum))),ISBLANK(INDEX('glossaryterms-export'!I:I,_xlpm.rowNum))),"Ready to Fix",""))</f>
        <v/>
      </c>
    </row>
    <row r="4374" spans="6:6">
      <c r="F4374" s="1" t="str" cm="1">
        <f t="array" ref="F4374">_xlfn.LET(_xlpm.rowNum,MATCH(E4374,'glossaryterms-export'!C:C,0),
IF(AND(NOT(ISBLANK(INDEX('glossaryterms-export'!H:H,_xlpm.rowNum))),ISBLANK(INDEX('glossaryterms-export'!I:I,_xlpm.rowNum))),"Ready to Fix",""))</f>
        <v/>
      </c>
    </row>
    <row r="4375" spans="6:6">
      <c r="F4375" s="1" t="str" cm="1">
        <f t="array" ref="F4375">_xlfn.LET(_xlpm.rowNum,MATCH(E4375,'glossaryterms-export'!C:C,0),
IF(AND(NOT(ISBLANK(INDEX('glossaryterms-export'!H:H,_xlpm.rowNum))),ISBLANK(INDEX('glossaryterms-export'!I:I,_xlpm.rowNum))),"Ready to Fix",""))</f>
        <v/>
      </c>
    </row>
    <row r="4376" spans="6:6">
      <c r="F4376" s="1" t="str" cm="1">
        <f t="array" ref="F4376">_xlfn.LET(_xlpm.rowNum,MATCH(E4376,'glossaryterms-export'!C:C,0),
IF(AND(NOT(ISBLANK(INDEX('glossaryterms-export'!H:H,_xlpm.rowNum))),ISBLANK(INDEX('glossaryterms-export'!I:I,_xlpm.rowNum))),"Ready to Fix",""))</f>
        <v/>
      </c>
    </row>
    <row r="4377" spans="6:6">
      <c r="F4377" s="1" t="str" cm="1">
        <f t="array" ref="F4377">_xlfn.LET(_xlpm.rowNum,MATCH(E4377,'glossaryterms-export'!C:C,0),
IF(AND(NOT(ISBLANK(INDEX('glossaryterms-export'!H:H,_xlpm.rowNum))),ISBLANK(INDEX('glossaryterms-export'!I:I,_xlpm.rowNum))),"Ready to Fix",""))</f>
        <v/>
      </c>
    </row>
    <row r="4378" spans="6:6">
      <c r="F4378" s="1" t="str" cm="1">
        <f t="array" ref="F4378">_xlfn.LET(_xlpm.rowNum,MATCH(E4378,'glossaryterms-export'!C:C,0),
IF(AND(NOT(ISBLANK(INDEX('glossaryterms-export'!H:H,_xlpm.rowNum))),ISBLANK(INDEX('glossaryterms-export'!I:I,_xlpm.rowNum))),"Ready to Fix",""))</f>
        <v/>
      </c>
    </row>
    <row r="4379" spans="6:6">
      <c r="F4379" s="1" t="str" cm="1">
        <f t="array" ref="F4379">_xlfn.LET(_xlpm.rowNum,MATCH(E4379,'glossaryterms-export'!C:C,0),
IF(AND(NOT(ISBLANK(INDEX('glossaryterms-export'!H:H,_xlpm.rowNum))),ISBLANK(INDEX('glossaryterms-export'!I:I,_xlpm.rowNum))),"Ready to Fix",""))</f>
        <v/>
      </c>
    </row>
    <row r="4380" spans="6:6">
      <c r="F4380" s="1" t="str" cm="1">
        <f t="array" ref="F4380">_xlfn.LET(_xlpm.rowNum,MATCH(E4380,'glossaryterms-export'!C:C,0),
IF(AND(NOT(ISBLANK(INDEX('glossaryterms-export'!H:H,_xlpm.rowNum))),ISBLANK(INDEX('glossaryterms-export'!I:I,_xlpm.rowNum))),"Ready to Fix",""))</f>
        <v/>
      </c>
    </row>
    <row r="4381" spans="6:6">
      <c r="F4381" s="1" t="str" cm="1">
        <f t="array" ref="F4381">_xlfn.LET(_xlpm.rowNum,MATCH(E4381,'glossaryterms-export'!C:C,0),
IF(AND(NOT(ISBLANK(INDEX('glossaryterms-export'!H:H,_xlpm.rowNum))),ISBLANK(INDEX('glossaryterms-export'!I:I,_xlpm.rowNum))),"Ready to Fix",""))</f>
        <v/>
      </c>
    </row>
    <row r="4382" spans="6:6">
      <c r="F4382" s="1" t="str" cm="1">
        <f t="array" ref="F4382">_xlfn.LET(_xlpm.rowNum,MATCH(E4382,'glossaryterms-export'!C:C,0),
IF(AND(NOT(ISBLANK(INDEX('glossaryterms-export'!H:H,_xlpm.rowNum))),ISBLANK(INDEX('glossaryterms-export'!I:I,_xlpm.rowNum))),"Ready to Fix",""))</f>
        <v/>
      </c>
    </row>
    <row r="4383" spans="6:6">
      <c r="F4383" s="1" t="str" cm="1">
        <f t="array" ref="F4383">_xlfn.LET(_xlpm.rowNum,MATCH(E4383,'glossaryterms-export'!C:C,0),
IF(AND(NOT(ISBLANK(INDEX('glossaryterms-export'!H:H,_xlpm.rowNum))),ISBLANK(INDEX('glossaryterms-export'!I:I,_xlpm.rowNum))),"Ready to Fix",""))</f>
        <v/>
      </c>
    </row>
    <row r="4384" spans="6:6">
      <c r="F4384" s="1" t="str" cm="1">
        <f t="array" ref="F4384">_xlfn.LET(_xlpm.rowNum,MATCH(E4384,'glossaryterms-export'!C:C,0),
IF(AND(NOT(ISBLANK(INDEX('glossaryterms-export'!H:H,_xlpm.rowNum))),ISBLANK(INDEX('glossaryterms-export'!I:I,_xlpm.rowNum))),"Ready to Fix",""))</f>
        <v/>
      </c>
    </row>
    <row r="4385" spans="6:6">
      <c r="F4385" s="1" t="str" cm="1">
        <f t="array" ref="F4385">_xlfn.LET(_xlpm.rowNum,MATCH(E4385,'glossaryterms-export'!C:C,0),
IF(AND(NOT(ISBLANK(INDEX('glossaryterms-export'!H:H,_xlpm.rowNum))),ISBLANK(INDEX('glossaryterms-export'!I:I,_xlpm.rowNum))),"Ready to Fix",""))</f>
        <v/>
      </c>
    </row>
    <row r="4386" spans="6:6">
      <c r="F4386" s="1" t="str" cm="1">
        <f t="array" ref="F4386">_xlfn.LET(_xlpm.rowNum,MATCH(E4386,'glossaryterms-export'!C:C,0),
IF(AND(NOT(ISBLANK(INDEX('glossaryterms-export'!H:H,_xlpm.rowNum))),ISBLANK(INDEX('glossaryterms-export'!I:I,_xlpm.rowNum))),"Ready to Fix",""))</f>
        <v/>
      </c>
    </row>
    <row r="4387" spans="6:6">
      <c r="F4387" s="1" t="str" cm="1">
        <f t="array" ref="F4387">_xlfn.LET(_xlpm.rowNum,MATCH(E4387,'glossaryterms-export'!C:C,0),
IF(AND(NOT(ISBLANK(INDEX('glossaryterms-export'!H:H,_xlpm.rowNum))),ISBLANK(INDEX('glossaryterms-export'!I:I,_xlpm.rowNum))),"Ready to Fix",""))</f>
        <v/>
      </c>
    </row>
    <row r="4388" spans="6:6">
      <c r="F4388" s="1" t="str" cm="1">
        <f t="array" ref="F4388">_xlfn.LET(_xlpm.rowNum,MATCH(E4388,'glossaryterms-export'!C:C,0),
IF(AND(NOT(ISBLANK(INDEX('glossaryterms-export'!H:H,_xlpm.rowNum))),ISBLANK(INDEX('glossaryterms-export'!I:I,_xlpm.rowNum))),"Ready to Fix",""))</f>
        <v/>
      </c>
    </row>
    <row r="4389" spans="6:6">
      <c r="F4389" s="1" t="str" cm="1">
        <f t="array" ref="F4389">_xlfn.LET(_xlpm.rowNum,MATCH(E4389,'glossaryterms-export'!C:C,0),
IF(AND(NOT(ISBLANK(INDEX('glossaryterms-export'!H:H,_xlpm.rowNum))),ISBLANK(INDEX('glossaryterms-export'!I:I,_xlpm.rowNum))),"Ready to Fix",""))</f>
        <v/>
      </c>
    </row>
    <row r="4390" spans="6:6">
      <c r="F4390" s="1" t="str" cm="1">
        <f t="array" ref="F4390">_xlfn.LET(_xlpm.rowNum,MATCH(E4390,'glossaryterms-export'!C:C,0),
IF(AND(NOT(ISBLANK(INDEX('glossaryterms-export'!H:H,_xlpm.rowNum))),ISBLANK(INDEX('glossaryterms-export'!I:I,_xlpm.rowNum))),"Ready to Fix",""))</f>
        <v/>
      </c>
    </row>
    <row r="4391" spans="6:6">
      <c r="F4391" s="1" t="str" cm="1">
        <f t="array" ref="F4391">_xlfn.LET(_xlpm.rowNum,MATCH(E4391,'glossaryterms-export'!C:C,0),
IF(AND(NOT(ISBLANK(INDEX('glossaryterms-export'!H:H,_xlpm.rowNum))),ISBLANK(INDEX('glossaryterms-export'!I:I,_xlpm.rowNum))),"Ready to Fix",""))</f>
        <v/>
      </c>
    </row>
    <row r="4392" spans="6:6">
      <c r="F4392" s="1" t="str" cm="1">
        <f t="array" ref="F4392">_xlfn.LET(_xlpm.rowNum,MATCH(E4392,'glossaryterms-export'!C:C,0),
IF(AND(NOT(ISBLANK(INDEX('glossaryterms-export'!H:H,_xlpm.rowNum))),ISBLANK(INDEX('glossaryterms-export'!I:I,_xlpm.rowNum))),"Ready to Fix",""))</f>
        <v/>
      </c>
    </row>
    <row r="4393" spans="6:6">
      <c r="F4393" s="1" t="str" cm="1">
        <f t="array" ref="F4393">_xlfn.LET(_xlpm.rowNum,MATCH(E4393,'glossaryterms-export'!C:C,0),
IF(AND(NOT(ISBLANK(INDEX('glossaryterms-export'!H:H,_xlpm.rowNum))),ISBLANK(INDEX('glossaryterms-export'!I:I,_xlpm.rowNum))),"Ready to Fix",""))</f>
        <v/>
      </c>
    </row>
    <row r="4394" spans="6:6">
      <c r="F4394" s="1" t="str" cm="1">
        <f t="array" ref="F4394">_xlfn.LET(_xlpm.rowNum,MATCH(E4394,'glossaryterms-export'!C:C,0),
IF(AND(NOT(ISBLANK(INDEX('glossaryterms-export'!H:H,_xlpm.rowNum))),ISBLANK(INDEX('glossaryterms-export'!I:I,_xlpm.rowNum))),"Ready to Fix",""))</f>
        <v/>
      </c>
    </row>
    <row r="4395" spans="6:6">
      <c r="F4395" s="1" t="str" cm="1">
        <f t="array" ref="F4395">_xlfn.LET(_xlpm.rowNum,MATCH(E4395,'glossaryterms-export'!C:C,0),
IF(AND(NOT(ISBLANK(INDEX('glossaryterms-export'!H:H,_xlpm.rowNum))),ISBLANK(INDEX('glossaryterms-export'!I:I,_xlpm.rowNum))),"Ready to Fix",""))</f>
        <v/>
      </c>
    </row>
    <row r="4396" spans="6:6">
      <c r="F4396" s="1" t="str" cm="1">
        <f t="array" ref="F4396">_xlfn.LET(_xlpm.rowNum,MATCH(E4396,'glossaryterms-export'!C:C,0),
IF(AND(NOT(ISBLANK(INDEX('glossaryterms-export'!H:H,_xlpm.rowNum))),ISBLANK(INDEX('glossaryterms-export'!I:I,_xlpm.rowNum))),"Ready to Fix",""))</f>
        <v/>
      </c>
    </row>
    <row r="4397" spans="6:6">
      <c r="F4397" s="1" t="str" cm="1">
        <f t="array" ref="F4397">_xlfn.LET(_xlpm.rowNum,MATCH(E4397,'glossaryterms-export'!C:C,0),
IF(AND(NOT(ISBLANK(INDEX('glossaryterms-export'!H:H,_xlpm.rowNum))),ISBLANK(INDEX('glossaryterms-export'!I:I,_xlpm.rowNum))),"Ready to Fix",""))</f>
        <v/>
      </c>
    </row>
    <row r="4398" spans="6:6">
      <c r="F4398" s="1" t="str" cm="1">
        <f t="array" ref="F4398">_xlfn.LET(_xlpm.rowNum,MATCH(E4398,'glossaryterms-export'!C:C,0),
IF(AND(NOT(ISBLANK(INDEX('glossaryterms-export'!H:H,_xlpm.rowNum))),ISBLANK(INDEX('glossaryterms-export'!I:I,_xlpm.rowNum))),"Ready to Fix",""))</f>
        <v/>
      </c>
    </row>
    <row r="4399" spans="6:6">
      <c r="F4399" s="1" t="str" cm="1">
        <f t="array" ref="F4399">_xlfn.LET(_xlpm.rowNum,MATCH(E4399,'glossaryterms-export'!C:C,0),
IF(AND(NOT(ISBLANK(INDEX('glossaryterms-export'!H:H,_xlpm.rowNum))),ISBLANK(INDEX('glossaryterms-export'!I:I,_xlpm.rowNum))),"Ready to Fix",""))</f>
        <v/>
      </c>
    </row>
    <row r="4400" spans="6:6">
      <c r="F4400" s="1" t="str" cm="1">
        <f t="array" ref="F4400">_xlfn.LET(_xlpm.rowNum,MATCH(E4400,'glossaryterms-export'!C:C,0),
IF(AND(NOT(ISBLANK(INDEX('glossaryterms-export'!H:H,_xlpm.rowNum))),ISBLANK(INDEX('glossaryterms-export'!I:I,_xlpm.rowNum))),"Ready to Fix",""))</f>
        <v/>
      </c>
    </row>
    <row r="4401" spans="6:6">
      <c r="F4401" s="1" t="str" cm="1">
        <f t="array" ref="F4401">_xlfn.LET(_xlpm.rowNum,MATCH(E4401,'glossaryterms-export'!C:C,0),
IF(AND(NOT(ISBLANK(INDEX('glossaryterms-export'!H:H,_xlpm.rowNum))),ISBLANK(INDEX('glossaryterms-export'!I:I,_xlpm.rowNum))),"Ready to Fix",""))</f>
        <v/>
      </c>
    </row>
    <row r="4402" spans="6:6">
      <c r="F4402" s="1" t="str" cm="1">
        <f t="array" ref="F4402">_xlfn.LET(_xlpm.rowNum,MATCH(E4402,'glossaryterms-export'!C:C,0),
IF(AND(NOT(ISBLANK(INDEX('glossaryterms-export'!H:H,_xlpm.rowNum))),ISBLANK(INDEX('glossaryterms-export'!I:I,_xlpm.rowNum))),"Ready to Fix",""))</f>
        <v/>
      </c>
    </row>
    <row r="4403" spans="6:6">
      <c r="F4403" s="1" t="str" cm="1">
        <f t="array" ref="F4403">_xlfn.LET(_xlpm.rowNum,MATCH(E4403,'glossaryterms-export'!C:C,0),
IF(AND(NOT(ISBLANK(INDEX('glossaryterms-export'!H:H,_xlpm.rowNum))),ISBLANK(INDEX('glossaryterms-export'!I:I,_xlpm.rowNum))),"Ready to Fix",""))</f>
        <v/>
      </c>
    </row>
    <row r="4404" spans="6:6">
      <c r="F4404" s="1" t="str" cm="1">
        <f t="array" ref="F4404">_xlfn.LET(_xlpm.rowNum,MATCH(E4404,'glossaryterms-export'!C:C,0),
IF(AND(NOT(ISBLANK(INDEX('glossaryterms-export'!H:H,_xlpm.rowNum))),ISBLANK(INDEX('glossaryterms-export'!I:I,_xlpm.rowNum))),"Ready to Fix",""))</f>
        <v/>
      </c>
    </row>
    <row r="4405" spans="6:6">
      <c r="F4405" s="1" t="str" cm="1">
        <f t="array" ref="F4405">_xlfn.LET(_xlpm.rowNum,MATCH(E4405,'glossaryterms-export'!C:C,0),
IF(AND(NOT(ISBLANK(INDEX('glossaryterms-export'!H:H,_xlpm.rowNum))),ISBLANK(INDEX('glossaryterms-export'!I:I,_xlpm.rowNum))),"Ready to Fix",""))</f>
        <v/>
      </c>
    </row>
    <row r="4406" spans="6:6">
      <c r="F4406" s="1" t="str" cm="1">
        <f t="array" ref="F4406">_xlfn.LET(_xlpm.rowNum,MATCH(E4406,'glossaryterms-export'!C:C,0),
IF(AND(NOT(ISBLANK(INDEX('glossaryterms-export'!H:H,_xlpm.rowNum))),ISBLANK(INDEX('glossaryterms-export'!I:I,_xlpm.rowNum))),"Ready to Fix",""))</f>
        <v/>
      </c>
    </row>
    <row r="4407" spans="6:6">
      <c r="F4407" s="1" t="str" cm="1">
        <f t="array" ref="F4407">_xlfn.LET(_xlpm.rowNum,MATCH(E4407,'glossaryterms-export'!C:C,0),
IF(AND(NOT(ISBLANK(INDEX('glossaryterms-export'!H:H,_xlpm.rowNum))),ISBLANK(INDEX('glossaryterms-export'!I:I,_xlpm.rowNum))),"Ready to Fix",""))</f>
        <v/>
      </c>
    </row>
    <row r="4408" spans="6:6">
      <c r="F4408" s="1" t="str" cm="1">
        <f t="array" ref="F4408">_xlfn.LET(_xlpm.rowNum,MATCH(E4408,'glossaryterms-export'!C:C,0),
IF(AND(NOT(ISBLANK(INDEX('glossaryterms-export'!H:H,_xlpm.rowNum))),ISBLANK(INDEX('glossaryterms-export'!I:I,_xlpm.rowNum))),"Ready to Fix",""))</f>
        <v/>
      </c>
    </row>
    <row r="4409" spans="6:6">
      <c r="F4409" s="1" t="str" cm="1">
        <f t="array" ref="F4409">_xlfn.LET(_xlpm.rowNum,MATCH(E4409,'glossaryterms-export'!C:C,0),
IF(AND(NOT(ISBLANK(INDEX('glossaryterms-export'!H:H,_xlpm.rowNum))),ISBLANK(INDEX('glossaryterms-export'!I:I,_xlpm.rowNum))),"Ready to Fix",""))</f>
        <v/>
      </c>
    </row>
    <row r="4410" spans="6:6">
      <c r="F4410" s="1" t="str" cm="1">
        <f t="array" ref="F4410">_xlfn.LET(_xlpm.rowNum,MATCH(E4410,'glossaryterms-export'!C:C,0),
IF(AND(NOT(ISBLANK(INDEX('glossaryterms-export'!H:H,_xlpm.rowNum))),ISBLANK(INDEX('glossaryterms-export'!I:I,_xlpm.rowNum))),"Ready to Fix",""))</f>
        <v/>
      </c>
    </row>
    <row r="4411" spans="6:6">
      <c r="F4411" s="1" t="str" cm="1">
        <f t="array" ref="F4411">_xlfn.LET(_xlpm.rowNum,MATCH(E4411,'glossaryterms-export'!C:C,0),
IF(AND(NOT(ISBLANK(INDEX('glossaryterms-export'!H:H,_xlpm.rowNum))),ISBLANK(INDEX('glossaryterms-export'!I:I,_xlpm.rowNum))),"Ready to Fix",""))</f>
        <v/>
      </c>
    </row>
    <row r="4412" spans="6:6">
      <c r="F4412" s="1" t="str" cm="1">
        <f t="array" ref="F4412">_xlfn.LET(_xlpm.rowNum,MATCH(E4412,'glossaryterms-export'!C:C,0),
IF(AND(NOT(ISBLANK(INDEX('glossaryterms-export'!H:H,_xlpm.rowNum))),ISBLANK(INDEX('glossaryterms-export'!I:I,_xlpm.rowNum))),"Ready to Fix",""))</f>
        <v/>
      </c>
    </row>
    <row r="4413" spans="6:6">
      <c r="F4413" s="1" t="str" cm="1">
        <f t="array" ref="F4413">_xlfn.LET(_xlpm.rowNum,MATCH(E4413,'glossaryterms-export'!C:C,0),
IF(AND(NOT(ISBLANK(INDEX('glossaryterms-export'!H:H,_xlpm.rowNum))),ISBLANK(INDEX('glossaryterms-export'!I:I,_xlpm.rowNum))),"Ready to Fix",""))</f>
        <v/>
      </c>
    </row>
    <row r="4414" spans="6:6">
      <c r="F4414" s="1" t="str" cm="1">
        <f t="array" ref="F4414">_xlfn.LET(_xlpm.rowNum,MATCH(E4414,'glossaryterms-export'!C:C,0),
IF(AND(NOT(ISBLANK(INDEX('glossaryterms-export'!H:H,_xlpm.rowNum))),ISBLANK(INDEX('glossaryterms-export'!I:I,_xlpm.rowNum))),"Ready to Fix",""))</f>
        <v/>
      </c>
    </row>
    <row r="4415" spans="6:6">
      <c r="F4415" s="1" t="str" cm="1">
        <f t="array" ref="F4415">_xlfn.LET(_xlpm.rowNum,MATCH(E4415,'glossaryterms-export'!C:C,0),
IF(AND(NOT(ISBLANK(INDEX('glossaryterms-export'!H:H,_xlpm.rowNum))),ISBLANK(INDEX('glossaryterms-export'!I:I,_xlpm.rowNum))),"Ready to Fix",""))</f>
        <v/>
      </c>
    </row>
    <row r="4416" spans="6:6">
      <c r="F4416" s="1" t="str" cm="1">
        <f t="array" ref="F4416">_xlfn.LET(_xlpm.rowNum,MATCH(E4416,'glossaryterms-export'!C:C,0),
IF(AND(NOT(ISBLANK(INDEX('glossaryterms-export'!H:H,_xlpm.rowNum))),ISBLANK(INDEX('glossaryterms-export'!I:I,_xlpm.rowNum))),"Ready to Fix",""))</f>
        <v/>
      </c>
    </row>
    <row r="4417" spans="6:6">
      <c r="F4417" s="1" t="str" cm="1">
        <f t="array" ref="F4417">_xlfn.LET(_xlpm.rowNum,MATCH(E4417,'glossaryterms-export'!C:C,0),
IF(AND(NOT(ISBLANK(INDEX('glossaryterms-export'!H:H,_xlpm.rowNum))),ISBLANK(INDEX('glossaryterms-export'!I:I,_xlpm.rowNum))),"Ready to Fix",""))</f>
        <v/>
      </c>
    </row>
    <row r="4418" spans="6:6">
      <c r="F4418" s="1" t="str" cm="1">
        <f t="array" ref="F4418">_xlfn.LET(_xlpm.rowNum,MATCH(E4418,'glossaryterms-export'!C:C,0),
IF(AND(NOT(ISBLANK(INDEX('glossaryterms-export'!H:H,_xlpm.rowNum))),ISBLANK(INDEX('glossaryterms-export'!I:I,_xlpm.rowNum))),"Ready to Fix",""))</f>
        <v/>
      </c>
    </row>
    <row r="4419" spans="6:6">
      <c r="F4419" s="1" t="str" cm="1">
        <f t="array" ref="F4419">_xlfn.LET(_xlpm.rowNum,MATCH(E4419,'glossaryterms-export'!C:C,0),
IF(AND(NOT(ISBLANK(INDEX('glossaryterms-export'!H:H,_xlpm.rowNum))),ISBLANK(INDEX('glossaryterms-export'!I:I,_xlpm.rowNum))),"Ready to Fix",""))</f>
        <v/>
      </c>
    </row>
    <row r="4420" spans="6:6">
      <c r="F4420" s="1" t="str" cm="1">
        <f t="array" ref="F4420">_xlfn.LET(_xlpm.rowNum,MATCH(E4420,'glossaryterms-export'!C:C,0),
IF(AND(NOT(ISBLANK(INDEX('glossaryterms-export'!H:H,_xlpm.rowNum))),ISBLANK(INDEX('glossaryterms-export'!I:I,_xlpm.rowNum))),"Ready to Fix",""))</f>
        <v/>
      </c>
    </row>
    <row r="4421" spans="6:6">
      <c r="F4421" s="1" t="str" cm="1">
        <f t="array" ref="F4421">_xlfn.LET(_xlpm.rowNum,MATCH(E4421,'glossaryterms-export'!C:C,0),
IF(AND(NOT(ISBLANK(INDEX('glossaryterms-export'!H:H,_xlpm.rowNum))),ISBLANK(INDEX('glossaryterms-export'!I:I,_xlpm.rowNum))),"Ready to Fix",""))</f>
        <v/>
      </c>
    </row>
    <row r="4422" spans="6:6">
      <c r="F4422" s="1" t="str" cm="1">
        <f t="array" ref="F4422">_xlfn.LET(_xlpm.rowNum,MATCH(E4422,'glossaryterms-export'!C:C,0),
IF(AND(NOT(ISBLANK(INDEX('glossaryterms-export'!H:H,_xlpm.rowNum))),ISBLANK(INDEX('glossaryterms-export'!I:I,_xlpm.rowNum))),"Ready to Fix",""))</f>
        <v/>
      </c>
    </row>
    <row r="4423" spans="6:6">
      <c r="F4423" s="1" t="str" cm="1">
        <f t="array" ref="F4423">_xlfn.LET(_xlpm.rowNum,MATCH(E4423,'glossaryterms-export'!C:C,0),
IF(AND(NOT(ISBLANK(INDEX('glossaryterms-export'!H:H,_xlpm.rowNum))),ISBLANK(INDEX('glossaryterms-export'!I:I,_xlpm.rowNum))),"Ready to Fix",""))</f>
        <v/>
      </c>
    </row>
    <row r="4424" spans="6:6">
      <c r="F4424" s="1" t="str" cm="1">
        <f t="array" ref="F4424">_xlfn.LET(_xlpm.rowNum,MATCH(E4424,'glossaryterms-export'!C:C,0),
IF(AND(NOT(ISBLANK(INDEX('glossaryterms-export'!H:H,_xlpm.rowNum))),ISBLANK(INDEX('glossaryterms-export'!I:I,_xlpm.rowNum))),"Ready to Fix",""))</f>
        <v/>
      </c>
    </row>
    <row r="4425" spans="6:6">
      <c r="F4425" s="1" t="str" cm="1">
        <f t="array" ref="F4425">_xlfn.LET(_xlpm.rowNum,MATCH(E4425,'glossaryterms-export'!C:C,0),
IF(AND(NOT(ISBLANK(INDEX('glossaryterms-export'!H:H,_xlpm.rowNum))),ISBLANK(INDEX('glossaryterms-export'!I:I,_xlpm.rowNum))),"Ready to Fix",""))</f>
        <v/>
      </c>
    </row>
    <row r="4426" spans="6:6">
      <c r="F4426" s="1" t="str" cm="1">
        <f t="array" ref="F4426">_xlfn.LET(_xlpm.rowNum,MATCH(E4426,'glossaryterms-export'!C:C,0),
IF(AND(NOT(ISBLANK(INDEX('glossaryterms-export'!H:H,_xlpm.rowNum))),ISBLANK(INDEX('glossaryterms-export'!I:I,_xlpm.rowNum))),"Ready to Fix",""))</f>
        <v/>
      </c>
    </row>
    <row r="4427" spans="6:6">
      <c r="F4427" s="1" t="str" cm="1">
        <f t="array" ref="F4427">_xlfn.LET(_xlpm.rowNum,MATCH(E4427,'glossaryterms-export'!C:C,0),
IF(AND(NOT(ISBLANK(INDEX('glossaryterms-export'!H:H,_xlpm.rowNum))),ISBLANK(INDEX('glossaryterms-export'!I:I,_xlpm.rowNum))),"Ready to Fix",""))</f>
        <v/>
      </c>
    </row>
    <row r="4428" spans="6:6">
      <c r="F4428" s="1" t="str" cm="1">
        <f t="array" ref="F4428">_xlfn.LET(_xlpm.rowNum,MATCH(E4428,'glossaryterms-export'!C:C,0),
IF(AND(NOT(ISBLANK(INDEX('glossaryterms-export'!H:H,_xlpm.rowNum))),ISBLANK(INDEX('glossaryterms-export'!I:I,_xlpm.rowNum))),"Ready to Fix",""))</f>
        <v/>
      </c>
    </row>
    <row r="4429" spans="6:6">
      <c r="F4429" s="1" t="str" cm="1">
        <f t="array" ref="F4429">_xlfn.LET(_xlpm.rowNum,MATCH(E4429,'glossaryterms-export'!C:C,0),
IF(AND(NOT(ISBLANK(INDEX('glossaryterms-export'!H:H,_xlpm.rowNum))),ISBLANK(INDEX('glossaryterms-export'!I:I,_xlpm.rowNum))),"Ready to Fix",""))</f>
        <v/>
      </c>
    </row>
    <row r="4430" spans="6:6">
      <c r="F4430" s="1" t="str" cm="1">
        <f t="array" ref="F4430">_xlfn.LET(_xlpm.rowNum,MATCH(E4430,'glossaryterms-export'!C:C,0),
IF(AND(NOT(ISBLANK(INDEX('glossaryterms-export'!H:H,_xlpm.rowNum))),ISBLANK(INDEX('glossaryterms-export'!I:I,_xlpm.rowNum))),"Ready to Fix",""))</f>
        <v/>
      </c>
    </row>
    <row r="4431" spans="6:6">
      <c r="F4431" s="1" t="str" cm="1">
        <f t="array" ref="F4431">_xlfn.LET(_xlpm.rowNum,MATCH(E4431,'glossaryterms-export'!C:C,0),
IF(AND(NOT(ISBLANK(INDEX('glossaryterms-export'!H:H,_xlpm.rowNum))),ISBLANK(INDEX('glossaryterms-export'!I:I,_xlpm.rowNum))),"Ready to Fix",""))</f>
        <v/>
      </c>
    </row>
    <row r="4432" spans="6:6">
      <c r="F4432" s="1" t="str" cm="1">
        <f t="array" ref="F4432">_xlfn.LET(_xlpm.rowNum,MATCH(E4432,'glossaryterms-export'!C:C,0),
IF(AND(NOT(ISBLANK(INDEX('glossaryterms-export'!H:H,_xlpm.rowNum))),ISBLANK(INDEX('glossaryterms-export'!I:I,_xlpm.rowNum))),"Ready to Fix",""))</f>
        <v/>
      </c>
    </row>
    <row r="4433" spans="6:6">
      <c r="F4433" s="1" t="str" cm="1">
        <f t="array" ref="F4433">_xlfn.LET(_xlpm.rowNum,MATCH(E4433,'glossaryterms-export'!C:C,0),
IF(AND(NOT(ISBLANK(INDEX('glossaryterms-export'!H:H,_xlpm.rowNum))),ISBLANK(INDEX('glossaryterms-export'!I:I,_xlpm.rowNum))),"Ready to Fix",""))</f>
        <v/>
      </c>
    </row>
    <row r="4434" spans="6:6">
      <c r="F4434" s="1" t="str" cm="1">
        <f t="array" ref="F4434">_xlfn.LET(_xlpm.rowNum,MATCH(E4434,'glossaryterms-export'!C:C,0),
IF(AND(NOT(ISBLANK(INDEX('glossaryterms-export'!H:H,_xlpm.rowNum))),ISBLANK(INDEX('glossaryterms-export'!I:I,_xlpm.rowNum))),"Ready to Fix",""))</f>
        <v/>
      </c>
    </row>
    <row r="4435" spans="6:6">
      <c r="F4435" s="1" t="str" cm="1">
        <f t="array" ref="F4435">_xlfn.LET(_xlpm.rowNum,MATCH(E4435,'glossaryterms-export'!C:C,0),
IF(AND(NOT(ISBLANK(INDEX('glossaryterms-export'!H:H,_xlpm.rowNum))),ISBLANK(INDEX('glossaryterms-export'!I:I,_xlpm.rowNum))),"Ready to Fix",""))</f>
        <v/>
      </c>
    </row>
    <row r="4436" spans="6:6">
      <c r="F4436" s="1" t="str" cm="1">
        <f t="array" ref="F4436">_xlfn.LET(_xlpm.rowNum,MATCH(E4436,'glossaryterms-export'!C:C,0),
IF(AND(NOT(ISBLANK(INDEX('glossaryterms-export'!H:H,_xlpm.rowNum))),ISBLANK(INDEX('glossaryterms-export'!I:I,_xlpm.rowNum))),"Ready to Fix",""))</f>
        <v/>
      </c>
    </row>
    <row r="4437" spans="6:6">
      <c r="F4437" s="1" t="str" cm="1">
        <f t="array" ref="F4437">_xlfn.LET(_xlpm.rowNum,MATCH(E4437,'glossaryterms-export'!C:C,0),
IF(AND(NOT(ISBLANK(INDEX('glossaryterms-export'!H:H,_xlpm.rowNum))),ISBLANK(INDEX('glossaryterms-export'!I:I,_xlpm.rowNum))),"Ready to Fix",""))</f>
        <v/>
      </c>
    </row>
    <row r="4438" spans="6:6">
      <c r="F4438" s="1" t="str" cm="1">
        <f t="array" ref="F4438">_xlfn.LET(_xlpm.rowNum,MATCH(E4438,'glossaryterms-export'!C:C,0),
IF(AND(NOT(ISBLANK(INDEX('glossaryterms-export'!H:H,_xlpm.rowNum))),ISBLANK(INDEX('glossaryterms-export'!I:I,_xlpm.rowNum))),"Ready to Fix",""))</f>
        <v/>
      </c>
    </row>
    <row r="4439" spans="6:6">
      <c r="F4439" s="1" t="str" cm="1">
        <f t="array" ref="F4439">_xlfn.LET(_xlpm.rowNum,MATCH(E4439,'glossaryterms-export'!C:C,0),
IF(AND(NOT(ISBLANK(INDEX('glossaryterms-export'!H:H,_xlpm.rowNum))),ISBLANK(INDEX('glossaryterms-export'!I:I,_xlpm.rowNum))),"Ready to Fix",""))</f>
        <v/>
      </c>
    </row>
    <row r="4440" spans="6:6">
      <c r="F4440" s="1" t="str" cm="1">
        <f t="array" ref="F4440">_xlfn.LET(_xlpm.rowNum,MATCH(E4440,'glossaryterms-export'!C:C,0),
IF(AND(NOT(ISBLANK(INDEX('glossaryterms-export'!H:H,_xlpm.rowNum))),ISBLANK(INDEX('glossaryterms-export'!I:I,_xlpm.rowNum))),"Ready to Fix",""))</f>
        <v/>
      </c>
    </row>
    <row r="4441" spans="6:6">
      <c r="F4441" s="1" t="str" cm="1">
        <f t="array" ref="F4441">_xlfn.LET(_xlpm.rowNum,MATCH(E4441,'glossaryterms-export'!C:C,0),
IF(AND(NOT(ISBLANK(INDEX('glossaryterms-export'!H:H,_xlpm.rowNum))),ISBLANK(INDEX('glossaryterms-export'!I:I,_xlpm.rowNum))),"Ready to Fix",""))</f>
        <v/>
      </c>
    </row>
    <row r="4442" spans="6:6">
      <c r="F4442" s="1" t="str" cm="1">
        <f t="array" ref="F4442">_xlfn.LET(_xlpm.rowNum,MATCH(E4442,'glossaryterms-export'!C:C,0),
IF(AND(NOT(ISBLANK(INDEX('glossaryterms-export'!H:H,_xlpm.rowNum))),ISBLANK(INDEX('glossaryterms-export'!I:I,_xlpm.rowNum))),"Ready to Fix",""))</f>
        <v/>
      </c>
    </row>
    <row r="4443" spans="6:6">
      <c r="F4443" s="1" t="str" cm="1">
        <f t="array" ref="F4443">_xlfn.LET(_xlpm.rowNum,MATCH(E4443,'glossaryterms-export'!C:C,0),
IF(AND(NOT(ISBLANK(INDEX('glossaryterms-export'!H:H,_xlpm.rowNum))),ISBLANK(INDEX('glossaryterms-export'!I:I,_xlpm.rowNum))),"Ready to Fix",""))</f>
        <v/>
      </c>
    </row>
    <row r="4444" spans="6:6">
      <c r="F4444" s="1" t="str" cm="1">
        <f t="array" ref="F4444">_xlfn.LET(_xlpm.rowNum,MATCH(E4444,'glossaryterms-export'!C:C,0),
IF(AND(NOT(ISBLANK(INDEX('glossaryterms-export'!H:H,_xlpm.rowNum))),ISBLANK(INDEX('glossaryterms-export'!I:I,_xlpm.rowNum))),"Ready to Fix",""))</f>
        <v/>
      </c>
    </row>
    <row r="4445" spans="6:6">
      <c r="F4445" s="1" t="str" cm="1">
        <f t="array" ref="F4445">_xlfn.LET(_xlpm.rowNum,MATCH(E4445,'glossaryterms-export'!C:C,0),
IF(AND(NOT(ISBLANK(INDEX('glossaryterms-export'!H:H,_xlpm.rowNum))),ISBLANK(INDEX('glossaryterms-export'!I:I,_xlpm.rowNum))),"Ready to Fix",""))</f>
        <v/>
      </c>
    </row>
    <row r="4446" spans="6:6">
      <c r="F4446" s="1" t="str" cm="1">
        <f t="array" ref="F4446">_xlfn.LET(_xlpm.rowNum,MATCH(E4446,'glossaryterms-export'!C:C,0),
IF(AND(NOT(ISBLANK(INDEX('glossaryterms-export'!H:H,_xlpm.rowNum))),ISBLANK(INDEX('glossaryterms-export'!I:I,_xlpm.rowNum))),"Ready to Fix",""))</f>
        <v/>
      </c>
    </row>
    <row r="4447" spans="6:6">
      <c r="F4447" s="1" t="str" cm="1">
        <f t="array" ref="F4447">_xlfn.LET(_xlpm.rowNum,MATCH(E4447,'glossaryterms-export'!C:C,0),
IF(AND(NOT(ISBLANK(INDEX('glossaryterms-export'!H:H,_xlpm.rowNum))),ISBLANK(INDEX('glossaryterms-export'!I:I,_xlpm.rowNum))),"Ready to Fix",""))</f>
        <v/>
      </c>
    </row>
    <row r="4448" spans="6:6">
      <c r="F4448" s="1" t="str" cm="1">
        <f t="array" ref="F4448">_xlfn.LET(_xlpm.rowNum,MATCH(E4448,'glossaryterms-export'!C:C,0),
IF(AND(NOT(ISBLANK(INDEX('glossaryterms-export'!H:H,_xlpm.rowNum))),ISBLANK(INDEX('glossaryterms-export'!I:I,_xlpm.rowNum))),"Ready to Fix",""))</f>
        <v/>
      </c>
    </row>
    <row r="4449" spans="6:6">
      <c r="F4449" s="1" t="str" cm="1">
        <f t="array" ref="F4449">_xlfn.LET(_xlpm.rowNum,MATCH(E4449,'glossaryterms-export'!C:C,0),
IF(AND(NOT(ISBLANK(INDEX('glossaryterms-export'!H:H,_xlpm.rowNum))),ISBLANK(INDEX('glossaryterms-export'!I:I,_xlpm.rowNum))),"Ready to Fix",""))</f>
        <v/>
      </c>
    </row>
    <row r="4450" spans="6:6">
      <c r="F4450" s="1" t="str" cm="1">
        <f t="array" ref="F4450">_xlfn.LET(_xlpm.rowNum,MATCH(E4450,'glossaryterms-export'!C:C,0),
IF(AND(NOT(ISBLANK(INDEX('glossaryterms-export'!H:H,_xlpm.rowNum))),ISBLANK(INDEX('glossaryterms-export'!I:I,_xlpm.rowNum))),"Ready to Fix",""))</f>
        <v/>
      </c>
    </row>
    <row r="4451" spans="6:6">
      <c r="F4451" s="1" t="str" cm="1">
        <f t="array" ref="F4451">_xlfn.LET(_xlpm.rowNum,MATCH(E4451,'glossaryterms-export'!C:C,0),
IF(AND(NOT(ISBLANK(INDEX('glossaryterms-export'!H:H,_xlpm.rowNum))),ISBLANK(INDEX('glossaryterms-export'!I:I,_xlpm.rowNum))),"Ready to Fix",""))</f>
        <v/>
      </c>
    </row>
    <row r="4452" spans="6:6">
      <c r="F4452" s="1" t="str" cm="1">
        <f t="array" ref="F4452">_xlfn.LET(_xlpm.rowNum,MATCH(E4452,'glossaryterms-export'!C:C,0),
IF(AND(NOT(ISBLANK(INDEX('glossaryterms-export'!H:H,_xlpm.rowNum))),ISBLANK(INDEX('glossaryterms-export'!I:I,_xlpm.rowNum))),"Ready to Fix",""))</f>
        <v/>
      </c>
    </row>
    <row r="4453" spans="6:6">
      <c r="F4453" s="1" t="str" cm="1">
        <f t="array" ref="F4453">_xlfn.LET(_xlpm.rowNum,MATCH(E4453,'glossaryterms-export'!C:C,0),
IF(AND(NOT(ISBLANK(INDEX('glossaryterms-export'!H:H,_xlpm.rowNum))),ISBLANK(INDEX('glossaryterms-export'!I:I,_xlpm.rowNum))),"Ready to Fix",""))</f>
        <v/>
      </c>
    </row>
    <row r="4454" spans="6:6">
      <c r="F4454" s="1" t="str" cm="1">
        <f t="array" ref="F4454">_xlfn.LET(_xlpm.rowNum,MATCH(E4454,'glossaryterms-export'!C:C,0),
IF(AND(NOT(ISBLANK(INDEX('glossaryterms-export'!H:H,_xlpm.rowNum))),ISBLANK(INDEX('glossaryterms-export'!I:I,_xlpm.rowNum))),"Ready to Fix",""))</f>
        <v/>
      </c>
    </row>
    <row r="4455" spans="6:6">
      <c r="F4455" s="1" t="str" cm="1">
        <f t="array" ref="F4455">_xlfn.LET(_xlpm.rowNum,MATCH(E4455,'glossaryterms-export'!C:C,0),
IF(AND(NOT(ISBLANK(INDEX('glossaryterms-export'!H:H,_xlpm.rowNum))),ISBLANK(INDEX('glossaryterms-export'!I:I,_xlpm.rowNum))),"Ready to Fix",""))</f>
        <v/>
      </c>
    </row>
    <row r="4456" spans="6:6">
      <c r="F4456" s="1" t="str" cm="1">
        <f t="array" ref="F4456">_xlfn.LET(_xlpm.rowNum,MATCH(E4456,'glossaryterms-export'!C:C,0),
IF(AND(NOT(ISBLANK(INDEX('glossaryterms-export'!H:H,_xlpm.rowNum))),ISBLANK(INDEX('glossaryterms-export'!I:I,_xlpm.rowNum))),"Ready to Fix",""))</f>
        <v/>
      </c>
    </row>
    <row r="4457" spans="6:6">
      <c r="F4457" s="1" t="str" cm="1">
        <f t="array" ref="F4457">_xlfn.LET(_xlpm.rowNum,MATCH(E4457,'glossaryterms-export'!C:C,0),
IF(AND(NOT(ISBLANK(INDEX('glossaryterms-export'!H:H,_xlpm.rowNum))),ISBLANK(INDEX('glossaryterms-export'!I:I,_xlpm.rowNum))),"Ready to Fix",""))</f>
        <v/>
      </c>
    </row>
    <row r="4458" spans="6:6">
      <c r="F4458" s="1" t="str" cm="1">
        <f t="array" ref="F4458">_xlfn.LET(_xlpm.rowNum,MATCH(E4458,'glossaryterms-export'!C:C,0),
IF(AND(NOT(ISBLANK(INDEX('glossaryterms-export'!H:H,_xlpm.rowNum))),ISBLANK(INDEX('glossaryterms-export'!I:I,_xlpm.rowNum))),"Ready to Fix",""))</f>
        <v/>
      </c>
    </row>
    <row r="4459" spans="6:6">
      <c r="F4459" s="1" t="str" cm="1">
        <f t="array" ref="F4459">_xlfn.LET(_xlpm.rowNum,MATCH(E4459,'glossaryterms-export'!C:C,0),
IF(AND(NOT(ISBLANK(INDEX('glossaryterms-export'!H:H,_xlpm.rowNum))),ISBLANK(INDEX('glossaryterms-export'!I:I,_xlpm.rowNum))),"Ready to Fix",""))</f>
        <v/>
      </c>
    </row>
    <row r="4460" spans="6:6">
      <c r="F4460" s="1" t="str" cm="1">
        <f t="array" ref="F4460">_xlfn.LET(_xlpm.rowNum,MATCH(E4460,'glossaryterms-export'!C:C,0),
IF(AND(NOT(ISBLANK(INDEX('glossaryterms-export'!H:H,_xlpm.rowNum))),ISBLANK(INDEX('glossaryterms-export'!I:I,_xlpm.rowNum))),"Ready to Fix",""))</f>
        <v/>
      </c>
    </row>
    <row r="4461" spans="6:6">
      <c r="F4461" s="1" t="str" cm="1">
        <f t="array" ref="F4461">_xlfn.LET(_xlpm.rowNum,MATCH(E4461,'glossaryterms-export'!C:C,0),
IF(AND(NOT(ISBLANK(INDEX('glossaryterms-export'!H:H,_xlpm.rowNum))),ISBLANK(INDEX('glossaryterms-export'!I:I,_xlpm.rowNum))),"Ready to Fix",""))</f>
        <v/>
      </c>
    </row>
    <row r="4462" spans="6:6">
      <c r="F4462" s="1" t="str" cm="1">
        <f t="array" ref="F4462">_xlfn.LET(_xlpm.rowNum,MATCH(E4462,'glossaryterms-export'!C:C,0),
IF(AND(NOT(ISBLANK(INDEX('glossaryterms-export'!H:H,_xlpm.rowNum))),ISBLANK(INDEX('glossaryterms-export'!I:I,_xlpm.rowNum))),"Ready to Fix",""))</f>
        <v/>
      </c>
    </row>
    <row r="4463" spans="6:6">
      <c r="F4463" s="1" t="str" cm="1">
        <f t="array" ref="F4463">_xlfn.LET(_xlpm.rowNum,MATCH(E4463,'glossaryterms-export'!C:C,0),
IF(AND(NOT(ISBLANK(INDEX('glossaryterms-export'!H:H,_xlpm.rowNum))),ISBLANK(INDEX('glossaryterms-export'!I:I,_xlpm.rowNum))),"Ready to Fix",""))</f>
        <v/>
      </c>
    </row>
    <row r="4464" spans="6:6">
      <c r="F4464" s="1" t="str" cm="1">
        <f t="array" ref="F4464">_xlfn.LET(_xlpm.rowNum,MATCH(E4464,'glossaryterms-export'!C:C,0),
IF(AND(NOT(ISBLANK(INDEX('glossaryterms-export'!H:H,_xlpm.rowNum))),ISBLANK(INDEX('glossaryterms-export'!I:I,_xlpm.rowNum))),"Ready to Fix",""))</f>
        <v/>
      </c>
    </row>
    <row r="4465" spans="6:6">
      <c r="F4465" s="1" t="str" cm="1">
        <f t="array" ref="F4465">_xlfn.LET(_xlpm.rowNum,MATCH(E4465,'glossaryterms-export'!C:C,0),
IF(AND(NOT(ISBLANK(INDEX('glossaryterms-export'!H:H,_xlpm.rowNum))),ISBLANK(INDEX('glossaryterms-export'!I:I,_xlpm.rowNum))),"Ready to Fix",""))</f>
        <v/>
      </c>
    </row>
    <row r="4466" spans="6:6">
      <c r="F4466" s="1" t="str" cm="1">
        <f t="array" ref="F4466">_xlfn.LET(_xlpm.rowNum,MATCH(E4466,'glossaryterms-export'!C:C,0),
IF(AND(NOT(ISBLANK(INDEX('glossaryterms-export'!H:H,_xlpm.rowNum))),ISBLANK(INDEX('glossaryterms-export'!I:I,_xlpm.rowNum))),"Ready to Fix",""))</f>
        <v/>
      </c>
    </row>
    <row r="4467" spans="6:6">
      <c r="F4467" s="1" t="str" cm="1">
        <f t="array" ref="F4467">_xlfn.LET(_xlpm.rowNum,MATCH(E4467,'glossaryterms-export'!C:C,0),
IF(AND(NOT(ISBLANK(INDEX('glossaryterms-export'!H:H,_xlpm.rowNum))),ISBLANK(INDEX('glossaryterms-export'!I:I,_xlpm.rowNum))),"Ready to Fix",""))</f>
        <v/>
      </c>
    </row>
    <row r="4468" spans="6:6">
      <c r="F4468" s="1" t="str" cm="1">
        <f t="array" ref="F4468">_xlfn.LET(_xlpm.rowNum,MATCH(E4468,'glossaryterms-export'!C:C,0),
IF(AND(NOT(ISBLANK(INDEX('glossaryterms-export'!H:H,_xlpm.rowNum))),ISBLANK(INDEX('glossaryterms-export'!I:I,_xlpm.rowNum))),"Ready to Fix",""))</f>
        <v/>
      </c>
    </row>
    <row r="4469" spans="6:6">
      <c r="F4469" s="1" t="str" cm="1">
        <f t="array" ref="F4469">_xlfn.LET(_xlpm.rowNum,MATCH(E4469,'glossaryterms-export'!C:C,0),
IF(AND(NOT(ISBLANK(INDEX('glossaryterms-export'!H:H,_xlpm.rowNum))),ISBLANK(INDEX('glossaryterms-export'!I:I,_xlpm.rowNum))),"Ready to Fix",""))</f>
        <v/>
      </c>
    </row>
    <row r="4470" spans="6:6">
      <c r="F4470" s="1" t="str" cm="1">
        <f t="array" ref="F4470">_xlfn.LET(_xlpm.rowNum,MATCH(E4470,'glossaryterms-export'!C:C,0),
IF(AND(NOT(ISBLANK(INDEX('glossaryterms-export'!H:H,_xlpm.rowNum))),ISBLANK(INDEX('glossaryterms-export'!I:I,_xlpm.rowNum))),"Ready to Fix",""))</f>
        <v/>
      </c>
    </row>
    <row r="4471" spans="6:6">
      <c r="F4471" s="1" t="str" cm="1">
        <f t="array" ref="F4471">_xlfn.LET(_xlpm.rowNum,MATCH(E4471,'glossaryterms-export'!C:C,0),
IF(AND(NOT(ISBLANK(INDEX('glossaryterms-export'!H:H,_xlpm.rowNum))),ISBLANK(INDEX('glossaryterms-export'!I:I,_xlpm.rowNum))),"Ready to Fix",""))</f>
        <v/>
      </c>
    </row>
    <row r="4472" spans="6:6">
      <c r="F4472" s="1" t="str" cm="1">
        <f t="array" ref="F4472">_xlfn.LET(_xlpm.rowNum,MATCH(E4472,'glossaryterms-export'!C:C,0),
IF(AND(NOT(ISBLANK(INDEX('glossaryterms-export'!H:H,_xlpm.rowNum))),ISBLANK(INDEX('glossaryterms-export'!I:I,_xlpm.rowNum))),"Ready to Fix",""))</f>
        <v/>
      </c>
    </row>
    <row r="4473" spans="6:6">
      <c r="F4473" s="1" t="str" cm="1">
        <f t="array" ref="F4473">_xlfn.LET(_xlpm.rowNum,MATCH(E4473,'glossaryterms-export'!C:C,0),
IF(AND(NOT(ISBLANK(INDEX('glossaryterms-export'!H:H,_xlpm.rowNum))),ISBLANK(INDEX('glossaryterms-export'!I:I,_xlpm.rowNum))),"Ready to Fix",""))</f>
        <v/>
      </c>
    </row>
    <row r="4474" spans="6:6">
      <c r="F4474" s="1" t="str" cm="1">
        <f t="array" ref="F4474">_xlfn.LET(_xlpm.rowNum,MATCH(E4474,'glossaryterms-export'!C:C,0),
IF(AND(NOT(ISBLANK(INDEX('glossaryterms-export'!H:H,_xlpm.rowNum))),ISBLANK(INDEX('glossaryterms-export'!I:I,_xlpm.rowNum))),"Ready to Fix",""))</f>
        <v/>
      </c>
    </row>
    <row r="4475" spans="6:6">
      <c r="F4475" s="1" t="str" cm="1">
        <f t="array" ref="F4475">_xlfn.LET(_xlpm.rowNum,MATCH(E4475,'glossaryterms-export'!C:C,0),
IF(AND(NOT(ISBLANK(INDEX('glossaryterms-export'!H:H,_xlpm.rowNum))),ISBLANK(INDEX('glossaryterms-export'!I:I,_xlpm.rowNum))),"Ready to Fix",""))</f>
        <v/>
      </c>
    </row>
    <row r="4476" spans="6:6">
      <c r="F4476" s="1" t="str" cm="1">
        <f t="array" ref="F4476">_xlfn.LET(_xlpm.rowNum,MATCH(E4476,'glossaryterms-export'!C:C,0),
IF(AND(NOT(ISBLANK(INDEX('glossaryterms-export'!H:H,_xlpm.rowNum))),ISBLANK(INDEX('glossaryterms-export'!I:I,_xlpm.rowNum))),"Ready to Fix",""))</f>
        <v/>
      </c>
    </row>
    <row r="4477" spans="6:6">
      <c r="F4477" s="1" t="str" cm="1">
        <f t="array" ref="F4477">_xlfn.LET(_xlpm.rowNum,MATCH(E4477,'glossaryterms-export'!C:C,0),
IF(AND(NOT(ISBLANK(INDEX('glossaryterms-export'!H:H,_xlpm.rowNum))),ISBLANK(INDEX('glossaryterms-export'!I:I,_xlpm.rowNum))),"Ready to Fix",""))</f>
        <v/>
      </c>
    </row>
    <row r="4478" spans="6:6">
      <c r="F4478" s="1" t="str" cm="1">
        <f t="array" ref="F4478">_xlfn.LET(_xlpm.rowNum,MATCH(E4478,'glossaryterms-export'!C:C,0),
IF(AND(NOT(ISBLANK(INDEX('glossaryterms-export'!H:H,_xlpm.rowNum))),ISBLANK(INDEX('glossaryterms-export'!I:I,_xlpm.rowNum))),"Ready to Fix",""))</f>
        <v/>
      </c>
    </row>
    <row r="4479" spans="6:6">
      <c r="F4479" s="1" t="str" cm="1">
        <f t="array" ref="F4479">_xlfn.LET(_xlpm.rowNum,MATCH(E4479,'glossaryterms-export'!C:C,0),
IF(AND(NOT(ISBLANK(INDEX('glossaryterms-export'!H:H,_xlpm.rowNum))),ISBLANK(INDEX('glossaryterms-export'!I:I,_xlpm.rowNum))),"Ready to Fix",""))</f>
        <v/>
      </c>
    </row>
    <row r="4480" spans="6:6">
      <c r="F4480" s="1" t="str" cm="1">
        <f t="array" ref="F4480">_xlfn.LET(_xlpm.rowNum,MATCH(E4480,'glossaryterms-export'!C:C,0),
IF(AND(NOT(ISBLANK(INDEX('glossaryterms-export'!H:H,_xlpm.rowNum))),ISBLANK(INDEX('glossaryterms-export'!I:I,_xlpm.rowNum))),"Ready to Fix",""))</f>
        <v/>
      </c>
    </row>
    <row r="4481" spans="6:6">
      <c r="F4481" s="1" t="str" cm="1">
        <f t="array" ref="F4481">_xlfn.LET(_xlpm.rowNum,MATCH(E4481,'glossaryterms-export'!C:C,0),
IF(AND(NOT(ISBLANK(INDEX('glossaryterms-export'!H:H,_xlpm.rowNum))),ISBLANK(INDEX('glossaryterms-export'!I:I,_xlpm.rowNum))),"Ready to Fix",""))</f>
        <v/>
      </c>
    </row>
    <row r="4482" spans="6:6">
      <c r="F4482" s="1" t="str" cm="1">
        <f t="array" ref="F4482">_xlfn.LET(_xlpm.rowNum,MATCH(E4482,'glossaryterms-export'!C:C,0),
IF(AND(NOT(ISBLANK(INDEX('glossaryterms-export'!H:H,_xlpm.rowNum))),ISBLANK(INDEX('glossaryterms-export'!I:I,_xlpm.rowNum))),"Ready to Fix",""))</f>
        <v/>
      </c>
    </row>
    <row r="4483" spans="6:6">
      <c r="F4483" s="1" t="str" cm="1">
        <f t="array" ref="F4483">_xlfn.LET(_xlpm.rowNum,MATCH(E4483,'glossaryterms-export'!C:C,0),
IF(AND(NOT(ISBLANK(INDEX('glossaryterms-export'!H:H,_xlpm.rowNum))),ISBLANK(INDEX('glossaryterms-export'!I:I,_xlpm.rowNum))),"Ready to Fix",""))</f>
        <v/>
      </c>
    </row>
    <row r="4484" spans="6:6">
      <c r="F4484" s="1" t="str" cm="1">
        <f t="array" ref="F4484">_xlfn.LET(_xlpm.rowNum,MATCH(E4484,'glossaryterms-export'!C:C,0),
IF(AND(NOT(ISBLANK(INDEX('glossaryterms-export'!H:H,_xlpm.rowNum))),ISBLANK(INDEX('glossaryterms-export'!I:I,_xlpm.rowNum))),"Ready to Fix",""))</f>
        <v/>
      </c>
    </row>
    <row r="4485" spans="6:6">
      <c r="F4485" s="1" t="str" cm="1">
        <f t="array" ref="F4485">_xlfn.LET(_xlpm.rowNum,MATCH(E4485,'glossaryterms-export'!C:C,0),
IF(AND(NOT(ISBLANK(INDEX('glossaryterms-export'!H:H,_xlpm.rowNum))),ISBLANK(INDEX('glossaryterms-export'!I:I,_xlpm.rowNum))),"Ready to Fix",""))</f>
        <v/>
      </c>
    </row>
    <row r="4486" spans="6:6">
      <c r="F4486" s="1" t="str" cm="1">
        <f t="array" ref="F4486">_xlfn.LET(_xlpm.rowNum,MATCH(E4486,'glossaryterms-export'!C:C,0),
IF(AND(NOT(ISBLANK(INDEX('glossaryterms-export'!H:H,_xlpm.rowNum))),ISBLANK(INDEX('glossaryterms-export'!I:I,_xlpm.rowNum))),"Ready to Fix",""))</f>
        <v/>
      </c>
    </row>
    <row r="4487" spans="6:6">
      <c r="F4487" s="1" t="str" cm="1">
        <f t="array" ref="F4487">_xlfn.LET(_xlpm.rowNum,MATCH(E4487,'glossaryterms-export'!C:C,0),
IF(AND(NOT(ISBLANK(INDEX('glossaryterms-export'!H:H,_xlpm.rowNum))),ISBLANK(INDEX('glossaryterms-export'!I:I,_xlpm.rowNum))),"Ready to Fix",""))</f>
        <v/>
      </c>
    </row>
    <row r="4488" spans="6:6">
      <c r="F4488" s="1" t="str" cm="1">
        <f t="array" ref="F4488">_xlfn.LET(_xlpm.rowNum,MATCH(E4488,'glossaryterms-export'!C:C,0),
IF(AND(NOT(ISBLANK(INDEX('glossaryterms-export'!H:H,_xlpm.rowNum))),ISBLANK(INDEX('glossaryterms-export'!I:I,_xlpm.rowNum))),"Ready to Fix",""))</f>
        <v/>
      </c>
    </row>
    <row r="4489" spans="6:6">
      <c r="F4489" s="1" t="str" cm="1">
        <f t="array" ref="F4489">_xlfn.LET(_xlpm.rowNum,MATCH(E4489,'glossaryterms-export'!C:C,0),
IF(AND(NOT(ISBLANK(INDEX('glossaryterms-export'!H:H,_xlpm.rowNum))),ISBLANK(INDEX('glossaryterms-export'!I:I,_xlpm.rowNum))),"Ready to Fix",""))</f>
        <v/>
      </c>
    </row>
    <row r="4490" spans="6:6">
      <c r="F4490" s="1" t="str" cm="1">
        <f t="array" ref="F4490">_xlfn.LET(_xlpm.rowNum,MATCH(E4490,'glossaryterms-export'!C:C,0),
IF(AND(NOT(ISBLANK(INDEX('glossaryterms-export'!H:H,_xlpm.rowNum))),ISBLANK(INDEX('glossaryterms-export'!I:I,_xlpm.rowNum))),"Ready to Fix",""))</f>
        <v/>
      </c>
    </row>
    <row r="4491" spans="6:6">
      <c r="F4491" s="1" t="str" cm="1">
        <f t="array" ref="F4491">_xlfn.LET(_xlpm.rowNum,MATCH(E4491,'glossaryterms-export'!C:C,0),
IF(AND(NOT(ISBLANK(INDEX('glossaryterms-export'!H:H,_xlpm.rowNum))),ISBLANK(INDEX('glossaryterms-export'!I:I,_xlpm.rowNum))),"Ready to Fix",""))</f>
        <v/>
      </c>
    </row>
    <row r="4492" spans="6:6">
      <c r="F4492" s="1" t="str" cm="1">
        <f t="array" ref="F4492">_xlfn.LET(_xlpm.rowNum,MATCH(E4492,'glossaryterms-export'!C:C,0),
IF(AND(NOT(ISBLANK(INDEX('glossaryterms-export'!H:H,_xlpm.rowNum))),ISBLANK(INDEX('glossaryterms-export'!I:I,_xlpm.rowNum))),"Ready to Fix",""))</f>
        <v/>
      </c>
    </row>
    <row r="4493" spans="6:6">
      <c r="F4493" s="1" t="str" cm="1">
        <f t="array" ref="F4493">_xlfn.LET(_xlpm.rowNum,MATCH(E4493,'glossaryterms-export'!C:C,0),
IF(AND(NOT(ISBLANK(INDEX('glossaryterms-export'!H:H,_xlpm.rowNum))),ISBLANK(INDEX('glossaryterms-export'!I:I,_xlpm.rowNum))),"Ready to Fix",""))</f>
        <v/>
      </c>
    </row>
    <row r="4494" spans="6:6">
      <c r="F4494" s="1" t="str" cm="1">
        <f t="array" ref="F4494">_xlfn.LET(_xlpm.rowNum,MATCH(E4494,'glossaryterms-export'!C:C,0),
IF(AND(NOT(ISBLANK(INDEX('glossaryterms-export'!H:H,_xlpm.rowNum))),ISBLANK(INDEX('glossaryterms-export'!I:I,_xlpm.rowNum))),"Ready to Fix",""))</f>
        <v/>
      </c>
    </row>
    <row r="4495" spans="6:6">
      <c r="F4495" s="1" t="str" cm="1">
        <f t="array" ref="F4495">_xlfn.LET(_xlpm.rowNum,MATCH(E4495,'glossaryterms-export'!C:C,0),
IF(AND(NOT(ISBLANK(INDEX('glossaryterms-export'!H:H,_xlpm.rowNum))),ISBLANK(INDEX('glossaryterms-export'!I:I,_xlpm.rowNum))),"Ready to Fix",""))</f>
        <v/>
      </c>
    </row>
    <row r="4496" spans="6:6">
      <c r="F4496" s="1" t="str" cm="1">
        <f t="array" ref="F4496">_xlfn.LET(_xlpm.rowNum,MATCH(E4496,'glossaryterms-export'!C:C,0),
IF(AND(NOT(ISBLANK(INDEX('glossaryterms-export'!H:H,_xlpm.rowNum))),ISBLANK(INDEX('glossaryterms-export'!I:I,_xlpm.rowNum))),"Ready to Fix",""))</f>
        <v/>
      </c>
    </row>
    <row r="4497" spans="6:6">
      <c r="F4497" s="1" t="str" cm="1">
        <f t="array" ref="F4497">_xlfn.LET(_xlpm.rowNum,MATCH(E4497,'glossaryterms-export'!C:C,0),
IF(AND(NOT(ISBLANK(INDEX('glossaryterms-export'!H:H,_xlpm.rowNum))),ISBLANK(INDEX('glossaryterms-export'!I:I,_xlpm.rowNum))),"Ready to Fix",""))</f>
        <v/>
      </c>
    </row>
    <row r="4498" spans="6:6">
      <c r="F4498" s="1" t="str" cm="1">
        <f t="array" ref="F4498">_xlfn.LET(_xlpm.rowNum,MATCH(E4498,'glossaryterms-export'!C:C,0),
IF(AND(NOT(ISBLANK(INDEX('glossaryterms-export'!H:H,_xlpm.rowNum))),ISBLANK(INDEX('glossaryterms-export'!I:I,_xlpm.rowNum))),"Ready to Fix",""))</f>
        <v/>
      </c>
    </row>
    <row r="4499" spans="6:6">
      <c r="F4499" s="1" t="str" cm="1">
        <f t="array" ref="F4499">_xlfn.LET(_xlpm.rowNum,MATCH(E4499,'glossaryterms-export'!C:C,0),
IF(AND(NOT(ISBLANK(INDEX('glossaryterms-export'!H:H,_xlpm.rowNum))),ISBLANK(INDEX('glossaryterms-export'!I:I,_xlpm.rowNum))),"Ready to Fix",""))</f>
        <v/>
      </c>
    </row>
    <row r="4500" spans="6:6">
      <c r="F4500" s="1" t="str" cm="1">
        <f t="array" ref="F4500">_xlfn.LET(_xlpm.rowNum,MATCH(E4500,'glossaryterms-export'!C:C,0),
IF(AND(NOT(ISBLANK(INDEX('glossaryterms-export'!H:H,_xlpm.rowNum))),ISBLANK(INDEX('glossaryterms-export'!I:I,_xlpm.rowNum))),"Ready to Fix",""))</f>
        <v/>
      </c>
    </row>
    <row r="4501" spans="6:6">
      <c r="F4501" s="1" t="str" cm="1">
        <f t="array" ref="F4501">_xlfn.LET(_xlpm.rowNum,MATCH(E4501,'glossaryterms-export'!C:C,0),
IF(AND(NOT(ISBLANK(INDEX('glossaryterms-export'!H:H,_xlpm.rowNum))),ISBLANK(INDEX('glossaryterms-export'!I:I,_xlpm.rowNum))),"Ready to Fix",""))</f>
        <v/>
      </c>
    </row>
    <row r="4502" spans="6:6">
      <c r="F4502" s="1" t="str" cm="1">
        <f t="array" ref="F4502">_xlfn.LET(_xlpm.rowNum,MATCH(E4502,'glossaryterms-export'!C:C,0),
IF(AND(NOT(ISBLANK(INDEX('glossaryterms-export'!H:H,_xlpm.rowNum))),ISBLANK(INDEX('glossaryterms-export'!I:I,_xlpm.rowNum))),"Ready to Fix",""))</f>
        <v/>
      </c>
    </row>
    <row r="4503" spans="6:6">
      <c r="F4503" s="1" t="str" cm="1">
        <f t="array" ref="F4503">_xlfn.LET(_xlpm.rowNum,MATCH(E4503,'glossaryterms-export'!C:C,0),
IF(AND(NOT(ISBLANK(INDEX('glossaryterms-export'!H:H,_xlpm.rowNum))),ISBLANK(INDEX('glossaryterms-export'!I:I,_xlpm.rowNum))),"Ready to Fix",""))</f>
        <v/>
      </c>
    </row>
    <row r="4504" spans="6:6">
      <c r="F4504" s="1" t="str" cm="1">
        <f t="array" ref="F4504">_xlfn.LET(_xlpm.rowNum,MATCH(E4504,'glossaryterms-export'!C:C,0),
IF(AND(NOT(ISBLANK(INDEX('glossaryterms-export'!H:H,_xlpm.rowNum))),ISBLANK(INDEX('glossaryterms-export'!I:I,_xlpm.rowNum))),"Ready to Fix",""))</f>
        <v/>
      </c>
    </row>
    <row r="4505" spans="6:6">
      <c r="F4505" s="1" t="str" cm="1">
        <f t="array" ref="F4505">_xlfn.LET(_xlpm.rowNum,MATCH(E4505,'glossaryterms-export'!C:C,0),
IF(AND(NOT(ISBLANK(INDEX('glossaryterms-export'!H:H,_xlpm.rowNum))),ISBLANK(INDEX('glossaryterms-export'!I:I,_xlpm.rowNum))),"Ready to Fix",""))</f>
        <v/>
      </c>
    </row>
    <row r="4506" spans="6:6">
      <c r="F4506" s="1" t="str" cm="1">
        <f t="array" ref="F4506">_xlfn.LET(_xlpm.rowNum,MATCH(E4506,'glossaryterms-export'!C:C,0),
IF(AND(NOT(ISBLANK(INDEX('glossaryterms-export'!H:H,_xlpm.rowNum))),ISBLANK(INDEX('glossaryterms-export'!I:I,_xlpm.rowNum))),"Ready to Fix",""))</f>
        <v/>
      </c>
    </row>
    <row r="4507" spans="6:6">
      <c r="F4507" s="1" t="str" cm="1">
        <f t="array" ref="F4507">_xlfn.LET(_xlpm.rowNum,MATCH(E4507,'glossaryterms-export'!C:C,0),
IF(AND(NOT(ISBLANK(INDEX('glossaryterms-export'!H:H,_xlpm.rowNum))),ISBLANK(INDEX('glossaryterms-export'!I:I,_xlpm.rowNum))),"Ready to Fix",""))</f>
        <v/>
      </c>
    </row>
    <row r="4508" spans="6:6">
      <c r="F4508" s="1" t="str" cm="1">
        <f t="array" ref="F4508">_xlfn.LET(_xlpm.rowNum,MATCH(E4508,'glossaryterms-export'!C:C,0),
IF(AND(NOT(ISBLANK(INDEX('glossaryterms-export'!H:H,_xlpm.rowNum))),ISBLANK(INDEX('glossaryterms-export'!I:I,_xlpm.rowNum))),"Ready to Fix",""))</f>
        <v/>
      </c>
    </row>
    <row r="4509" spans="6:6">
      <c r="F4509" s="1" t="str" cm="1">
        <f t="array" ref="F4509">_xlfn.LET(_xlpm.rowNum,MATCH(E4509,'glossaryterms-export'!C:C,0),
IF(AND(NOT(ISBLANK(INDEX('glossaryterms-export'!H:H,_xlpm.rowNum))),ISBLANK(INDEX('glossaryterms-export'!I:I,_xlpm.rowNum))),"Ready to Fix",""))</f>
        <v/>
      </c>
    </row>
    <row r="4510" spans="6:6">
      <c r="F4510" s="1" t="str" cm="1">
        <f t="array" ref="F4510">_xlfn.LET(_xlpm.rowNum,MATCH(E4510,'glossaryterms-export'!C:C,0),
IF(AND(NOT(ISBLANK(INDEX('glossaryterms-export'!H:H,_xlpm.rowNum))),ISBLANK(INDEX('glossaryterms-export'!I:I,_xlpm.rowNum))),"Ready to Fix",""))</f>
        <v/>
      </c>
    </row>
    <row r="4511" spans="6:6">
      <c r="F4511" s="1" t="str" cm="1">
        <f t="array" ref="F4511">_xlfn.LET(_xlpm.rowNum,MATCH(E4511,'glossaryterms-export'!C:C,0),
IF(AND(NOT(ISBLANK(INDEX('glossaryterms-export'!H:H,_xlpm.rowNum))),ISBLANK(INDEX('glossaryterms-export'!I:I,_xlpm.rowNum))),"Ready to Fix",""))</f>
        <v/>
      </c>
    </row>
    <row r="4512" spans="6:6">
      <c r="F4512" s="1" t="str" cm="1">
        <f t="array" ref="F4512">_xlfn.LET(_xlpm.rowNum,MATCH(E4512,'glossaryterms-export'!C:C,0),
IF(AND(NOT(ISBLANK(INDEX('glossaryterms-export'!H:H,_xlpm.rowNum))),ISBLANK(INDEX('glossaryterms-export'!I:I,_xlpm.rowNum))),"Ready to Fix",""))</f>
        <v/>
      </c>
    </row>
    <row r="4513" spans="6:6">
      <c r="F4513" s="1" t="str" cm="1">
        <f t="array" ref="F4513">_xlfn.LET(_xlpm.rowNum,MATCH(E4513,'glossaryterms-export'!C:C,0),
IF(AND(NOT(ISBLANK(INDEX('glossaryterms-export'!H:H,_xlpm.rowNum))),ISBLANK(INDEX('glossaryterms-export'!I:I,_xlpm.rowNum))),"Ready to Fix",""))</f>
        <v/>
      </c>
    </row>
    <row r="4514" spans="6:6">
      <c r="F4514" s="1" t="str" cm="1">
        <f t="array" ref="F4514">_xlfn.LET(_xlpm.rowNum,MATCH(E4514,'glossaryterms-export'!C:C,0),
IF(AND(NOT(ISBLANK(INDEX('glossaryterms-export'!H:H,_xlpm.rowNum))),ISBLANK(INDEX('glossaryterms-export'!I:I,_xlpm.rowNum))),"Ready to Fix",""))</f>
        <v/>
      </c>
    </row>
    <row r="4515" spans="6:6">
      <c r="F4515" s="1" t="str" cm="1">
        <f t="array" ref="F4515">_xlfn.LET(_xlpm.rowNum,MATCH(E4515,'glossaryterms-export'!C:C,0),
IF(AND(NOT(ISBLANK(INDEX('glossaryterms-export'!H:H,_xlpm.rowNum))),ISBLANK(INDEX('glossaryterms-export'!I:I,_xlpm.rowNum))),"Ready to Fix",""))</f>
        <v/>
      </c>
    </row>
    <row r="4516" spans="6:6">
      <c r="F4516" s="1" t="str" cm="1">
        <f t="array" ref="F4516">_xlfn.LET(_xlpm.rowNum,MATCH(E4516,'glossaryterms-export'!C:C,0),
IF(AND(NOT(ISBLANK(INDEX('glossaryterms-export'!H:H,_xlpm.rowNum))),ISBLANK(INDEX('glossaryterms-export'!I:I,_xlpm.rowNum))),"Ready to Fix",""))</f>
        <v/>
      </c>
    </row>
    <row r="4517" spans="6:6">
      <c r="F4517" s="1" t="str" cm="1">
        <f t="array" ref="F4517">_xlfn.LET(_xlpm.rowNum,MATCH(E4517,'glossaryterms-export'!C:C,0),
IF(AND(NOT(ISBLANK(INDEX('glossaryterms-export'!H:H,_xlpm.rowNum))),ISBLANK(INDEX('glossaryterms-export'!I:I,_xlpm.rowNum))),"Ready to Fix",""))</f>
        <v/>
      </c>
    </row>
    <row r="4518" spans="6:6">
      <c r="F4518" s="1" t="str" cm="1">
        <f t="array" ref="F4518">_xlfn.LET(_xlpm.rowNum,MATCH(E4518,'glossaryterms-export'!C:C,0),
IF(AND(NOT(ISBLANK(INDEX('glossaryterms-export'!H:H,_xlpm.rowNum))),ISBLANK(INDEX('glossaryterms-export'!I:I,_xlpm.rowNum))),"Ready to Fix",""))</f>
        <v/>
      </c>
    </row>
    <row r="4519" spans="6:6">
      <c r="F4519" s="1" t="str" cm="1">
        <f t="array" ref="F4519">_xlfn.LET(_xlpm.rowNum,MATCH(E4519,'glossaryterms-export'!C:C,0),
IF(AND(NOT(ISBLANK(INDEX('glossaryterms-export'!H:H,_xlpm.rowNum))),ISBLANK(INDEX('glossaryterms-export'!I:I,_xlpm.rowNum))),"Ready to Fix",""))</f>
        <v/>
      </c>
    </row>
    <row r="4520" spans="6:6">
      <c r="F4520" s="1" t="str" cm="1">
        <f t="array" ref="F4520">_xlfn.LET(_xlpm.rowNum,MATCH(E4520,'glossaryterms-export'!C:C,0),
IF(AND(NOT(ISBLANK(INDEX('glossaryterms-export'!H:H,_xlpm.rowNum))),ISBLANK(INDEX('glossaryterms-export'!I:I,_xlpm.rowNum))),"Ready to Fix",""))</f>
        <v/>
      </c>
    </row>
    <row r="4521" spans="6:6">
      <c r="F4521" s="1" t="str" cm="1">
        <f t="array" ref="F4521">_xlfn.LET(_xlpm.rowNum,MATCH(E4521,'glossaryterms-export'!C:C,0),
IF(AND(NOT(ISBLANK(INDEX('glossaryterms-export'!H:H,_xlpm.rowNum))),ISBLANK(INDEX('glossaryterms-export'!I:I,_xlpm.rowNum))),"Ready to Fix",""))</f>
        <v/>
      </c>
    </row>
    <row r="4522" spans="6:6">
      <c r="F4522" s="1" t="str" cm="1">
        <f t="array" ref="F4522">_xlfn.LET(_xlpm.rowNum,MATCH(E4522,'glossaryterms-export'!C:C,0),
IF(AND(NOT(ISBLANK(INDEX('glossaryterms-export'!H:H,_xlpm.rowNum))),ISBLANK(INDEX('glossaryterms-export'!I:I,_xlpm.rowNum))),"Ready to Fix",""))</f>
        <v/>
      </c>
    </row>
    <row r="4523" spans="6:6">
      <c r="F4523" s="1" t="str" cm="1">
        <f t="array" ref="F4523">_xlfn.LET(_xlpm.rowNum,MATCH(E4523,'glossaryterms-export'!C:C,0),
IF(AND(NOT(ISBLANK(INDEX('glossaryterms-export'!H:H,_xlpm.rowNum))),ISBLANK(INDEX('glossaryterms-export'!I:I,_xlpm.rowNum))),"Ready to Fix",""))</f>
        <v/>
      </c>
    </row>
    <row r="4524" spans="6:6">
      <c r="F4524" s="1" t="str" cm="1">
        <f t="array" ref="F4524">_xlfn.LET(_xlpm.rowNum,MATCH(E4524,'glossaryterms-export'!C:C,0),
IF(AND(NOT(ISBLANK(INDEX('glossaryterms-export'!H:H,_xlpm.rowNum))),ISBLANK(INDEX('glossaryterms-export'!I:I,_xlpm.rowNum))),"Ready to Fix",""))</f>
        <v/>
      </c>
    </row>
    <row r="4525" spans="6:6">
      <c r="F4525" s="1" t="str" cm="1">
        <f t="array" ref="F4525">_xlfn.LET(_xlpm.rowNum,MATCH(E4525,'glossaryterms-export'!C:C,0),
IF(AND(NOT(ISBLANK(INDEX('glossaryterms-export'!H:H,_xlpm.rowNum))),ISBLANK(INDEX('glossaryterms-export'!I:I,_xlpm.rowNum))),"Ready to Fix",""))</f>
        <v/>
      </c>
    </row>
    <row r="4526" spans="6:6">
      <c r="F4526" s="1" t="str" cm="1">
        <f t="array" ref="F4526">_xlfn.LET(_xlpm.rowNum,MATCH(E4526,'glossaryterms-export'!C:C,0),
IF(AND(NOT(ISBLANK(INDEX('glossaryterms-export'!H:H,_xlpm.rowNum))),ISBLANK(INDEX('glossaryterms-export'!I:I,_xlpm.rowNum))),"Ready to Fix",""))</f>
        <v/>
      </c>
    </row>
    <row r="4527" spans="6:6">
      <c r="F4527" s="1" t="str" cm="1">
        <f t="array" ref="F4527">_xlfn.LET(_xlpm.rowNum,MATCH(E4527,'glossaryterms-export'!C:C,0),
IF(AND(NOT(ISBLANK(INDEX('glossaryterms-export'!H:H,_xlpm.rowNum))),ISBLANK(INDEX('glossaryterms-export'!I:I,_xlpm.rowNum))),"Ready to Fix",""))</f>
        <v/>
      </c>
    </row>
    <row r="4528" spans="6:6">
      <c r="F4528" s="1" t="str" cm="1">
        <f t="array" ref="F4528">_xlfn.LET(_xlpm.rowNum,MATCH(E4528,'glossaryterms-export'!C:C,0),
IF(AND(NOT(ISBLANK(INDEX('glossaryterms-export'!H:H,_xlpm.rowNum))),ISBLANK(INDEX('glossaryterms-export'!I:I,_xlpm.rowNum))),"Ready to Fix",""))</f>
        <v/>
      </c>
    </row>
    <row r="4529" spans="6:6">
      <c r="F4529" s="1" t="str" cm="1">
        <f t="array" ref="F4529">_xlfn.LET(_xlpm.rowNum,MATCH(E4529,'glossaryterms-export'!C:C,0),
IF(AND(NOT(ISBLANK(INDEX('glossaryterms-export'!H:H,_xlpm.rowNum))),ISBLANK(INDEX('glossaryterms-export'!I:I,_xlpm.rowNum))),"Ready to Fix",""))</f>
        <v/>
      </c>
    </row>
    <row r="4530" spans="6:6">
      <c r="F4530" s="1" t="str" cm="1">
        <f t="array" ref="F4530">_xlfn.LET(_xlpm.rowNum,MATCH(E4530,'glossaryterms-export'!C:C,0),
IF(AND(NOT(ISBLANK(INDEX('glossaryterms-export'!H:H,_xlpm.rowNum))),ISBLANK(INDEX('glossaryterms-export'!I:I,_xlpm.rowNum))),"Ready to Fix",""))</f>
        <v/>
      </c>
    </row>
    <row r="4531" spans="6:6">
      <c r="F4531" s="1" t="str" cm="1">
        <f t="array" ref="F4531">_xlfn.LET(_xlpm.rowNum,MATCH(E4531,'glossaryterms-export'!C:C,0),
IF(AND(NOT(ISBLANK(INDEX('glossaryterms-export'!H:H,_xlpm.rowNum))),ISBLANK(INDEX('glossaryterms-export'!I:I,_xlpm.rowNum))),"Ready to Fix",""))</f>
        <v/>
      </c>
    </row>
    <row r="4532" spans="6:6">
      <c r="F4532" s="1" t="str" cm="1">
        <f t="array" ref="F4532">_xlfn.LET(_xlpm.rowNum,MATCH(E4532,'glossaryterms-export'!C:C,0),
IF(AND(NOT(ISBLANK(INDEX('glossaryterms-export'!H:H,_xlpm.rowNum))),ISBLANK(INDEX('glossaryterms-export'!I:I,_xlpm.rowNum))),"Ready to Fix",""))</f>
        <v/>
      </c>
    </row>
    <row r="4533" spans="6:6">
      <c r="F4533" s="1" t="str" cm="1">
        <f t="array" ref="F4533">_xlfn.LET(_xlpm.rowNum,MATCH(E4533,'glossaryterms-export'!C:C,0),
IF(AND(NOT(ISBLANK(INDEX('glossaryterms-export'!H:H,_xlpm.rowNum))),ISBLANK(INDEX('glossaryterms-export'!I:I,_xlpm.rowNum))),"Ready to Fix",""))</f>
        <v/>
      </c>
    </row>
    <row r="4534" spans="6:6">
      <c r="F4534" s="1" t="str" cm="1">
        <f t="array" ref="F4534">_xlfn.LET(_xlpm.rowNum,MATCH(E4534,'glossaryterms-export'!C:C,0),
IF(AND(NOT(ISBLANK(INDEX('glossaryterms-export'!H:H,_xlpm.rowNum))),ISBLANK(INDEX('glossaryterms-export'!I:I,_xlpm.rowNum))),"Ready to Fix",""))</f>
        <v/>
      </c>
    </row>
    <row r="4535" spans="6:6">
      <c r="F4535" s="1" t="str" cm="1">
        <f t="array" ref="F4535">_xlfn.LET(_xlpm.rowNum,MATCH(E4535,'glossaryterms-export'!C:C,0),
IF(AND(NOT(ISBLANK(INDEX('glossaryterms-export'!H:H,_xlpm.rowNum))),ISBLANK(INDEX('glossaryterms-export'!I:I,_xlpm.rowNum))),"Ready to Fix",""))</f>
        <v/>
      </c>
    </row>
    <row r="4536" spans="6:6">
      <c r="F4536" s="1" t="str" cm="1">
        <f t="array" ref="F4536">_xlfn.LET(_xlpm.rowNum,MATCH(E4536,'glossaryterms-export'!C:C,0),
IF(AND(NOT(ISBLANK(INDEX('glossaryterms-export'!H:H,_xlpm.rowNum))),ISBLANK(INDEX('glossaryterms-export'!I:I,_xlpm.rowNum))),"Ready to Fix",""))</f>
        <v/>
      </c>
    </row>
    <row r="4537" spans="6:6">
      <c r="F4537" s="1" t="str" cm="1">
        <f t="array" ref="F4537">_xlfn.LET(_xlpm.rowNum,MATCH(E4537,'glossaryterms-export'!C:C,0),
IF(AND(NOT(ISBLANK(INDEX('glossaryterms-export'!H:H,_xlpm.rowNum))),ISBLANK(INDEX('glossaryterms-export'!I:I,_xlpm.rowNum))),"Ready to Fix",""))</f>
        <v/>
      </c>
    </row>
    <row r="4538" spans="6:6">
      <c r="F4538" s="1" t="str" cm="1">
        <f t="array" ref="F4538">_xlfn.LET(_xlpm.rowNum,MATCH(E4538,'glossaryterms-export'!C:C,0),
IF(AND(NOT(ISBLANK(INDEX('glossaryterms-export'!H:H,_xlpm.rowNum))),ISBLANK(INDEX('glossaryterms-export'!I:I,_xlpm.rowNum))),"Ready to Fix",""))</f>
        <v/>
      </c>
    </row>
    <row r="4539" spans="6:6">
      <c r="F4539" s="1" t="str" cm="1">
        <f t="array" ref="F4539">_xlfn.LET(_xlpm.rowNum,MATCH(E4539,'glossaryterms-export'!C:C,0),
IF(AND(NOT(ISBLANK(INDEX('glossaryterms-export'!H:H,_xlpm.rowNum))),ISBLANK(INDEX('glossaryterms-export'!I:I,_xlpm.rowNum))),"Ready to Fix",""))</f>
        <v/>
      </c>
    </row>
    <row r="4540" spans="6:6">
      <c r="F4540" s="1" t="str" cm="1">
        <f t="array" ref="F4540">_xlfn.LET(_xlpm.rowNum,MATCH(E4540,'glossaryterms-export'!C:C,0),
IF(AND(NOT(ISBLANK(INDEX('glossaryterms-export'!H:H,_xlpm.rowNum))),ISBLANK(INDEX('glossaryterms-export'!I:I,_xlpm.rowNum))),"Ready to Fix",""))</f>
        <v/>
      </c>
    </row>
    <row r="4541" spans="6:6">
      <c r="F4541" s="1" t="str" cm="1">
        <f t="array" ref="F4541">_xlfn.LET(_xlpm.rowNum,MATCH(E4541,'glossaryterms-export'!C:C,0),
IF(AND(NOT(ISBLANK(INDEX('glossaryterms-export'!H:H,_xlpm.rowNum))),ISBLANK(INDEX('glossaryterms-export'!I:I,_xlpm.rowNum))),"Ready to Fix",""))</f>
        <v/>
      </c>
    </row>
    <row r="4542" spans="6:6">
      <c r="F4542" s="1" t="str" cm="1">
        <f t="array" ref="F4542">_xlfn.LET(_xlpm.rowNum,MATCH(E4542,'glossaryterms-export'!C:C,0),
IF(AND(NOT(ISBLANK(INDEX('glossaryterms-export'!H:H,_xlpm.rowNum))),ISBLANK(INDEX('glossaryterms-export'!I:I,_xlpm.rowNum))),"Ready to Fix",""))</f>
        <v/>
      </c>
    </row>
    <row r="4543" spans="6:6">
      <c r="F4543" s="1" t="str" cm="1">
        <f t="array" ref="F4543">_xlfn.LET(_xlpm.rowNum,MATCH(E4543,'glossaryterms-export'!C:C,0),
IF(AND(NOT(ISBLANK(INDEX('glossaryterms-export'!H:H,_xlpm.rowNum))),ISBLANK(INDEX('glossaryterms-export'!I:I,_xlpm.rowNum))),"Ready to Fix",""))</f>
        <v/>
      </c>
    </row>
    <row r="4544" spans="6:6">
      <c r="F4544" s="1" t="str" cm="1">
        <f t="array" ref="F4544">_xlfn.LET(_xlpm.rowNum,MATCH(E4544,'glossaryterms-export'!C:C,0),
IF(AND(NOT(ISBLANK(INDEX('glossaryterms-export'!H:H,_xlpm.rowNum))),ISBLANK(INDEX('glossaryterms-export'!I:I,_xlpm.rowNum))),"Ready to Fix",""))</f>
        <v/>
      </c>
    </row>
    <row r="4545" spans="6:6">
      <c r="F4545" s="1" t="str" cm="1">
        <f t="array" ref="F4545">_xlfn.LET(_xlpm.rowNum,MATCH(E4545,'glossaryterms-export'!C:C,0),
IF(AND(NOT(ISBLANK(INDEX('glossaryterms-export'!H:H,_xlpm.rowNum))),ISBLANK(INDEX('glossaryterms-export'!I:I,_xlpm.rowNum))),"Ready to Fix",""))</f>
        <v/>
      </c>
    </row>
    <row r="4546" spans="6:6">
      <c r="F4546" s="1" t="str" cm="1">
        <f t="array" ref="F4546">_xlfn.LET(_xlpm.rowNum,MATCH(E4546,'glossaryterms-export'!C:C,0),
IF(AND(NOT(ISBLANK(INDEX('glossaryterms-export'!H:H,_xlpm.rowNum))),ISBLANK(INDEX('glossaryterms-export'!I:I,_xlpm.rowNum))),"Ready to Fix",""))</f>
        <v/>
      </c>
    </row>
    <row r="4547" spans="6:6">
      <c r="F4547" s="1" t="str" cm="1">
        <f t="array" ref="F4547">_xlfn.LET(_xlpm.rowNum,MATCH(E4547,'glossaryterms-export'!C:C,0),
IF(AND(NOT(ISBLANK(INDEX('glossaryterms-export'!H:H,_xlpm.rowNum))),ISBLANK(INDEX('glossaryterms-export'!I:I,_xlpm.rowNum))),"Ready to Fix",""))</f>
        <v/>
      </c>
    </row>
    <row r="4548" spans="6:6">
      <c r="F4548" s="1" t="str" cm="1">
        <f t="array" ref="F4548">_xlfn.LET(_xlpm.rowNum,MATCH(E4548,'glossaryterms-export'!C:C,0),
IF(AND(NOT(ISBLANK(INDEX('glossaryterms-export'!H:H,_xlpm.rowNum))),ISBLANK(INDEX('glossaryterms-export'!I:I,_xlpm.rowNum))),"Ready to Fix",""))</f>
        <v/>
      </c>
    </row>
    <row r="4549" spans="6:6">
      <c r="F4549" s="1" t="str" cm="1">
        <f t="array" ref="F4549">_xlfn.LET(_xlpm.rowNum,MATCH(E4549,'glossaryterms-export'!C:C,0),
IF(AND(NOT(ISBLANK(INDEX('glossaryterms-export'!H:H,_xlpm.rowNum))),ISBLANK(INDEX('glossaryterms-export'!I:I,_xlpm.rowNum))),"Ready to Fix",""))</f>
        <v/>
      </c>
    </row>
    <row r="4550" spans="6:6">
      <c r="F4550" s="1" t="str" cm="1">
        <f t="array" ref="F4550">_xlfn.LET(_xlpm.rowNum,MATCH(E4550,'glossaryterms-export'!C:C,0),
IF(AND(NOT(ISBLANK(INDEX('glossaryterms-export'!H:H,_xlpm.rowNum))),ISBLANK(INDEX('glossaryterms-export'!I:I,_xlpm.rowNum))),"Ready to Fix",""))</f>
        <v/>
      </c>
    </row>
    <row r="4551" spans="6:6">
      <c r="F4551" s="1" t="str" cm="1">
        <f t="array" ref="F4551">_xlfn.LET(_xlpm.rowNum,MATCH(E4551,'glossaryterms-export'!C:C,0),
IF(AND(NOT(ISBLANK(INDEX('glossaryterms-export'!H:H,_xlpm.rowNum))),ISBLANK(INDEX('glossaryterms-export'!I:I,_xlpm.rowNum))),"Ready to Fix",""))</f>
        <v/>
      </c>
    </row>
    <row r="4552" spans="6:6">
      <c r="F4552" s="1" t="str" cm="1">
        <f t="array" ref="F4552">_xlfn.LET(_xlpm.rowNum,MATCH(E4552,'glossaryterms-export'!C:C,0),
IF(AND(NOT(ISBLANK(INDEX('glossaryterms-export'!H:H,_xlpm.rowNum))),ISBLANK(INDEX('glossaryterms-export'!I:I,_xlpm.rowNum))),"Ready to Fix",""))</f>
        <v/>
      </c>
    </row>
    <row r="4553" spans="6:6">
      <c r="F4553" s="1" t="str" cm="1">
        <f t="array" ref="F4553">_xlfn.LET(_xlpm.rowNum,MATCH(E4553,'glossaryterms-export'!C:C,0),
IF(AND(NOT(ISBLANK(INDEX('glossaryterms-export'!H:H,_xlpm.rowNum))),ISBLANK(INDEX('glossaryterms-export'!I:I,_xlpm.rowNum))),"Ready to Fix",""))</f>
        <v/>
      </c>
    </row>
    <row r="4554" spans="6:6">
      <c r="F4554" s="1" t="str" cm="1">
        <f t="array" ref="F4554">_xlfn.LET(_xlpm.rowNum,MATCH(E4554,'glossaryterms-export'!C:C,0),
IF(AND(NOT(ISBLANK(INDEX('glossaryterms-export'!H:H,_xlpm.rowNum))),ISBLANK(INDEX('glossaryterms-export'!I:I,_xlpm.rowNum))),"Ready to Fix",""))</f>
        <v/>
      </c>
    </row>
    <row r="4555" spans="6:6">
      <c r="F4555" s="1" t="str" cm="1">
        <f t="array" ref="F4555">_xlfn.LET(_xlpm.rowNum,MATCH(E4555,'glossaryterms-export'!C:C,0),
IF(AND(NOT(ISBLANK(INDEX('glossaryterms-export'!H:H,_xlpm.rowNum))),ISBLANK(INDEX('glossaryterms-export'!I:I,_xlpm.rowNum))),"Ready to Fix",""))</f>
        <v/>
      </c>
    </row>
    <row r="4556" spans="6:6">
      <c r="F4556" s="1" t="str" cm="1">
        <f t="array" ref="F4556">_xlfn.LET(_xlpm.rowNum,MATCH(E4556,'glossaryterms-export'!C:C,0),
IF(AND(NOT(ISBLANK(INDEX('glossaryterms-export'!H:H,_xlpm.rowNum))),ISBLANK(INDEX('glossaryterms-export'!I:I,_xlpm.rowNum))),"Ready to Fix",""))</f>
        <v/>
      </c>
    </row>
    <row r="4557" spans="6:6">
      <c r="F4557" s="1" t="str" cm="1">
        <f t="array" ref="F4557">_xlfn.LET(_xlpm.rowNum,MATCH(E4557,'glossaryterms-export'!C:C,0),
IF(AND(NOT(ISBLANK(INDEX('glossaryterms-export'!H:H,_xlpm.rowNum))),ISBLANK(INDEX('glossaryterms-export'!I:I,_xlpm.rowNum))),"Ready to Fix",""))</f>
        <v/>
      </c>
    </row>
    <row r="4558" spans="6:6">
      <c r="F4558" s="1" t="str" cm="1">
        <f t="array" ref="F4558">_xlfn.LET(_xlpm.rowNum,MATCH(E4558,'glossaryterms-export'!C:C,0),
IF(AND(NOT(ISBLANK(INDEX('glossaryterms-export'!H:H,_xlpm.rowNum))),ISBLANK(INDEX('glossaryterms-export'!I:I,_xlpm.rowNum))),"Ready to Fix",""))</f>
        <v/>
      </c>
    </row>
    <row r="4559" spans="6:6">
      <c r="F4559" s="1" t="str" cm="1">
        <f t="array" ref="F4559">_xlfn.LET(_xlpm.rowNum,MATCH(E4559,'glossaryterms-export'!C:C,0),
IF(AND(NOT(ISBLANK(INDEX('glossaryterms-export'!H:H,_xlpm.rowNum))),ISBLANK(INDEX('glossaryterms-export'!I:I,_xlpm.rowNum))),"Ready to Fix",""))</f>
        <v/>
      </c>
    </row>
    <row r="4560" spans="6:6">
      <c r="F4560" s="1" t="str" cm="1">
        <f t="array" ref="F4560">_xlfn.LET(_xlpm.rowNum,MATCH(E4560,'glossaryterms-export'!C:C,0),
IF(AND(NOT(ISBLANK(INDEX('glossaryterms-export'!H:H,_xlpm.rowNum))),ISBLANK(INDEX('glossaryterms-export'!I:I,_xlpm.rowNum))),"Ready to Fix",""))</f>
        <v/>
      </c>
    </row>
    <row r="4561" spans="6:6">
      <c r="F4561" s="1" t="str" cm="1">
        <f t="array" ref="F4561">_xlfn.LET(_xlpm.rowNum,MATCH(E4561,'glossaryterms-export'!C:C,0),
IF(AND(NOT(ISBLANK(INDEX('glossaryterms-export'!H:H,_xlpm.rowNum))),ISBLANK(INDEX('glossaryterms-export'!I:I,_xlpm.rowNum))),"Ready to Fix",""))</f>
        <v/>
      </c>
    </row>
    <row r="4562" spans="6:6">
      <c r="F4562" s="1" t="str" cm="1">
        <f t="array" ref="F4562">_xlfn.LET(_xlpm.rowNum,MATCH(E4562,'glossaryterms-export'!C:C,0),
IF(AND(NOT(ISBLANK(INDEX('glossaryterms-export'!H:H,_xlpm.rowNum))),ISBLANK(INDEX('glossaryterms-export'!I:I,_xlpm.rowNum))),"Ready to Fix",""))</f>
        <v/>
      </c>
    </row>
    <row r="4563" spans="6:6">
      <c r="F4563" s="1" t="str" cm="1">
        <f t="array" ref="F4563">_xlfn.LET(_xlpm.rowNum,MATCH(E4563,'glossaryterms-export'!C:C,0),
IF(AND(NOT(ISBLANK(INDEX('glossaryterms-export'!H:H,_xlpm.rowNum))),ISBLANK(INDEX('glossaryterms-export'!I:I,_xlpm.rowNum))),"Ready to Fix",""))</f>
        <v/>
      </c>
    </row>
    <row r="4564" spans="6:6">
      <c r="F4564" s="1" t="str" cm="1">
        <f t="array" ref="F4564">_xlfn.LET(_xlpm.rowNum,MATCH(E4564,'glossaryterms-export'!C:C,0),
IF(AND(NOT(ISBLANK(INDEX('glossaryterms-export'!H:H,_xlpm.rowNum))),ISBLANK(INDEX('glossaryterms-export'!I:I,_xlpm.rowNum))),"Ready to Fix",""))</f>
        <v/>
      </c>
    </row>
    <row r="4565" spans="6:6">
      <c r="F4565" s="1" t="str" cm="1">
        <f t="array" ref="F4565">_xlfn.LET(_xlpm.rowNum,MATCH(E4565,'glossaryterms-export'!C:C,0),
IF(AND(NOT(ISBLANK(INDEX('glossaryterms-export'!H:H,_xlpm.rowNum))),ISBLANK(INDEX('glossaryterms-export'!I:I,_xlpm.rowNum))),"Ready to Fix",""))</f>
        <v/>
      </c>
    </row>
    <row r="4566" spans="6:6">
      <c r="F4566" s="1" t="str" cm="1">
        <f t="array" ref="F4566">_xlfn.LET(_xlpm.rowNum,MATCH(E4566,'glossaryterms-export'!C:C,0),
IF(AND(NOT(ISBLANK(INDEX('glossaryterms-export'!H:H,_xlpm.rowNum))),ISBLANK(INDEX('glossaryterms-export'!I:I,_xlpm.rowNum))),"Ready to Fix",""))</f>
        <v/>
      </c>
    </row>
    <row r="4567" spans="6:6">
      <c r="F4567" s="1" t="str" cm="1">
        <f t="array" ref="F4567">_xlfn.LET(_xlpm.rowNum,MATCH(E4567,'glossaryterms-export'!C:C,0),
IF(AND(NOT(ISBLANK(INDEX('glossaryterms-export'!H:H,_xlpm.rowNum))),ISBLANK(INDEX('glossaryterms-export'!I:I,_xlpm.rowNum))),"Ready to Fix",""))</f>
        <v/>
      </c>
    </row>
    <row r="4568" spans="6:6">
      <c r="F4568" s="1" t="str" cm="1">
        <f t="array" ref="F4568">_xlfn.LET(_xlpm.rowNum,MATCH(E4568,'glossaryterms-export'!C:C,0),
IF(AND(NOT(ISBLANK(INDEX('glossaryterms-export'!H:H,_xlpm.rowNum))),ISBLANK(INDEX('glossaryterms-export'!I:I,_xlpm.rowNum))),"Ready to Fix",""))</f>
        <v/>
      </c>
    </row>
    <row r="4569" spans="6:6">
      <c r="F4569" s="1" t="str" cm="1">
        <f t="array" ref="F4569">_xlfn.LET(_xlpm.rowNum,MATCH(E4569,'glossaryterms-export'!C:C,0),
IF(AND(NOT(ISBLANK(INDEX('glossaryterms-export'!H:H,_xlpm.rowNum))),ISBLANK(INDEX('glossaryterms-export'!I:I,_xlpm.rowNum))),"Ready to Fix",""))</f>
        <v/>
      </c>
    </row>
    <row r="4570" spans="6:6">
      <c r="F4570" s="1" t="str" cm="1">
        <f t="array" ref="F4570">_xlfn.LET(_xlpm.rowNum,MATCH(E4570,'glossaryterms-export'!C:C,0),
IF(AND(NOT(ISBLANK(INDEX('glossaryterms-export'!H:H,_xlpm.rowNum))),ISBLANK(INDEX('glossaryterms-export'!I:I,_xlpm.rowNum))),"Ready to Fix",""))</f>
        <v/>
      </c>
    </row>
    <row r="4571" spans="6:6">
      <c r="F4571" s="1" t="str" cm="1">
        <f t="array" ref="F4571">_xlfn.LET(_xlpm.rowNum,MATCH(E4571,'glossaryterms-export'!C:C,0),
IF(AND(NOT(ISBLANK(INDEX('glossaryterms-export'!H:H,_xlpm.rowNum))),ISBLANK(INDEX('glossaryterms-export'!I:I,_xlpm.rowNum))),"Ready to Fix",""))</f>
        <v/>
      </c>
    </row>
    <row r="4572" spans="6:6">
      <c r="F4572" s="1" t="str" cm="1">
        <f t="array" ref="F4572">_xlfn.LET(_xlpm.rowNum,MATCH(E4572,'glossaryterms-export'!C:C,0),
IF(AND(NOT(ISBLANK(INDEX('glossaryterms-export'!H:H,_xlpm.rowNum))),ISBLANK(INDEX('glossaryterms-export'!I:I,_xlpm.rowNum))),"Ready to Fix",""))</f>
        <v/>
      </c>
    </row>
    <row r="4573" spans="6:6">
      <c r="F4573" s="1" t="str" cm="1">
        <f t="array" ref="F4573">_xlfn.LET(_xlpm.rowNum,MATCH(E4573,'glossaryterms-export'!C:C,0),
IF(AND(NOT(ISBLANK(INDEX('glossaryterms-export'!H:H,_xlpm.rowNum))),ISBLANK(INDEX('glossaryterms-export'!I:I,_xlpm.rowNum))),"Ready to Fix",""))</f>
        <v/>
      </c>
    </row>
    <row r="4574" spans="6:6">
      <c r="F4574" s="1" t="str" cm="1">
        <f t="array" ref="F4574">_xlfn.LET(_xlpm.rowNum,MATCH(E4574,'glossaryterms-export'!C:C,0),
IF(AND(NOT(ISBLANK(INDEX('glossaryterms-export'!H:H,_xlpm.rowNum))),ISBLANK(INDEX('glossaryterms-export'!I:I,_xlpm.rowNum))),"Ready to Fix",""))</f>
        <v/>
      </c>
    </row>
    <row r="4575" spans="6:6">
      <c r="F4575" s="1" t="str" cm="1">
        <f t="array" ref="F4575">_xlfn.LET(_xlpm.rowNum,MATCH(E4575,'glossaryterms-export'!C:C,0),
IF(AND(NOT(ISBLANK(INDEX('glossaryterms-export'!H:H,_xlpm.rowNum))),ISBLANK(INDEX('glossaryterms-export'!I:I,_xlpm.rowNum))),"Ready to Fix",""))</f>
        <v/>
      </c>
    </row>
    <row r="4576" spans="6:6">
      <c r="F4576" s="1" t="str" cm="1">
        <f t="array" ref="F4576">_xlfn.LET(_xlpm.rowNum,MATCH(E4576,'glossaryterms-export'!C:C,0),
IF(AND(NOT(ISBLANK(INDEX('glossaryterms-export'!H:H,_xlpm.rowNum))),ISBLANK(INDEX('glossaryterms-export'!I:I,_xlpm.rowNum))),"Ready to Fix",""))</f>
        <v/>
      </c>
    </row>
    <row r="4577" spans="6:6">
      <c r="F4577" s="1" t="str" cm="1">
        <f t="array" ref="F4577">_xlfn.LET(_xlpm.rowNum,MATCH(E4577,'glossaryterms-export'!C:C,0),
IF(AND(NOT(ISBLANK(INDEX('glossaryterms-export'!H:H,_xlpm.rowNum))),ISBLANK(INDEX('glossaryterms-export'!I:I,_xlpm.rowNum))),"Ready to Fix",""))</f>
        <v/>
      </c>
    </row>
    <row r="4578" spans="6:6">
      <c r="F4578" s="1" t="str" cm="1">
        <f t="array" ref="F4578">_xlfn.LET(_xlpm.rowNum,MATCH(E4578,'glossaryterms-export'!C:C,0),
IF(AND(NOT(ISBLANK(INDEX('glossaryterms-export'!H:H,_xlpm.rowNum))),ISBLANK(INDEX('glossaryterms-export'!I:I,_xlpm.rowNum))),"Ready to Fix",""))</f>
        <v/>
      </c>
    </row>
    <row r="4579" spans="6:6">
      <c r="F4579" s="1" t="str" cm="1">
        <f t="array" ref="F4579">_xlfn.LET(_xlpm.rowNum,MATCH(E4579,'glossaryterms-export'!C:C,0),
IF(AND(NOT(ISBLANK(INDEX('glossaryterms-export'!H:H,_xlpm.rowNum))),ISBLANK(INDEX('glossaryterms-export'!I:I,_xlpm.rowNum))),"Ready to Fix",""))</f>
        <v/>
      </c>
    </row>
    <row r="4580" spans="6:6">
      <c r="F4580" s="1" t="str" cm="1">
        <f t="array" ref="F4580">_xlfn.LET(_xlpm.rowNum,MATCH(E4580,'glossaryterms-export'!C:C,0),
IF(AND(NOT(ISBLANK(INDEX('glossaryterms-export'!H:H,_xlpm.rowNum))),ISBLANK(INDEX('glossaryterms-export'!I:I,_xlpm.rowNum))),"Ready to Fix",""))</f>
        <v/>
      </c>
    </row>
    <row r="4581" spans="6:6">
      <c r="F4581" s="1" t="str" cm="1">
        <f t="array" ref="F4581">_xlfn.LET(_xlpm.rowNum,MATCH(E4581,'glossaryterms-export'!C:C,0),
IF(AND(NOT(ISBLANK(INDEX('glossaryterms-export'!H:H,_xlpm.rowNum))),ISBLANK(INDEX('glossaryterms-export'!I:I,_xlpm.rowNum))),"Ready to Fix",""))</f>
        <v/>
      </c>
    </row>
    <row r="4582" spans="6:6">
      <c r="F4582" s="1" t="str" cm="1">
        <f t="array" ref="F4582">_xlfn.LET(_xlpm.rowNum,MATCH(E4582,'glossaryterms-export'!C:C,0),
IF(AND(NOT(ISBLANK(INDEX('glossaryterms-export'!H:H,_xlpm.rowNum))),ISBLANK(INDEX('glossaryterms-export'!I:I,_xlpm.rowNum))),"Ready to Fix",""))</f>
        <v/>
      </c>
    </row>
    <row r="4583" spans="6:6">
      <c r="F4583" s="1" t="str" cm="1">
        <f t="array" ref="F4583">_xlfn.LET(_xlpm.rowNum,MATCH(E4583,'glossaryterms-export'!C:C,0),
IF(AND(NOT(ISBLANK(INDEX('glossaryterms-export'!H:H,_xlpm.rowNum))),ISBLANK(INDEX('glossaryterms-export'!I:I,_xlpm.rowNum))),"Ready to Fix",""))</f>
        <v/>
      </c>
    </row>
    <row r="4584" spans="6:6">
      <c r="F4584" s="1" t="str" cm="1">
        <f t="array" ref="F4584">_xlfn.LET(_xlpm.rowNum,MATCH(E4584,'glossaryterms-export'!C:C,0),
IF(AND(NOT(ISBLANK(INDEX('glossaryterms-export'!H:H,_xlpm.rowNum))),ISBLANK(INDEX('glossaryterms-export'!I:I,_xlpm.rowNum))),"Ready to Fix",""))</f>
        <v/>
      </c>
    </row>
    <row r="4585" spans="6:6">
      <c r="F4585" s="1" t="str" cm="1">
        <f t="array" ref="F4585">_xlfn.LET(_xlpm.rowNum,MATCH(E4585,'glossaryterms-export'!C:C,0),
IF(AND(NOT(ISBLANK(INDEX('glossaryterms-export'!H:H,_xlpm.rowNum))),ISBLANK(INDEX('glossaryterms-export'!I:I,_xlpm.rowNum))),"Ready to Fix",""))</f>
        <v/>
      </c>
    </row>
    <row r="4586" spans="6:6">
      <c r="F4586" s="1" t="str" cm="1">
        <f t="array" ref="F4586">_xlfn.LET(_xlpm.rowNum,MATCH(E4586,'glossaryterms-export'!C:C,0),
IF(AND(NOT(ISBLANK(INDEX('glossaryterms-export'!H:H,_xlpm.rowNum))),ISBLANK(INDEX('glossaryterms-export'!I:I,_xlpm.rowNum))),"Ready to Fix",""))</f>
        <v/>
      </c>
    </row>
    <row r="4587" spans="6:6">
      <c r="F4587" s="1" t="str" cm="1">
        <f t="array" ref="F4587">_xlfn.LET(_xlpm.rowNum,MATCH(E4587,'glossaryterms-export'!C:C,0),
IF(AND(NOT(ISBLANK(INDEX('glossaryterms-export'!H:H,_xlpm.rowNum))),ISBLANK(INDEX('glossaryterms-export'!I:I,_xlpm.rowNum))),"Ready to Fix",""))</f>
        <v/>
      </c>
    </row>
    <row r="4588" spans="6:6">
      <c r="F4588" s="1" t="str" cm="1">
        <f t="array" ref="F4588">_xlfn.LET(_xlpm.rowNum,MATCH(E4588,'glossaryterms-export'!C:C,0),
IF(AND(NOT(ISBLANK(INDEX('glossaryterms-export'!H:H,_xlpm.rowNum))),ISBLANK(INDEX('glossaryterms-export'!I:I,_xlpm.rowNum))),"Ready to Fix",""))</f>
        <v/>
      </c>
    </row>
    <row r="4589" spans="6:6">
      <c r="F4589" s="1" t="str" cm="1">
        <f t="array" ref="F4589">_xlfn.LET(_xlpm.rowNum,MATCH(E4589,'glossaryterms-export'!C:C,0),
IF(AND(NOT(ISBLANK(INDEX('glossaryterms-export'!H:H,_xlpm.rowNum))),ISBLANK(INDEX('glossaryterms-export'!I:I,_xlpm.rowNum))),"Ready to Fix",""))</f>
        <v/>
      </c>
    </row>
    <row r="4590" spans="6:6">
      <c r="F4590" s="1" t="str" cm="1">
        <f t="array" ref="F4590">_xlfn.LET(_xlpm.rowNum,MATCH(E4590,'glossaryterms-export'!C:C,0),
IF(AND(NOT(ISBLANK(INDEX('glossaryterms-export'!H:H,_xlpm.rowNum))),ISBLANK(INDEX('glossaryterms-export'!I:I,_xlpm.rowNum))),"Ready to Fix",""))</f>
        <v/>
      </c>
    </row>
    <row r="4591" spans="6:6">
      <c r="F4591" s="1" t="str" cm="1">
        <f t="array" ref="F4591">_xlfn.LET(_xlpm.rowNum,MATCH(E4591,'glossaryterms-export'!C:C,0),
IF(AND(NOT(ISBLANK(INDEX('glossaryterms-export'!H:H,_xlpm.rowNum))),ISBLANK(INDEX('glossaryterms-export'!I:I,_xlpm.rowNum))),"Ready to Fix",""))</f>
        <v/>
      </c>
    </row>
    <row r="4592" spans="6:6">
      <c r="F4592" s="1" t="str" cm="1">
        <f t="array" ref="F4592">_xlfn.LET(_xlpm.rowNum,MATCH(E4592,'glossaryterms-export'!C:C,0),
IF(AND(NOT(ISBLANK(INDEX('glossaryterms-export'!H:H,_xlpm.rowNum))),ISBLANK(INDEX('glossaryterms-export'!I:I,_xlpm.rowNum))),"Ready to Fix",""))</f>
        <v/>
      </c>
    </row>
    <row r="4593" spans="6:6">
      <c r="F4593" s="1" t="str" cm="1">
        <f t="array" ref="F4593">_xlfn.LET(_xlpm.rowNum,MATCH(E4593,'glossaryterms-export'!C:C,0),
IF(AND(NOT(ISBLANK(INDEX('glossaryterms-export'!H:H,_xlpm.rowNum))),ISBLANK(INDEX('glossaryterms-export'!I:I,_xlpm.rowNum))),"Ready to Fix",""))</f>
        <v/>
      </c>
    </row>
    <row r="4594" spans="6:6">
      <c r="F4594" s="1" t="str" cm="1">
        <f t="array" ref="F4594">_xlfn.LET(_xlpm.rowNum,MATCH(E4594,'glossaryterms-export'!C:C,0),
IF(AND(NOT(ISBLANK(INDEX('glossaryterms-export'!H:H,_xlpm.rowNum))),ISBLANK(INDEX('glossaryterms-export'!I:I,_xlpm.rowNum))),"Ready to Fix",""))</f>
        <v/>
      </c>
    </row>
    <row r="4595" spans="6:6">
      <c r="F4595" s="1" t="str" cm="1">
        <f t="array" ref="F4595">_xlfn.LET(_xlpm.rowNum,MATCH(E4595,'glossaryterms-export'!C:C,0),
IF(AND(NOT(ISBLANK(INDEX('glossaryterms-export'!H:H,_xlpm.rowNum))),ISBLANK(INDEX('glossaryterms-export'!I:I,_xlpm.rowNum))),"Ready to Fix",""))</f>
        <v/>
      </c>
    </row>
    <row r="4596" spans="6:6">
      <c r="F4596" s="1" t="str" cm="1">
        <f t="array" ref="F4596">_xlfn.LET(_xlpm.rowNum,MATCH(E4596,'glossaryterms-export'!C:C,0),
IF(AND(NOT(ISBLANK(INDEX('glossaryterms-export'!H:H,_xlpm.rowNum))),ISBLANK(INDEX('glossaryterms-export'!I:I,_xlpm.rowNum))),"Ready to Fix",""))</f>
        <v/>
      </c>
    </row>
    <row r="4597" spans="6:6">
      <c r="F4597" s="1" t="str" cm="1">
        <f t="array" ref="F4597">_xlfn.LET(_xlpm.rowNum,MATCH(E4597,'glossaryterms-export'!C:C,0),
IF(AND(NOT(ISBLANK(INDEX('glossaryterms-export'!H:H,_xlpm.rowNum))),ISBLANK(INDEX('glossaryterms-export'!I:I,_xlpm.rowNum))),"Ready to Fix",""))</f>
        <v/>
      </c>
    </row>
    <row r="4598" spans="6:6">
      <c r="F4598" s="1" t="str" cm="1">
        <f t="array" ref="F4598">_xlfn.LET(_xlpm.rowNum,MATCH(E4598,'glossaryterms-export'!C:C,0),
IF(AND(NOT(ISBLANK(INDEX('glossaryterms-export'!H:H,_xlpm.rowNum))),ISBLANK(INDEX('glossaryterms-export'!I:I,_xlpm.rowNum))),"Ready to Fix",""))</f>
        <v/>
      </c>
    </row>
    <row r="4599" spans="6:6">
      <c r="F4599" s="1" t="str" cm="1">
        <f t="array" ref="F4599">_xlfn.LET(_xlpm.rowNum,MATCH(E4599,'glossaryterms-export'!C:C,0),
IF(AND(NOT(ISBLANK(INDEX('glossaryterms-export'!H:H,_xlpm.rowNum))),ISBLANK(INDEX('glossaryterms-export'!I:I,_xlpm.rowNum))),"Ready to Fix",""))</f>
        <v/>
      </c>
    </row>
    <row r="4600" spans="6:6">
      <c r="F4600" s="1" t="str" cm="1">
        <f t="array" ref="F4600">_xlfn.LET(_xlpm.rowNum,MATCH(E4600,'glossaryterms-export'!C:C,0),
IF(AND(NOT(ISBLANK(INDEX('glossaryterms-export'!H:H,_xlpm.rowNum))),ISBLANK(INDEX('glossaryterms-export'!I:I,_xlpm.rowNum))),"Ready to Fix",""))</f>
        <v/>
      </c>
    </row>
    <row r="4601" spans="6:6">
      <c r="F4601" s="1" t="str" cm="1">
        <f t="array" ref="F4601">_xlfn.LET(_xlpm.rowNum,MATCH(E4601,'glossaryterms-export'!C:C,0),
IF(AND(NOT(ISBLANK(INDEX('glossaryterms-export'!H:H,_xlpm.rowNum))),ISBLANK(INDEX('glossaryterms-export'!I:I,_xlpm.rowNum))),"Ready to Fix",""))</f>
        <v/>
      </c>
    </row>
    <row r="4602" spans="6:6">
      <c r="F4602" s="1" t="str" cm="1">
        <f t="array" ref="F4602">_xlfn.LET(_xlpm.rowNum,MATCH(E4602,'glossaryterms-export'!C:C,0),
IF(AND(NOT(ISBLANK(INDEX('glossaryterms-export'!H:H,_xlpm.rowNum))),ISBLANK(INDEX('glossaryterms-export'!I:I,_xlpm.rowNum))),"Ready to Fix",""))</f>
        <v/>
      </c>
    </row>
    <row r="4603" spans="6:6">
      <c r="F4603" s="1" t="str" cm="1">
        <f t="array" ref="F4603">_xlfn.LET(_xlpm.rowNum,MATCH(E4603,'glossaryterms-export'!C:C,0),
IF(AND(NOT(ISBLANK(INDEX('glossaryterms-export'!H:H,_xlpm.rowNum))),ISBLANK(INDEX('glossaryterms-export'!I:I,_xlpm.rowNum))),"Ready to Fix",""))</f>
        <v/>
      </c>
    </row>
    <row r="4604" spans="6:6">
      <c r="F4604" s="1" t="str" cm="1">
        <f t="array" ref="F4604">_xlfn.LET(_xlpm.rowNum,MATCH(E4604,'glossaryterms-export'!C:C,0),
IF(AND(NOT(ISBLANK(INDEX('glossaryterms-export'!H:H,_xlpm.rowNum))),ISBLANK(INDEX('glossaryterms-export'!I:I,_xlpm.rowNum))),"Ready to Fix",""))</f>
        <v/>
      </c>
    </row>
    <row r="4605" spans="6:6">
      <c r="F4605" s="1" t="str" cm="1">
        <f t="array" ref="F4605">_xlfn.LET(_xlpm.rowNum,MATCH(E4605,'glossaryterms-export'!C:C,0),
IF(AND(NOT(ISBLANK(INDEX('glossaryterms-export'!H:H,_xlpm.rowNum))),ISBLANK(INDEX('glossaryterms-export'!I:I,_xlpm.rowNum))),"Ready to Fix",""))</f>
        <v/>
      </c>
    </row>
    <row r="4606" spans="6:6">
      <c r="F4606" s="1" t="str" cm="1">
        <f t="array" ref="F4606">_xlfn.LET(_xlpm.rowNum,MATCH(E4606,'glossaryterms-export'!C:C,0),
IF(AND(NOT(ISBLANK(INDEX('glossaryterms-export'!H:H,_xlpm.rowNum))),ISBLANK(INDEX('glossaryterms-export'!I:I,_xlpm.rowNum))),"Ready to Fix",""))</f>
        <v/>
      </c>
    </row>
    <row r="4607" spans="6:6">
      <c r="F4607" s="1" t="str" cm="1">
        <f t="array" ref="F4607">_xlfn.LET(_xlpm.rowNum,MATCH(E4607,'glossaryterms-export'!C:C,0),
IF(AND(NOT(ISBLANK(INDEX('glossaryterms-export'!H:H,_xlpm.rowNum))),ISBLANK(INDEX('glossaryterms-export'!I:I,_xlpm.rowNum))),"Ready to Fix",""))</f>
        <v/>
      </c>
    </row>
    <row r="4608" spans="6:6">
      <c r="F4608" s="1" t="str" cm="1">
        <f t="array" ref="F4608">_xlfn.LET(_xlpm.rowNum,MATCH(E4608,'glossaryterms-export'!C:C,0),
IF(AND(NOT(ISBLANK(INDEX('glossaryterms-export'!H:H,_xlpm.rowNum))),ISBLANK(INDEX('glossaryterms-export'!I:I,_xlpm.rowNum))),"Ready to Fix",""))</f>
        <v/>
      </c>
    </row>
    <row r="4609" spans="6:6">
      <c r="F4609" s="1" t="str" cm="1">
        <f t="array" ref="F4609">_xlfn.LET(_xlpm.rowNum,MATCH(E4609,'glossaryterms-export'!C:C,0),
IF(AND(NOT(ISBLANK(INDEX('glossaryterms-export'!H:H,_xlpm.rowNum))),ISBLANK(INDEX('glossaryterms-export'!I:I,_xlpm.rowNum))),"Ready to Fix",""))</f>
        <v/>
      </c>
    </row>
    <row r="4610" spans="6:6">
      <c r="F4610" s="1" t="str" cm="1">
        <f t="array" ref="F4610">_xlfn.LET(_xlpm.rowNum,MATCH(E4610,'glossaryterms-export'!C:C,0),
IF(AND(NOT(ISBLANK(INDEX('glossaryterms-export'!H:H,_xlpm.rowNum))),ISBLANK(INDEX('glossaryterms-export'!I:I,_xlpm.rowNum))),"Ready to Fix",""))</f>
        <v/>
      </c>
    </row>
    <row r="4611" spans="6:6">
      <c r="F4611" s="1" t="str" cm="1">
        <f t="array" ref="F4611">_xlfn.LET(_xlpm.rowNum,MATCH(E4611,'glossaryterms-export'!C:C,0),
IF(AND(NOT(ISBLANK(INDEX('glossaryterms-export'!H:H,_xlpm.rowNum))),ISBLANK(INDEX('glossaryterms-export'!I:I,_xlpm.rowNum))),"Ready to Fix",""))</f>
        <v/>
      </c>
    </row>
    <row r="4612" spans="6:6">
      <c r="F4612" s="1" t="str" cm="1">
        <f t="array" ref="F4612">_xlfn.LET(_xlpm.rowNum,MATCH(E4612,'glossaryterms-export'!C:C,0),
IF(AND(NOT(ISBLANK(INDEX('glossaryterms-export'!H:H,_xlpm.rowNum))),ISBLANK(INDEX('glossaryterms-export'!I:I,_xlpm.rowNum))),"Ready to Fix",""))</f>
        <v/>
      </c>
    </row>
    <row r="4613" spans="6:6">
      <c r="F4613" s="1" t="str" cm="1">
        <f t="array" ref="F4613">_xlfn.LET(_xlpm.rowNum,MATCH(E4613,'glossaryterms-export'!C:C,0),
IF(AND(NOT(ISBLANK(INDEX('glossaryterms-export'!H:H,_xlpm.rowNum))),ISBLANK(INDEX('glossaryterms-export'!I:I,_xlpm.rowNum))),"Ready to Fix",""))</f>
        <v/>
      </c>
    </row>
    <row r="4614" spans="6:6">
      <c r="F4614" s="1" t="str" cm="1">
        <f t="array" ref="F4614">_xlfn.LET(_xlpm.rowNum,MATCH(E4614,'glossaryterms-export'!C:C,0),
IF(AND(NOT(ISBLANK(INDEX('glossaryterms-export'!H:H,_xlpm.rowNum))),ISBLANK(INDEX('glossaryterms-export'!I:I,_xlpm.rowNum))),"Ready to Fix",""))</f>
        <v/>
      </c>
    </row>
    <row r="4615" spans="6:6">
      <c r="F4615" s="1" t="str" cm="1">
        <f t="array" ref="F4615">_xlfn.LET(_xlpm.rowNum,MATCH(E4615,'glossaryterms-export'!C:C,0),
IF(AND(NOT(ISBLANK(INDEX('glossaryterms-export'!H:H,_xlpm.rowNum))),ISBLANK(INDEX('glossaryterms-export'!I:I,_xlpm.rowNum))),"Ready to Fix",""))</f>
        <v/>
      </c>
    </row>
    <row r="4616" spans="6:6">
      <c r="F4616" s="1" t="str" cm="1">
        <f t="array" ref="F4616">_xlfn.LET(_xlpm.rowNum,MATCH(E4616,'glossaryterms-export'!C:C,0),
IF(AND(NOT(ISBLANK(INDEX('glossaryterms-export'!H:H,_xlpm.rowNum))),ISBLANK(INDEX('glossaryterms-export'!I:I,_xlpm.rowNum))),"Ready to Fix",""))</f>
        <v/>
      </c>
    </row>
    <row r="4617" spans="6:6">
      <c r="F4617" s="1" t="str" cm="1">
        <f t="array" ref="F4617">_xlfn.LET(_xlpm.rowNum,MATCH(E4617,'glossaryterms-export'!C:C,0),
IF(AND(NOT(ISBLANK(INDEX('glossaryterms-export'!H:H,_xlpm.rowNum))),ISBLANK(INDEX('glossaryterms-export'!I:I,_xlpm.rowNum))),"Ready to Fix",""))</f>
        <v/>
      </c>
    </row>
    <row r="4618" spans="6:6">
      <c r="F4618" s="1" t="str" cm="1">
        <f t="array" ref="F4618">_xlfn.LET(_xlpm.rowNum,MATCH(E4618,'glossaryterms-export'!C:C,0),
IF(AND(NOT(ISBLANK(INDEX('glossaryterms-export'!H:H,_xlpm.rowNum))),ISBLANK(INDEX('glossaryterms-export'!I:I,_xlpm.rowNum))),"Ready to Fix",""))</f>
        <v/>
      </c>
    </row>
    <row r="4619" spans="6:6">
      <c r="F4619" s="1" t="str" cm="1">
        <f t="array" ref="F4619">_xlfn.LET(_xlpm.rowNum,MATCH(E4619,'glossaryterms-export'!C:C,0),
IF(AND(NOT(ISBLANK(INDEX('glossaryterms-export'!H:H,_xlpm.rowNum))),ISBLANK(INDEX('glossaryterms-export'!I:I,_xlpm.rowNum))),"Ready to Fix",""))</f>
        <v/>
      </c>
    </row>
    <row r="4620" spans="6:6">
      <c r="F4620" s="1" t="str" cm="1">
        <f t="array" ref="F4620">_xlfn.LET(_xlpm.rowNum,MATCH(E4620,'glossaryterms-export'!C:C,0),
IF(AND(NOT(ISBLANK(INDEX('glossaryterms-export'!H:H,_xlpm.rowNum))),ISBLANK(INDEX('glossaryterms-export'!I:I,_xlpm.rowNum))),"Ready to Fix",""))</f>
        <v/>
      </c>
    </row>
    <row r="4621" spans="6:6">
      <c r="F4621" s="1" t="str" cm="1">
        <f t="array" ref="F4621">_xlfn.LET(_xlpm.rowNum,MATCH(E4621,'glossaryterms-export'!C:C,0),
IF(AND(NOT(ISBLANK(INDEX('glossaryterms-export'!H:H,_xlpm.rowNum))),ISBLANK(INDEX('glossaryterms-export'!I:I,_xlpm.rowNum))),"Ready to Fix",""))</f>
        <v/>
      </c>
    </row>
    <row r="4622" spans="6:6">
      <c r="F4622" s="1" t="str" cm="1">
        <f t="array" ref="F4622">_xlfn.LET(_xlpm.rowNum,MATCH(E4622,'glossaryterms-export'!C:C,0),
IF(AND(NOT(ISBLANK(INDEX('glossaryterms-export'!H:H,_xlpm.rowNum))),ISBLANK(INDEX('glossaryterms-export'!I:I,_xlpm.rowNum))),"Ready to Fix",""))</f>
        <v/>
      </c>
    </row>
    <row r="4623" spans="6:6">
      <c r="F4623" s="1" t="str" cm="1">
        <f t="array" ref="F4623">_xlfn.LET(_xlpm.rowNum,MATCH(E4623,'glossaryterms-export'!C:C,0),
IF(AND(NOT(ISBLANK(INDEX('glossaryterms-export'!H:H,_xlpm.rowNum))),ISBLANK(INDEX('glossaryterms-export'!I:I,_xlpm.rowNum))),"Ready to Fix",""))</f>
        <v/>
      </c>
    </row>
    <row r="4624" spans="6:6">
      <c r="F4624" s="1" t="str" cm="1">
        <f t="array" ref="F4624">_xlfn.LET(_xlpm.rowNum,MATCH(E4624,'glossaryterms-export'!C:C,0),
IF(AND(NOT(ISBLANK(INDEX('glossaryterms-export'!H:H,_xlpm.rowNum))),ISBLANK(INDEX('glossaryterms-export'!I:I,_xlpm.rowNum))),"Ready to Fix",""))</f>
        <v/>
      </c>
    </row>
    <row r="4625" spans="6:6">
      <c r="F4625" s="1" t="str" cm="1">
        <f t="array" ref="F4625">_xlfn.LET(_xlpm.rowNum,MATCH(E4625,'glossaryterms-export'!C:C,0),
IF(AND(NOT(ISBLANK(INDEX('glossaryterms-export'!H:H,_xlpm.rowNum))),ISBLANK(INDEX('glossaryterms-export'!I:I,_xlpm.rowNum))),"Ready to Fix",""))</f>
        <v/>
      </c>
    </row>
    <row r="4626" spans="6:6">
      <c r="F4626" s="1" t="str" cm="1">
        <f t="array" ref="F4626">_xlfn.LET(_xlpm.rowNum,MATCH(E4626,'glossaryterms-export'!C:C,0),
IF(AND(NOT(ISBLANK(INDEX('glossaryterms-export'!H:H,_xlpm.rowNum))),ISBLANK(INDEX('glossaryterms-export'!I:I,_xlpm.rowNum))),"Ready to Fix",""))</f>
        <v/>
      </c>
    </row>
    <row r="4627" spans="6:6">
      <c r="F4627" s="1" t="str" cm="1">
        <f t="array" ref="F4627">_xlfn.LET(_xlpm.rowNum,MATCH(E4627,'glossaryterms-export'!C:C,0),
IF(AND(NOT(ISBLANK(INDEX('glossaryterms-export'!H:H,_xlpm.rowNum))),ISBLANK(INDEX('glossaryterms-export'!I:I,_xlpm.rowNum))),"Ready to Fix",""))</f>
        <v/>
      </c>
    </row>
    <row r="4628" spans="6:6">
      <c r="F4628" s="1" t="str" cm="1">
        <f t="array" ref="F4628">_xlfn.LET(_xlpm.rowNum,MATCH(E4628,'glossaryterms-export'!C:C,0),
IF(AND(NOT(ISBLANK(INDEX('glossaryterms-export'!H:H,_xlpm.rowNum))),ISBLANK(INDEX('glossaryterms-export'!I:I,_xlpm.rowNum))),"Ready to Fix",""))</f>
        <v/>
      </c>
    </row>
    <row r="4629" spans="6:6">
      <c r="F4629" s="1" t="str" cm="1">
        <f t="array" ref="F4629">_xlfn.LET(_xlpm.rowNum,MATCH(E4629,'glossaryterms-export'!C:C,0),
IF(AND(NOT(ISBLANK(INDEX('glossaryterms-export'!H:H,_xlpm.rowNum))),ISBLANK(INDEX('glossaryterms-export'!I:I,_xlpm.rowNum))),"Ready to Fix",""))</f>
        <v/>
      </c>
    </row>
    <row r="4630" spans="6:6">
      <c r="F4630" s="1" t="str" cm="1">
        <f t="array" ref="F4630">_xlfn.LET(_xlpm.rowNum,MATCH(E4630,'glossaryterms-export'!C:C,0),
IF(AND(NOT(ISBLANK(INDEX('glossaryterms-export'!H:H,_xlpm.rowNum))),ISBLANK(INDEX('glossaryterms-export'!I:I,_xlpm.rowNum))),"Ready to Fix",""))</f>
        <v/>
      </c>
    </row>
    <row r="4631" spans="6:6">
      <c r="F4631" s="1" t="str" cm="1">
        <f t="array" ref="F4631">_xlfn.LET(_xlpm.rowNum,MATCH(E4631,'glossaryterms-export'!C:C,0),
IF(AND(NOT(ISBLANK(INDEX('glossaryterms-export'!H:H,_xlpm.rowNum))),ISBLANK(INDEX('glossaryterms-export'!I:I,_xlpm.rowNum))),"Ready to Fix",""))</f>
        <v/>
      </c>
    </row>
    <row r="4632" spans="6:6">
      <c r="F4632" s="1" t="str" cm="1">
        <f t="array" ref="F4632">_xlfn.LET(_xlpm.rowNum,MATCH(E4632,'glossaryterms-export'!C:C,0),
IF(AND(NOT(ISBLANK(INDEX('glossaryterms-export'!H:H,_xlpm.rowNum))),ISBLANK(INDEX('glossaryterms-export'!I:I,_xlpm.rowNum))),"Ready to Fix",""))</f>
        <v/>
      </c>
    </row>
    <row r="4633" spans="6:6">
      <c r="F4633" s="1" t="str" cm="1">
        <f t="array" ref="F4633">_xlfn.LET(_xlpm.rowNum,MATCH(E4633,'glossaryterms-export'!C:C,0),
IF(AND(NOT(ISBLANK(INDEX('glossaryterms-export'!H:H,_xlpm.rowNum))),ISBLANK(INDEX('glossaryterms-export'!I:I,_xlpm.rowNum))),"Ready to Fix",""))</f>
        <v/>
      </c>
    </row>
    <row r="4634" spans="6:6">
      <c r="F4634" s="1" t="str" cm="1">
        <f t="array" ref="F4634">_xlfn.LET(_xlpm.rowNum,MATCH(E4634,'glossaryterms-export'!C:C,0),
IF(AND(NOT(ISBLANK(INDEX('glossaryterms-export'!H:H,_xlpm.rowNum))),ISBLANK(INDEX('glossaryterms-export'!I:I,_xlpm.rowNum))),"Ready to Fix",""))</f>
        <v/>
      </c>
    </row>
    <row r="4635" spans="6:6">
      <c r="F4635" s="1" t="str" cm="1">
        <f t="array" ref="F4635">_xlfn.LET(_xlpm.rowNum,MATCH(E4635,'glossaryterms-export'!C:C,0),
IF(AND(NOT(ISBLANK(INDEX('glossaryterms-export'!H:H,_xlpm.rowNum))),ISBLANK(INDEX('glossaryterms-export'!I:I,_xlpm.rowNum))),"Ready to Fix",""))</f>
        <v/>
      </c>
    </row>
    <row r="4636" spans="6:6">
      <c r="F4636" s="1" t="str" cm="1">
        <f t="array" ref="F4636">_xlfn.LET(_xlpm.rowNum,MATCH(E4636,'glossaryterms-export'!C:C,0),
IF(AND(NOT(ISBLANK(INDEX('glossaryterms-export'!H:H,_xlpm.rowNum))),ISBLANK(INDEX('glossaryterms-export'!I:I,_xlpm.rowNum))),"Ready to Fix",""))</f>
        <v/>
      </c>
    </row>
    <row r="4637" spans="6:6">
      <c r="F4637" s="1" t="str" cm="1">
        <f t="array" ref="F4637">_xlfn.LET(_xlpm.rowNum,MATCH(E4637,'glossaryterms-export'!C:C,0),
IF(AND(NOT(ISBLANK(INDEX('glossaryterms-export'!H:H,_xlpm.rowNum))),ISBLANK(INDEX('glossaryterms-export'!I:I,_xlpm.rowNum))),"Ready to Fix",""))</f>
        <v/>
      </c>
    </row>
    <row r="4638" spans="6:6">
      <c r="F4638" s="1" t="str" cm="1">
        <f t="array" ref="F4638">_xlfn.LET(_xlpm.rowNum,MATCH(E4638,'glossaryterms-export'!C:C,0),
IF(AND(NOT(ISBLANK(INDEX('glossaryterms-export'!H:H,_xlpm.rowNum))),ISBLANK(INDEX('glossaryterms-export'!I:I,_xlpm.rowNum))),"Ready to Fix",""))</f>
        <v/>
      </c>
    </row>
    <row r="4639" spans="6:6">
      <c r="F4639" s="1" t="str" cm="1">
        <f t="array" ref="F4639">_xlfn.LET(_xlpm.rowNum,MATCH(E4639,'glossaryterms-export'!C:C,0),
IF(AND(NOT(ISBLANK(INDEX('glossaryterms-export'!H:H,_xlpm.rowNum))),ISBLANK(INDEX('glossaryterms-export'!I:I,_xlpm.rowNum))),"Ready to Fix",""))</f>
        <v/>
      </c>
    </row>
    <row r="4640" spans="6:6">
      <c r="F4640" s="1" t="str" cm="1">
        <f t="array" ref="F4640">_xlfn.LET(_xlpm.rowNum,MATCH(E4640,'glossaryterms-export'!C:C,0),
IF(AND(NOT(ISBLANK(INDEX('glossaryterms-export'!H:H,_xlpm.rowNum))),ISBLANK(INDEX('glossaryterms-export'!I:I,_xlpm.rowNum))),"Ready to Fix",""))</f>
        <v/>
      </c>
    </row>
    <row r="4641" spans="6:6">
      <c r="F4641" s="1" t="str" cm="1">
        <f t="array" ref="F4641">_xlfn.LET(_xlpm.rowNum,MATCH(E4641,'glossaryterms-export'!C:C,0),
IF(AND(NOT(ISBLANK(INDEX('glossaryterms-export'!H:H,_xlpm.rowNum))),ISBLANK(INDEX('glossaryterms-export'!I:I,_xlpm.rowNum))),"Ready to Fix",""))</f>
        <v/>
      </c>
    </row>
    <row r="4642" spans="6:6">
      <c r="F4642" s="1" t="str" cm="1">
        <f t="array" ref="F4642">_xlfn.LET(_xlpm.rowNum,MATCH(E4642,'glossaryterms-export'!C:C,0),
IF(AND(NOT(ISBLANK(INDEX('glossaryterms-export'!H:H,_xlpm.rowNum))),ISBLANK(INDEX('glossaryterms-export'!I:I,_xlpm.rowNum))),"Ready to Fix",""))</f>
        <v/>
      </c>
    </row>
    <row r="4643" spans="6:6">
      <c r="F4643" s="1" t="str" cm="1">
        <f t="array" ref="F4643">_xlfn.LET(_xlpm.rowNum,MATCH(E4643,'glossaryterms-export'!C:C,0),
IF(AND(NOT(ISBLANK(INDEX('glossaryterms-export'!H:H,_xlpm.rowNum))),ISBLANK(INDEX('glossaryterms-export'!I:I,_xlpm.rowNum))),"Ready to Fix",""))</f>
        <v/>
      </c>
    </row>
    <row r="4644" spans="6:6">
      <c r="F4644" s="1" t="str" cm="1">
        <f t="array" ref="F4644">_xlfn.LET(_xlpm.rowNum,MATCH(E4644,'glossaryterms-export'!C:C,0),
IF(AND(NOT(ISBLANK(INDEX('glossaryterms-export'!H:H,_xlpm.rowNum))),ISBLANK(INDEX('glossaryterms-export'!I:I,_xlpm.rowNum))),"Ready to Fix",""))</f>
        <v/>
      </c>
    </row>
    <row r="4645" spans="6:6">
      <c r="F4645" s="1" t="str" cm="1">
        <f t="array" ref="F4645">_xlfn.LET(_xlpm.rowNum,MATCH(E4645,'glossaryterms-export'!C:C,0),
IF(AND(NOT(ISBLANK(INDEX('glossaryterms-export'!H:H,_xlpm.rowNum))),ISBLANK(INDEX('glossaryterms-export'!I:I,_xlpm.rowNum))),"Ready to Fix",""))</f>
        <v/>
      </c>
    </row>
    <row r="4646" spans="6:6">
      <c r="F4646" s="1" t="str" cm="1">
        <f t="array" ref="F4646">_xlfn.LET(_xlpm.rowNum,MATCH(E4646,'glossaryterms-export'!C:C,0),
IF(AND(NOT(ISBLANK(INDEX('glossaryterms-export'!H:H,_xlpm.rowNum))),ISBLANK(INDEX('glossaryterms-export'!I:I,_xlpm.rowNum))),"Ready to Fix",""))</f>
        <v/>
      </c>
    </row>
    <row r="4647" spans="6:6">
      <c r="F4647" s="1" t="str" cm="1">
        <f t="array" ref="F4647">_xlfn.LET(_xlpm.rowNum,MATCH(E4647,'glossaryterms-export'!C:C,0),
IF(AND(NOT(ISBLANK(INDEX('glossaryterms-export'!H:H,_xlpm.rowNum))),ISBLANK(INDEX('glossaryterms-export'!I:I,_xlpm.rowNum))),"Ready to Fix",""))</f>
        <v/>
      </c>
    </row>
    <row r="4648" spans="6:6">
      <c r="F4648" s="1" t="str" cm="1">
        <f t="array" ref="F4648">_xlfn.LET(_xlpm.rowNum,MATCH(E4648,'glossaryterms-export'!C:C,0),
IF(AND(NOT(ISBLANK(INDEX('glossaryterms-export'!H:H,_xlpm.rowNum))),ISBLANK(INDEX('glossaryterms-export'!I:I,_xlpm.rowNum))),"Ready to Fix",""))</f>
        <v/>
      </c>
    </row>
    <row r="4649" spans="6:6">
      <c r="F4649" s="1" t="str" cm="1">
        <f t="array" ref="F4649">_xlfn.LET(_xlpm.rowNum,MATCH(E4649,'glossaryterms-export'!C:C,0),
IF(AND(NOT(ISBLANK(INDEX('glossaryterms-export'!H:H,_xlpm.rowNum))),ISBLANK(INDEX('glossaryterms-export'!I:I,_xlpm.rowNum))),"Ready to Fix",""))</f>
        <v/>
      </c>
    </row>
    <row r="4650" spans="6:6">
      <c r="F4650" s="1" t="str" cm="1">
        <f t="array" ref="F4650">_xlfn.LET(_xlpm.rowNum,MATCH(E4650,'glossaryterms-export'!C:C,0),
IF(AND(NOT(ISBLANK(INDEX('glossaryterms-export'!H:H,_xlpm.rowNum))),ISBLANK(INDEX('glossaryterms-export'!I:I,_xlpm.rowNum))),"Ready to Fix",""))</f>
        <v/>
      </c>
    </row>
    <row r="4651" spans="6:6">
      <c r="F4651" s="1" t="str" cm="1">
        <f t="array" ref="F4651">_xlfn.LET(_xlpm.rowNum,MATCH(E4651,'glossaryterms-export'!C:C,0),
IF(AND(NOT(ISBLANK(INDEX('glossaryterms-export'!H:H,_xlpm.rowNum))),ISBLANK(INDEX('glossaryterms-export'!I:I,_xlpm.rowNum))),"Ready to Fix",""))</f>
        <v/>
      </c>
    </row>
    <row r="4652" spans="6:6">
      <c r="F4652" s="1" t="str" cm="1">
        <f t="array" ref="F4652">_xlfn.LET(_xlpm.rowNum,MATCH(E4652,'glossaryterms-export'!C:C,0),
IF(AND(NOT(ISBLANK(INDEX('glossaryterms-export'!H:H,_xlpm.rowNum))),ISBLANK(INDEX('glossaryterms-export'!I:I,_xlpm.rowNum))),"Ready to Fix",""))</f>
        <v/>
      </c>
    </row>
    <row r="4653" spans="6:6">
      <c r="F4653" s="1" t="str" cm="1">
        <f t="array" ref="F4653">_xlfn.LET(_xlpm.rowNum,MATCH(E4653,'glossaryterms-export'!C:C,0),
IF(AND(NOT(ISBLANK(INDEX('glossaryterms-export'!H:H,_xlpm.rowNum))),ISBLANK(INDEX('glossaryterms-export'!I:I,_xlpm.rowNum))),"Ready to Fix",""))</f>
        <v/>
      </c>
    </row>
    <row r="4654" spans="6:6">
      <c r="F4654" s="1" t="str" cm="1">
        <f t="array" ref="F4654">_xlfn.LET(_xlpm.rowNum,MATCH(E4654,'glossaryterms-export'!C:C,0),
IF(AND(NOT(ISBLANK(INDEX('glossaryterms-export'!H:H,_xlpm.rowNum))),ISBLANK(INDEX('glossaryterms-export'!I:I,_xlpm.rowNum))),"Ready to Fix",""))</f>
        <v/>
      </c>
    </row>
    <row r="4655" spans="6:6">
      <c r="F4655" s="1" t="str" cm="1">
        <f t="array" ref="F4655">_xlfn.LET(_xlpm.rowNum,MATCH(E4655,'glossaryterms-export'!C:C,0),
IF(AND(NOT(ISBLANK(INDEX('glossaryterms-export'!H:H,_xlpm.rowNum))),ISBLANK(INDEX('glossaryterms-export'!I:I,_xlpm.rowNum))),"Ready to Fix",""))</f>
        <v/>
      </c>
    </row>
    <row r="4656" spans="6:6">
      <c r="F4656" s="1" t="str" cm="1">
        <f t="array" ref="F4656">_xlfn.LET(_xlpm.rowNum,MATCH(E4656,'glossaryterms-export'!C:C,0),
IF(AND(NOT(ISBLANK(INDEX('glossaryterms-export'!H:H,_xlpm.rowNum))),ISBLANK(INDEX('glossaryterms-export'!I:I,_xlpm.rowNum))),"Ready to Fix",""))</f>
        <v/>
      </c>
    </row>
    <row r="4657" spans="6:6">
      <c r="F4657" s="1" t="str" cm="1">
        <f t="array" ref="F4657">_xlfn.LET(_xlpm.rowNum,MATCH(E4657,'glossaryterms-export'!C:C,0),
IF(AND(NOT(ISBLANK(INDEX('glossaryterms-export'!H:H,_xlpm.rowNum))),ISBLANK(INDEX('glossaryterms-export'!I:I,_xlpm.rowNum))),"Ready to Fix",""))</f>
        <v/>
      </c>
    </row>
    <row r="4658" spans="6:6">
      <c r="F4658" s="1" t="str" cm="1">
        <f t="array" ref="F4658">_xlfn.LET(_xlpm.rowNum,MATCH(E4658,'glossaryterms-export'!C:C,0),
IF(AND(NOT(ISBLANK(INDEX('glossaryterms-export'!H:H,_xlpm.rowNum))),ISBLANK(INDEX('glossaryterms-export'!I:I,_xlpm.rowNum))),"Ready to Fix",""))</f>
        <v/>
      </c>
    </row>
    <row r="4659" spans="6:6">
      <c r="F4659" s="1" t="str" cm="1">
        <f t="array" ref="F4659">_xlfn.LET(_xlpm.rowNum,MATCH(E4659,'glossaryterms-export'!C:C,0),
IF(AND(NOT(ISBLANK(INDEX('glossaryterms-export'!H:H,_xlpm.rowNum))),ISBLANK(INDEX('glossaryterms-export'!I:I,_xlpm.rowNum))),"Ready to Fix",""))</f>
        <v/>
      </c>
    </row>
    <row r="4660" spans="6:6">
      <c r="F4660" s="1" t="str" cm="1">
        <f t="array" ref="F4660">_xlfn.LET(_xlpm.rowNum,MATCH(E4660,'glossaryterms-export'!C:C,0),
IF(AND(NOT(ISBLANK(INDEX('glossaryterms-export'!H:H,_xlpm.rowNum))),ISBLANK(INDEX('glossaryterms-export'!I:I,_xlpm.rowNum))),"Ready to Fix",""))</f>
        <v/>
      </c>
    </row>
    <row r="4661" spans="6:6">
      <c r="F4661" s="1" t="str" cm="1">
        <f t="array" ref="F4661">_xlfn.LET(_xlpm.rowNum,MATCH(E4661,'glossaryterms-export'!C:C,0),
IF(AND(NOT(ISBLANK(INDEX('glossaryterms-export'!H:H,_xlpm.rowNum))),ISBLANK(INDEX('glossaryterms-export'!I:I,_xlpm.rowNum))),"Ready to Fix",""))</f>
        <v/>
      </c>
    </row>
    <row r="4662" spans="6:6">
      <c r="F4662" s="1" t="str" cm="1">
        <f t="array" ref="F4662">_xlfn.LET(_xlpm.rowNum,MATCH(E4662,'glossaryterms-export'!C:C,0),
IF(AND(NOT(ISBLANK(INDEX('glossaryterms-export'!H:H,_xlpm.rowNum))),ISBLANK(INDEX('glossaryterms-export'!I:I,_xlpm.rowNum))),"Ready to Fix",""))</f>
        <v/>
      </c>
    </row>
    <row r="4663" spans="6:6">
      <c r="F4663" s="1" t="str" cm="1">
        <f t="array" ref="F4663">_xlfn.LET(_xlpm.rowNum,MATCH(E4663,'glossaryterms-export'!C:C,0),
IF(AND(NOT(ISBLANK(INDEX('glossaryterms-export'!H:H,_xlpm.rowNum))),ISBLANK(INDEX('glossaryterms-export'!I:I,_xlpm.rowNum))),"Ready to Fix",""))</f>
        <v/>
      </c>
    </row>
    <row r="4664" spans="6:6">
      <c r="F4664" s="1" t="str" cm="1">
        <f t="array" ref="F4664">_xlfn.LET(_xlpm.rowNum,MATCH(E4664,'glossaryterms-export'!C:C,0),
IF(AND(NOT(ISBLANK(INDEX('glossaryterms-export'!H:H,_xlpm.rowNum))),ISBLANK(INDEX('glossaryterms-export'!I:I,_xlpm.rowNum))),"Ready to Fix",""))</f>
        <v/>
      </c>
    </row>
    <row r="4665" spans="6:6">
      <c r="F4665" s="1" t="str" cm="1">
        <f t="array" ref="F4665">_xlfn.LET(_xlpm.rowNum,MATCH(E4665,'glossaryterms-export'!C:C,0),
IF(AND(NOT(ISBLANK(INDEX('glossaryterms-export'!H:H,_xlpm.rowNum))),ISBLANK(INDEX('glossaryterms-export'!I:I,_xlpm.rowNum))),"Ready to Fix",""))</f>
        <v/>
      </c>
    </row>
    <row r="4666" spans="6:6">
      <c r="F4666" s="1" t="str" cm="1">
        <f t="array" ref="F4666">_xlfn.LET(_xlpm.rowNum,MATCH(E4666,'glossaryterms-export'!C:C,0),
IF(AND(NOT(ISBLANK(INDEX('glossaryterms-export'!H:H,_xlpm.rowNum))),ISBLANK(INDEX('glossaryterms-export'!I:I,_xlpm.rowNum))),"Ready to Fix",""))</f>
        <v/>
      </c>
    </row>
    <row r="4667" spans="6:6">
      <c r="F4667" s="1" t="str" cm="1">
        <f t="array" ref="F4667">_xlfn.LET(_xlpm.rowNum,MATCH(E4667,'glossaryterms-export'!C:C,0),
IF(AND(NOT(ISBLANK(INDEX('glossaryterms-export'!H:H,_xlpm.rowNum))),ISBLANK(INDEX('glossaryterms-export'!I:I,_xlpm.rowNum))),"Ready to Fix",""))</f>
        <v/>
      </c>
    </row>
    <row r="4668" spans="6:6">
      <c r="F4668" s="1" t="str" cm="1">
        <f t="array" ref="F4668">_xlfn.LET(_xlpm.rowNum,MATCH(E4668,'glossaryterms-export'!C:C,0),
IF(AND(NOT(ISBLANK(INDEX('glossaryterms-export'!H:H,_xlpm.rowNum))),ISBLANK(INDEX('glossaryterms-export'!I:I,_xlpm.rowNum))),"Ready to Fix",""))</f>
        <v/>
      </c>
    </row>
    <row r="4669" spans="6:6">
      <c r="F4669" s="1" t="str" cm="1">
        <f t="array" ref="F4669">_xlfn.LET(_xlpm.rowNum,MATCH(E4669,'glossaryterms-export'!C:C,0),
IF(AND(NOT(ISBLANK(INDEX('glossaryterms-export'!H:H,_xlpm.rowNum))),ISBLANK(INDEX('glossaryterms-export'!I:I,_xlpm.rowNum))),"Ready to Fix",""))</f>
        <v/>
      </c>
    </row>
    <row r="4670" spans="6:6">
      <c r="F4670" s="1" t="str" cm="1">
        <f t="array" ref="F4670">_xlfn.LET(_xlpm.rowNum,MATCH(E4670,'glossaryterms-export'!C:C,0),
IF(AND(NOT(ISBLANK(INDEX('glossaryterms-export'!H:H,_xlpm.rowNum))),ISBLANK(INDEX('glossaryterms-export'!I:I,_xlpm.rowNum))),"Ready to Fix",""))</f>
        <v/>
      </c>
    </row>
    <row r="4671" spans="6:6">
      <c r="F4671" s="1" t="str" cm="1">
        <f t="array" ref="F4671">_xlfn.LET(_xlpm.rowNum,MATCH(E4671,'glossaryterms-export'!C:C,0),
IF(AND(NOT(ISBLANK(INDEX('glossaryterms-export'!H:H,_xlpm.rowNum))),ISBLANK(INDEX('glossaryterms-export'!I:I,_xlpm.rowNum))),"Ready to Fix",""))</f>
        <v/>
      </c>
    </row>
    <row r="4672" spans="6:6">
      <c r="F4672" s="1" t="str" cm="1">
        <f t="array" ref="F4672">_xlfn.LET(_xlpm.rowNum,MATCH(E4672,'glossaryterms-export'!C:C,0),
IF(AND(NOT(ISBLANK(INDEX('glossaryterms-export'!H:H,_xlpm.rowNum))),ISBLANK(INDEX('glossaryterms-export'!I:I,_xlpm.rowNum))),"Ready to Fix",""))</f>
        <v/>
      </c>
    </row>
    <row r="4673" spans="6:6">
      <c r="F4673" s="1" t="str" cm="1">
        <f t="array" ref="F4673">_xlfn.LET(_xlpm.rowNum,MATCH(E4673,'glossaryterms-export'!C:C,0),
IF(AND(NOT(ISBLANK(INDEX('glossaryterms-export'!H:H,_xlpm.rowNum))),ISBLANK(INDEX('glossaryterms-export'!I:I,_xlpm.rowNum))),"Ready to Fix",""))</f>
        <v/>
      </c>
    </row>
    <row r="4674" spans="6:6">
      <c r="F4674" s="1" t="str" cm="1">
        <f t="array" ref="F4674">_xlfn.LET(_xlpm.rowNum,MATCH(E4674,'glossaryterms-export'!C:C,0),
IF(AND(NOT(ISBLANK(INDEX('glossaryterms-export'!H:H,_xlpm.rowNum))),ISBLANK(INDEX('glossaryterms-export'!I:I,_xlpm.rowNum))),"Ready to Fix",""))</f>
        <v/>
      </c>
    </row>
    <row r="4675" spans="6:6">
      <c r="F4675" s="1" t="str" cm="1">
        <f t="array" ref="F4675">_xlfn.LET(_xlpm.rowNum,MATCH(E4675,'glossaryterms-export'!C:C,0),
IF(AND(NOT(ISBLANK(INDEX('glossaryterms-export'!H:H,_xlpm.rowNum))),ISBLANK(INDEX('glossaryterms-export'!I:I,_xlpm.rowNum))),"Ready to Fix",""))</f>
        <v/>
      </c>
    </row>
    <row r="4676" spans="6:6">
      <c r="F4676" s="1" t="str" cm="1">
        <f t="array" ref="F4676">_xlfn.LET(_xlpm.rowNum,MATCH(E4676,'glossaryterms-export'!C:C,0),
IF(AND(NOT(ISBLANK(INDEX('glossaryterms-export'!H:H,_xlpm.rowNum))),ISBLANK(INDEX('glossaryterms-export'!I:I,_xlpm.rowNum))),"Ready to Fix",""))</f>
        <v/>
      </c>
    </row>
    <row r="4677" spans="6:6">
      <c r="F4677" s="1" t="str" cm="1">
        <f t="array" ref="F4677">_xlfn.LET(_xlpm.rowNum,MATCH(E4677,'glossaryterms-export'!C:C,0),
IF(AND(NOT(ISBLANK(INDEX('glossaryterms-export'!H:H,_xlpm.rowNum))),ISBLANK(INDEX('glossaryterms-export'!I:I,_xlpm.rowNum))),"Ready to Fix",""))</f>
        <v/>
      </c>
    </row>
    <row r="4678" spans="6:6">
      <c r="F4678" s="1" t="str" cm="1">
        <f t="array" ref="F4678">_xlfn.LET(_xlpm.rowNum,MATCH(E4678,'glossaryterms-export'!C:C,0),
IF(AND(NOT(ISBLANK(INDEX('glossaryterms-export'!H:H,_xlpm.rowNum))),ISBLANK(INDEX('glossaryterms-export'!I:I,_xlpm.rowNum))),"Ready to Fix",""))</f>
        <v/>
      </c>
    </row>
    <row r="4679" spans="6:6">
      <c r="F4679" s="1" t="str" cm="1">
        <f t="array" ref="F4679">_xlfn.LET(_xlpm.rowNum,MATCH(E4679,'glossaryterms-export'!C:C,0),
IF(AND(NOT(ISBLANK(INDEX('glossaryterms-export'!H:H,_xlpm.rowNum))),ISBLANK(INDEX('glossaryterms-export'!I:I,_xlpm.rowNum))),"Ready to Fix",""))</f>
        <v/>
      </c>
    </row>
    <row r="4680" spans="6:6">
      <c r="F4680" s="1" t="str" cm="1">
        <f t="array" ref="F4680">_xlfn.LET(_xlpm.rowNum,MATCH(E4680,'glossaryterms-export'!C:C,0),
IF(AND(NOT(ISBLANK(INDEX('glossaryterms-export'!H:H,_xlpm.rowNum))),ISBLANK(INDEX('glossaryterms-export'!I:I,_xlpm.rowNum))),"Ready to Fix",""))</f>
        <v/>
      </c>
    </row>
    <row r="4681" spans="6:6">
      <c r="F4681" s="1" t="str" cm="1">
        <f t="array" ref="F4681">_xlfn.LET(_xlpm.rowNum,MATCH(E4681,'glossaryterms-export'!C:C,0),
IF(AND(NOT(ISBLANK(INDEX('glossaryterms-export'!H:H,_xlpm.rowNum))),ISBLANK(INDEX('glossaryterms-export'!I:I,_xlpm.rowNum))),"Ready to Fix",""))</f>
        <v/>
      </c>
    </row>
    <row r="4682" spans="6:6">
      <c r="F4682" s="1" t="str" cm="1">
        <f t="array" ref="F4682">_xlfn.LET(_xlpm.rowNum,MATCH(E4682,'glossaryterms-export'!C:C,0),
IF(AND(NOT(ISBLANK(INDEX('glossaryterms-export'!H:H,_xlpm.rowNum))),ISBLANK(INDEX('glossaryterms-export'!I:I,_xlpm.rowNum))),"Ready to Fix",""))</f>
        <v/>
      </c>
    </row>
    <row r="4683" spans="6:6">
      <c r="F4683" s="1" t="str" cm="1">
        <f t="array" ref="F4683">_xlfn.LET(_xlpm.rowNum,MATCH(E4683,'glossaryterms-export'!C:C,0),
IF(AND(NOT(ISBLANK(INDEX('glossaryterms-export'!H:H,_xlpm.rowNum))),ISBLANK(INDEX('glossaryterms-export'!I:I,_xlpm.rowNum))),"Ready to Fix",""))</f>
        <v/>
      </c>
    </row>
    <row r="4684" spans="6:6">
      <c r="F4684" s="1" t="str" cm="1">
        <f t="array" ref="F4684">_xlfn.LET(_xlpm.rowNum,MATCH(E4684,'glossaryterms-export'!C:C,0),
IF(AND(NOT(ISBLANK(INDEX('glossaryterms-export'!H:H,_xlpm.rowNum))),ISBLANK(INDEX('glossaryterms-export'!I:I,_xlpm.rowNum))),"Ready to Fix",""))</f>
        <v/>
      </c>
    </row>
    <row r="4685" spans="6:6">
      <c r="F4685" s="1" t="str" cm="1">
        <f t="array" ref="F4685">_xlfn.LET(_xlpm.rowNum,MATCH(E4685,'glossaryterms-export'!C:C,0),
IF(AND(NOT(ISBLANK(INDEX('glossaryterms-export'!H:H,_xlpm.rowNum))),ISBLANK(INDEX('glossaryterms-export'!I:I,_xlpm.rowNum))),"Ready to Fix",""))</f>
        <v/>
      </c>
    </row>
    <row r="4686" spans="6:6">
      <c r="F4686" s="1" t="str" cm="1">
        <f t="array" ref="F4686">_xlfn.LET(_xlpm.rowNum,MATCH(E4686,'glossaryterms-export'!C:C,0),
IF(AND(NOT(ISBLANK(INDEX('glossaryterms-export'!H:H,_xlpm.rowNum))),ISBLANK(INDEX('glossaryterms-export'!I:I,_xlpm.rowNum))),"Ready to Fix",""))</f>
        <v/>
      </c>
    </row>
    <row r="4687" spans="6:6">
      <c r="F4687" s="1" t="str" cm="1">
        <f t="array" ref="F4687">_xlfn.LET(_xlpm.rowNum,MATCH(E4687,'glossaryterms-export'!C:C,0),
IF(AND(NOT(ISBLANK(INDEX('glossaryterms-export'!H:H,_xlpm.rowNum))),ISBLANK(INDEX('glossaryterms-export'!I:I,_xlpm.rowNum))),"Ready to Fix",""))</f>
        <v/>
      </c>
    </row>
    <row r="4688" spans="6:6">
      <c r="F4688" s="1" t="str" cm="1">
        <f t="array" ref="F4688">_xlfn.LET(_xlpm.rowNum,MATCH(E4688,'glossaryterms-export'!C:C,0),
IF(AND(NOT(ISBLANK(INDEX('glossaryterms-export'!H:H,_xlpm.rowNum))),ISBLANK(INDEX('glossaryterms-export'!I:I,_xlpm.rowNum))),"Ready to Fix",""))</f>
        <v/>
      </c>
    </row>
    <row r="4689" spans="6:6">
      <c r="F4689" s="1" t="str" cm="1">
        <f t="array" ref="F4689">_xlfn.LET(_xlpm.rowNum,MATCH(E4689,'glossaryterms-export'!C:C,0),
IF(AND(NOT(ISBLANK(INDEX('glossaryterms-export'!H:H,_xlpm.rowNum))),ISBLANK(INDEX('glossaryterms-export'!I:I,_xlpm.rowNum))),"Ready to Fix",""))</f>
        <v/>
      </c>
    </row>
    <row r="4690" spans="6:6">
      <c r="F4690" s="1" t="str" cm="1">
        <f t="array" ref="F4690">_xlfn.LET(_xlpm.rowNum,MATCH(E4690,'glossaryterms-export'!C:C,0),
IF(AND(NOT(ISBLANK(INDEX('glossaryterms-export'!H:H,_xlpm.rowNum))),ISBLANK(INDEX('glossaryterms-export'!I:I,_xlpm.rowNum))),"Ready to Fix",""))</f>
        <v/>
      </c>
    </row>
    <row r="4691" spans="6:6">
      <c r="F4691" s="1" t="str" cm="1">
        <f t="array" ref="F4691">_xlfn.LET(_xlpm.rowNum,MATCH(E4691,'glossaryterms-export'!C:C,0),
IF(AND(NOT(ISBLANK(INDEX('glossaryterms-export'!H:H,_xlpm.rowNum))),ISBLANK(INDEX('glossaryterms-export'!I:I,_xlpm.rowNum))),"Ready to Fix",""))</f>
        <v/>
      </c>
    </row>
    <row r="4692" spans="6:6">
      <c r="F4692" s="1" t="str" cm="1">
        <f t="array" ref="F4692">_xlfn.LET(_xlpm.rowNum,MATCH(E4692,'glossaryterms-export'!C:C,0),
IF(AND(NOT(ISBLANK(INDEX('glossaryterms-export'!H:H,_xlpm.rowNum))),ISBLANK(INDEX('glossaryterms-export'!I:I,_xlpm.rowNum))),"Ready to Fix",""))</f>
        <v/>
      </c>
    </row>
    <row r="4693" spans="6:6">
      <c r="F4693" s="1" t="str" cm="1">
        <f t="array" ref="F4693">_xlfn.LET(_xlpm.rowNum,MATCH(E4693,'glossaryterms-export'!C:C,0),
IF(AND(NOT(ISBLANK(INDEX('glossaryterms-export'!H:H,_xlpm.rowNum))),ISBLANK(INDEX('glossaryterms-export'!I:I,_xlpm.rowNum))),"Ready to Fix",""))</f>
        <v/>
      </c>
    </row>
    <row r="4694" spans="6:6">
      <c r="F4694" s="1" t="str" cm="1">
        <f t="array" ref="F4694">_xlfn.LET(_xlpm.rowNum,MATCH(E4694,'glossaryterms-export'!C:C,0),
IF(AND(NOT(ISBLANK(INDEX('glossaryterms-export'!H:H,_xlpm.rowNum))),ISBLANK(INDEX('glossaryterms-export'!I:I,_xlpm.rowNum))),"Ready to Fix",""))</f>
        <v/>
      </c>
    </row>
    <row r="4695" spans="6:6">
      <c r="F4695" s="1" t="str" cm="1">
        <f t="array" ref="F4695">_xlfn.LET(_xlpm.rowNum,MATCH(E4695,'glossaryterms-export'!C:C,0),
IF(AND(NOT(ISBLANK(INDEX('glossaryterms-export'!H:H,_xlpm.rowNum))),ISBLANK(INDEX('glossaryterms-export'!I:I,_xlpm.rowNum))),"Ready to Fix",""))</f>
        <v/>
      </c>
    </row>
    <row r="4696" spans="6:6">
      <c r="F4696" s="1" t="str" cm="1">
        <f t="array" ref="F4696">_xlfn.LET(_xlpm.rowNum,MATCH(E4696,'glossaryterms-export'!C:C,0),
IF(AND(NOT(ISBLANK(INDEX('glossaryterms-export'!H:H,_xlpm.rowNum))),ISBLANK(INDEX('glossaryterms-export'!I:I,_xlpm.rowNum))),"Ready to Fix",""))</f>
        <v/>
      </c>
    </row>
    <row r="4697" spans="6:6">
      <c r="F4697" s="1" t="str" cm="1">
        <f t="array" ref="F4697">_xlfn.LET(_xlpm.rowNum,MATCH(E4697,'glossaryterms-export'!C:C,0),
IF(AND(NOT(ISBLANK(INDEX('glossaryterms-export'!H:H,_xlpm.rowNum))),ISBLANK(INDEX('glossaryterms-export'!I:I,_xlpm.rowNum))),"Ready to Fix",""))</f>
        <v/>
      </c>
    </row>
    <row r="4698" spans="6:6">
      <c r="F4698" s="1" t="str" cm="1">
        <f t="array" ref="F4698">_xlfn.LET(_xlpm.rowNum,MATCH(E4698,'glossaryterms-export'!C:C,0),
IF(AND(NOT(ISBLANK(INDEX('glossaryterms-export'!H:H,_xlpm.rowNum))),ISBLANK(INDEX('glossaryterms-export'!I:I,_xlpm.rowNum))),"Ready to Fix",""))</f>
        <v/>
      </c>
    </row>
    <row r="4699" spans="6:6">
      <c r="F4699" s="1" t="str" cm="1">
        <f t="array" ref="F4699">_xlfn.LET(_xlpm.rowNum,MATCH(E4699,'glossaryterms-export'!C:C,0),
IF(AND(NOT(ISBLANK(INDEX('glossaryterms-export'!H:H,_xlpm.rowNum))),ISBLANK(INDEX('glossaryterms-export'!I:I,_xlpm.rowNum))),"Ready to Fix",""))</f>
        <v/>
      </c>
    </row>
    <row r="4700" spans="6:6">
      <c r="F4700" s="1" t="str" cm="1">
        <f t="array" ref="F4700">_xlfn.LET(_xlpm.rowNum,MATCH(E4700,'glossaryterms-export'!C:C,0),
IF(AND(NOT(ISBLANK(INDEX('glossaryterms-export'!H:H,_xlpm.rowNum))),ISBLANK(INDEX('glossaryterms-export'!I:I,_xlpm.rowNum))),"Ready to Fix",""))</f>
        <v/>
      </c>
    </row>
    <row r="4701" spans="6:6">
      <c r="F4701" s="1" t="str" cm="1">
        <f t="array" ref="F4701">_xlfn.LET(_xlpm.rowNum,MATCH(E4701,'glossaryterms-export'!C:C,0),
IF(AND(NOT(ISBLANK(INDEX('glossaryterms-export'!H:H,_xlpm.rowNum))),ISBLANK(INDEX('glossaryterms-export'!I:I,_xlpm.rowNum))),"Ready to Fix",""))</f>
        <v/>
      </c>
    </row>
    <row r="4702" spans="6:6">
      <c r="F4702" s="1" t="str" cm="1">
        <f t="array" ref="F4702">_xlfn.LET(_xlpm.rowNum,MATCH(E4702,'glossaryterms-export'!C:C,0),
IF(AND(NOT(ISBLANK(INDEX('glossaryterms-export'!H:H,_xlpm.rowNum))),ISBLANK(INDEX('glossaryterms-export'!I:I,_xlpm.rowNum))),"Ready to Fix",""))</f>
        <v/>
      </c>
    </row>
    <row r="4703" spans="6:6">
      <c r="F4703" s="1" t="str" cm="1">
        <f t="array" ref="F4703">_xlfn.LET(_xlpm.rowNum,MATCH(E4703,'glossaryterms-export'!C:C,0),
IF(AND(NOT(ISBLANK(INDEX('glossaryterms-export'!H:H,_xlpm.rowNum))),ISBLANK(INDEX('glossaryterms-export'!I:I,_xlpm.rowNum))),"Ready to Fix",""))</f>
        <v/>
      </c>
    </row>
    <row r="4704" spans="6:6">
      <c r="F4704" s="1" t="str" cm="1">
        <f t="array" ref="F4704">_xlfn.LET(_xlpm.rowNum,MATCH(E4704,'glossaryterms-export'!C:C,0),
IF(AND(NOT(ISBLANK(INDEX('glossaryterms-export'!H:H,_xlpm.rowNum))),ISBLANK(INDEX('glossaryterms-export'!I:I,_xlpm.rowNum))),"Ready to Fix",""))</f>
        <v/>
      </c>
    </row>
    <row r="4705" spans="6:6">
      <c r="F4705" s="1" t="str" cm="1">
        <f t="array" ref="F4705">_xlfn.LET(_xlpm.rowNum,MATCH(E4705,'glossaryterms-export'!C:C,0),
IF(AND(NOT(ISBLANK(INDEX('glossaryterms-export'!H:H,_xlpm.rowNum))),ISBLANK(INDEX('glossaryterms-export'!I:I,_xlpm.rowNum))),"Ready to Fix",""))</f>
        <v/>
      </c>
    </row>
    <row r="4706" spans="6:6">
      <c r="F4706" s="1" t="str" cm="1">
        <f t="array" ref="F4706">_xlfn.LET(_xlpm.rowNum,MATCH(E4706,'glossaryterms-export'!C:C,0),
IF(AND(NOT(ISBLANK(INDEX('glossaryterms-export'!H:H,_xlpm.rowNum))),ISBLANK(INDEX('glossaryterms-export'!I:I,_xlpm.rowNum))),"Ready to Fix",""))</f>
        <v/>
      </c>
    </row>
    <row r="4707" spans="6:6">
      <c r="F4707" s="1" t="str" cm="1">
        <f t="array" ref="F4707">_xlfn.LET(_xlpm.rowNum,MATCH(E4707,'glossaryterms-export'!C:C,0),
IF(AND(NOT(ISBLANK(INDEX('glossaryterms-export'!H:H,_xlpm.rowNum))),ISBLANK(INDEX('glossaryterms-export'!I:I,_xlpm.rowNum))),"Ready to Fix",""))</f>
        <v/>
      </c>
    </row>
    <row r="4708" spans="6:6">
      <c r="F4708" s="1" t="str" cm="1">
        <f t="array" ref="F4708">_xlfn.LET(_xlpm.rowNum,MATCH(E4708,'glossaryterms-export'!C:C,0),
IF(AND(NOT(ISBLANK(INDEX('glossaryterms-export'!H:H,_xlpm.rowNum))),ISBLANK(INDEX('glossaryterms-export'!I:I,_xlpm.rowNum))),"Ready to Fix",""))</f>
        <v/>
      </c>
    </row>
    <row r="4709" spans="6:6">
      <c r="F4709" s="1" t="str" cm="1">
        <f t="array" ref="F4709">_xlfn.LET(_xlpm.rowNum,MATCH(E4709,'glossaryterms-export'!C:C,0),
IF(AND(NOT(ISBLANK(INDEX('glossaryterms-export'!H:H,_xlpm.rowNum))),ISBLANK(INDEX('glossaryterms-export'!I:I,_xlpm.rowNum))),"Ready to Fix",""))</f>
        <v/>
      </c>
    </row>
    <row r="4710" spans="6:6">
      <c r="F4710" s="1" t="str" cm="1">
        <f t="array" ref="F4710">_xlfn.LET(_xlpm.rowNum,MATCH(E4710,'glossaryterms-export'!C:C,0),
IF(AND(NOT(ISBLANK(INDEX('glossaryterms-export'!H:H,_xlpm.rowNum))),ISBLANK(INDEX('glossaryterms-export'!I:I,_xlpm.rowNum))),"Ready to Fix",""))</f>
        <v/>
      </c>
    </row>
    <row r="4711" spans="6:6">
      <c r="F4711" s="1" t="str" cm="1">
        <f t="array" ref="F4711">_xlfn.LET(_xlpm.rowNum,MATCH(E4711,'glossaryterms-export'!C:C,0),
IF(AND(NOT(ISBLANK(INDEX('glossaryterms-export'!H:H,_xlpm.rowNum))),ISBLANK(INDEX('glossaryterms-export'!I:I,_xlpm.rowNum))),"Ready to Fix",""))</f>
        <v/>
      </c>
    </row>
    <row r="4712" spans="6:6">
      <c r="F4712" s="1" t="str" cm="1">
        <f t="array" ref="F4712">_xlfn.LET(_xlpm.rowNum,MATCH(E4712,'glossaryterms-export'!C:C,0),
IF(AND(NOT(ISBLANK(INDEX('glossaryterms-export'!H:H,_xlpm.rowNum))),ISBLANK(INDEX('glossaryterms-export'!I:I,_xlpm.rowNum))),"Ready to Fix",""))</f>
        <v/>
      </c>
    </row>
    <row r="4713" spans="6:6">
      <c r="F4713" s="1" t="str" cm="1">
        <f t="array" ref="F4713">_xlfn.LET(_xlpm.rowNum,MATCH(E4713,'glossaryterms-export'!C:C,0),
IF(AND(NOT(ISBLANK(INDEX('glossaryterms-export'!H:H,_xlpm.rowNum))),ISBLANK(INDEX('glossaryterms-export'!I:I,_xlpm.rowNum))),"Ready to Fix",""))</f>
        <v/>
      </c>
    </row>
    <row r="4714" spans="6:6">
      <c r="F4714" s="1" t="str" cm="1">
        <f t="array" ref="F4714">_xlfn.LET(_xlpm.rowNum,MATCH(E4714,'glossaryterms-export'!C:C,0),
IF(AND(NOT(ISBLANK(INDEX('glossaryterms-export'!H:H,_xlpm.rowNum))),ISBLANK(INDEX('glossaryterms-export'!I:I,_xlpm.rowNum))),"Ready to Fix",""))</f>
        <v/>
      </c>
    </row>
    <row r="4715" spans="6:6">
      <c r="F4715" s="1" t="str" cm="1">
        <f t="array" ref="F4715">_xlfn.LET(_xlpm.rowNum,MATCH(E4715,'glossaryterms-export'!C:C,0),
IF(AND(NOT(ISBLANK(INDEX('glossaryterms-export'!H:H,_xlpm.rowNum))),ISBLANK(INDEX('glossaryterms-export'!I:I,_xlpm.rowNum))),"Ready to Fix",""))</f>
        <v/>
      </c>
    </row>
    <row r="4716" spans="6:6">
      <c r="F4716" s="1" t="str" cm="1">
        <f t="array" ref="F4716">_xlfn.LET(_xlpm.rowNum,MATCH(E4716,'glossaryterms-export'!C:C,0),
IF(AND(NOT(ISBLANK(INDEX('glossaryterms-export'!H:H,_xlpm.rowNum))),ISBLANK(INDEX('glossaryterms-export'!I:I,_xlpm.rowNum))),"Ready to Fix",""))</f>
        <v/>
      </c>
    </row>
    <row r="4717" spans="6:6">
      <c r="F4717" s="1" t="str" cm="1">
        <f t="array" ref="F4717">_xlfn.LET(_xlpm.rowNum,MATCH(E4717,'glossaryterms-export'!C:C,0),
IF(AND(NOT(ISBLANK(INDEX('glossaryterms-export'!H:H,_xlpm.rowNum))),ISBLANK(INDEX('glossaryterms-export'!I:I,_xlpm.rowNum))),"Ready to Fix",""))</f>
        <v/>
      </c>
    </row>
    <row r="4718" spans="6:6">
      <c r="F4718" s="1" t="str" cm="1">
        <f t="array" ref="F4718">_xlfn.LET(_xlpm.rowNum,MATCH(E4718,'glossaryterms-export'!C:C,0),
IF(AND(NOT(ISBLANK(INDEX('glossaryterms-export'!H:H,_xlpm.rowNum))),ISBLANK(INDEX('glossaryterms-export'!I:I,_xlpm.rowNum))),"Ready to Fix",""))</f>
        <v/>
      </c>
    </row>
    <row r="4719" spans="6:6">
      <c r="F4719" s="1" t="str" cm="1">
        <f t="array" ref="F4719">_xlfn.LET(_xlpm.rowNum,MATCH(E4719,'glossaryterms-export'!C:C,0),
IF(AND(NOT(ISBLANK(INDEX('glossaryterms-export'!H:H,_xlpm.rowNum))),ISBLANK(INDEX('glossaryterms-export'!I:I,_xlpm.rowNum))),"Ready to Fix",""))</f>
        <v/>
      </c>
    </row>
    <row r="4720" spans="6:6">
      <c r="F4720" s="1" t="str" cm="1">
        <f t="array" ref="F4720">_xlfn.LET(_xlpm.rowNum,MATCH(E4720,'glossaryterms-export'!C:C,0),
IF(AND(NOT(ISBLANK(INDEX('glossaryterms-export'!H:H,_xlpm.rowNum))),ISBLANK(INDEX('glossaryterms-export'!I:I,_xlpm.rowNum))),"Ready to Fix",""))</f>
        <v/>
      </c>
    </row>
    <row r="4721" spans="6:6">
      <c r="F4721" s="1" t="str" cm="1">
        <f t="array" ref="F4721">_xlfn.LET(_xlpm.rowNum,MATCH(E4721,'glossaryterms-export'!C:C,0),
IF(AND(NOT(ISBLANK(INDEX('glossaryterms-export'!H:H,_xlpm.rowNum))),ISBLANK(INDEX('glossaryterms-export'!I:I,_xlpm.rowNum))),"Ready to Fix",""))</f>
        <v/>
      </c>
    </row>
    <row r="4722" spans="6:6">
      <c r="F4722" s="1" t="str" cm="1">
        <f t="array" ref="F4722">_xlfn.LET(_xlpm.rowNum,MATCH(E4722,'glossaryterms-export'!C:C,0),
IF(AND(NOT(ISBLANK(INDEX('glossaryterms-export'!H:H,_xlpm.rowNum))),ISBLANK(INDEX('glossaryterms-export'!I:I,_xlpm.rowNum))),"Ready to Fix",""))</f>
        <v/>
      </c>
    </row>
    <row r="4723" spans="6:6">
      <c r="F4723" s="1" t="str" cm="1">
        <f t="array" ref="F4723">_xlfn.LET(_xlpm.rowNum,MATCH(E4723,'glossaryterms-export'!C:C,0),
IF(AND(NOT(ISBLANK(INDEX('glossaryterms-export'!H:H,_xlpm.rowNum))),ISBLANK(INDEX('glossaryterms-export'!I:I,_xlpm.rowNum))),"Ready to Fix",""))</f>
        <v/>
      </c>
    </row>
    <row r="4724" spans="6:6">
      <c r="F4724" s="1" t="str" cm="1">
        <f t="array" ref="F4724">_xlfn.LET(_xlpm.rowNum,MATCH(E4724,'glossaryterms-export'!C:C,0),
IF(AND(NOT(ISBLANK(INDEX('glossaryterms-export'!H:H,_xlpm.rowNum))),ISBLANK(INDEX('glossaryterms-export'!I:I,_xlpm.rowNum))),"Ready to Fix",""))</f>
        <v/>
      </c>
    </row>
    <row r="4725" spans="6:6">
      <c r="F4725" s="1" t="str" cm="1">
        <f t="array" ref="F4725">_xlfn.LET(_xlpm.rowNum,MATCH(E4725,'glossaryterms-export'!C:C,0),
IF(AND(NOT(ISBLANK(INDEX('glossaryterms-export'!H:H,_xlpm.rowNum))),ISBLANK(INDEX('glossaryterms-export'!I:I,_xlpm.rowNum))),"Ready to Fix",""))</f>
        <v/>
      </c>
    </row>
    <row r="4726" spans="6:6">
      <c r="F4726" s="1" t="str" cm="1">
        <f t="array" ref="F4726">_xlfn.LET(_xlpm.rowNum,MATCH(E4726,'glossaryterms-export'!C:C,0),
IF(AND(NOT(ISBLANK(INDEX('glossaryterms-export'!H:H,_xlpm.rowNum))),ISBLANK(INDEX('glossaryterms-export'!I:I,_xlpm.rowNum))),"Ready to Fix",""))</f>
        <v/>
      </c>
    </row>
    <row r="4727" spans="6:6">
      <c r="F4727" s="1" t="str" cm="1">
        <f t="array" ref="F4727">_xlfn.LET(_xlpm.rowNum,MATCH(E4727,'glossaryterms-export'!C:C,0),
IF(AND(NOT(ISBLANK(INDEX('glossaryterms-export'!H:H,_xlpm.rowNum))),ISBLANK(INDEX('glossaryterms-export'!I:I,_xlpm.rowNum))),"Ready to Fix",""))</f>
        <v/>
      </c>
    </row>
    <row r="4728" spans="6:6">
      <c r="F4728" s="1" t="str" cm="1">
        <f t="array" ref="F4728">_xlfn.LET(_xlpm.rowNum,MATCH(E4728,'glossaryterms-export'!C:C,0),
IF(AND(NOT(ISBLANK(INDEX('glossaryterms-export'!H:H,_xlpm.rowNum))),ISBLANK(INDEX('glossaryterms-export'!I:I,_xlpm.rowNum))),"Ready to Fix",""))</f>
        <v/>
      </c>
    </row>
    <row r="4729" spans="6:6">
      <c r="F4729" s="1" t="str" cm="1">
        <f t="array" ref="F4729">_xlfn.LET(_xlpm.rowNum,MATCH(E4729,'glossaryterms-export'!C:C,0),
IF(AND(NOT(ISBLANK(INDEX('glossaryterms-export'!H:H,_xlpm.rowNum))),ISBLANK(INDEX('glossaryterms-export'!I:I,_xlpm.rowNum))),"Ready to Fix",""))</f>
        <v/>
      </c>
    </row>
    <row r="4730" spans="6:6">
      <c r="F4730" s="1" t="str" cm="1">
        <f t="array" ref="F4730">_xlfn.LET(_xlpm.rowNum,MATCH(E4730,'glossaryterms-export'!C:C,0),
IF(AND(NOT(ISBLANK(INDEX('glossaryterms-export'!H:H,_xlpm.rowNum))),ISBLANK(INDEX('glossaryterms-export'!I:I,_xlpm.rowNum))),"Ready to Fix",""))</f>
        <v/>
      </c>
    </row>
    <row r="4731" spans="6:6">
      <c r="F4731" s="1" t="str" cm="1">
        <f t="array" ref="F4731">_xlfn.LET(_xlpm.rowNum,MATCH(E4731,'glossaryterms-export'!C:C,0),
IF(AND(NOT(ISBLANK(INDEX('glossaryterms-export'!H:H,_xlpm.rowNum))),ISBLANK(INDEX('glossaryterms-export'!I:I,_xlpm.rowNum))),"Ready to Fix",""))</f>
        <v/>
      </c>
    </row>
    <row r="4732" spans="6:6">
      <c r="F4732" s="1" t="str" cm="1">
        <f t="array" ref="F4732">_xlfn.LET(_xlpm.rowNum,MATCH(E4732,'glossaryterms-export'!C:C,0),
IF(AND(NOT(ISBLANK(INDEX('glossaryterms-export'!H:H,_xlpm.rowNum))),ISBLANK(INDEX('glossaryterms-export'!I:I,_xlpm.rowNum))),"Ready to Fix",""))</f>
        <v/>
      </c>
    </row>
    <row r="4733" spans="6:6">
      <c r="F4733" s="1" t="str" cm="1">
        <f t="array" ref="F4733">_xlfn.LET(_xlpm.rowNum,MATCH(E4733,'glossaryterms-export'!C:C,0),
IF(AND(NOT(ISBLANK(INDEX('glossaryterms-export'!H:H,_xlpm.rowNum))),ISBLANK(INDEX('glossaryterms-export'!I:I,_xlpm.rowNum))),"Ready to Fix",""))</f>
        <v/>
      </c>
    </row>
    <row r="4734" spans="6:6">
      <c r="F4734" s="1" t="str" cm="1">
        <f t="array" ref="F4734">_xlfn.LET(_xlpm.rowNum,MATCH(E4734,'glossaryterms-export'!C:C,0),
IF(AND(NOT(ISBLANK(INDEX('glossaryterms-export'!H:H,_xlpm.rowNum))),ISBLANK(INDEX('glossaryterms-export'!I:I,_xlpm.rowNum))),"Ready to Fix",""))</f>
        <v/>
      </c>
    </row>
    <row r="4735" spans="6:6">
      <c r="F4735" s="1" t="str" cm="1">
        <f t="array" ref="F4735">_xlfn.LET(_xlpm.rowNum,MATCH(E4735,'glossaryterms-export'!C:C,0),
IF(AND(NOT(ISBLANK(INDEX('glossaryterms-export'!H:H,_xlpm.rowNum))),ISBLANK(INDEX('glossaryterms-export'!I:I,_xlpm.rowNum))),"Ready to Fix",""))</f>
        <v/>
      </c>
    </row>
    <row r="4736" spans="6:6">
      <c r="F4736" s="1" t="str" cm="1">
        <f t="array" ref="F4736">_xlfn.LET(_xlpm.rowNum,MATCH(E4736,'glossaryterms-export'!C:C,0),
IF(AND(NOT(ISBLANK(INDEX('glossaryterms-export'!H:H,_xlpm.rowNum))),ISBLANK(INDEX('glossaryterms-export'!I:I,_xlpm.rowNum))),"Ready to Fix",""))</f>
        <v/>
      </c>
    </row>
    <row r="4737" spans="6:6">
      <c r="F4737" s="1" t="str" cm="1">
        <f t="array" ref="F4737">_xlfn.LET(_xlpm.rowNum,MATCH(E4737,'glossaryterms-export'!C:C,0),
IF(AND(NOT(ISBLANK(INDEX('glossaryterms-export'!H:H,_xlpm.rowNum))),ISBLANK(INDEX('glossaryterms-export'!I:I,_xlpm.rowNum))),"Ready to Fix",""))</f>
        <v/>
      </c>
    </row>
    <row r="4738" spans="6:6">
      <c r="F4738" s="1" t="str" cm="1">
        <f t="array" ref="F4738">_xlfn.LET(_xlpm.rowNum,MATCH(E4738,'glossaryterms-export'!C:C,0),
IF(AND(NOT(ISBLANK(INDEX('glossaryterms-export'!H:H,_xlpm.rowNum))),ISBLANK(INDEX('glossaryterms-export'!I:I,_xlpm.rowNum))),"Ready to Fix",""))</f>
        <v/>
      </c>
    </row>
    <row r="4739" spans="6:6">
      <c r="F4739" s="1" t="str" cm="1">
        <f t="array" ref="F4739">_xlfn.LET(_xlpm.rowNum,MATCH(E4739,'glossaryterms-export'!C:C,0),
IF(AND(NOT(ISBLANK(INDEX('glossaryterms-export'!H:H,_xlpm.rowNum))),ISBLANK(INDEX('glossaryterms-export'!I:I,_xlpm.rowNum))),"Ready to Fix",""))</f>
        <v/>
      </c>
    </row>
    <row r="4740" spans="6:6">
      <c r="F4740" s="1" t="str" cm="1">
        <f t="array" ref="F4740">_xlfn.LET(_xlpm.rowNum,MATCH(E4740,'glossaryterms-export'!C:C,0),
IF(AND(NOT(ISBLANK(INDEX('glossaryterms-export'!H:H,_xlpm.rowNum))),ISBLANK(INDEX('glossaryterms-export'!I:I,_xlpm.rowNum))),"Ready to Fix",""))</f>
        <v/>
      </c>
    </row>
    <row r="4741" spans="6:6">
      <c r="F4741" s="1" t="str" cm="1">
        <f t="array" ref="F4741">_xlfn.LET(_xlpm.rowNum,MATCH(E4741,'glossaryterms-export'!C:C,0),
IF(AND(NOT(ISBLANK(INDEX('glossaryterms-export'!H:H,_xlpm.rowNum))),ISBLANK(INDEX('glossaryterms-export'!I:I,_xlpm.rowNum))),"Ready to Fix",""))</f>
        <v/>
      </c>
    </row>
    <row r="4742" spans="6:6">
      <c r="F4742" s="1" t="str" cm="1">
        <f t="array" ref="F4742">_xlfn.LET(_xlpm.rowNum,MATCH(E4742,'glossaryterms-export'!C:C,0),
IF(AND(NOT(ISBLANK(INDEX('glossaryterms-export'!H:H,_xlpm.rowNum))),ISBLANK(INDEX('glossaryterms-export'!I:I,_xlpm.rowNum))),"Ready to Fix",""))</f>
        <v/>
      </c>
    </row>
    <row r="4743" spans="6:6">
      <c r="F4743" s="1" t="str" cm="1">
        <f t="array" ref="F4743">_xlfn.LET(_xlpm.rowNum,MATCH(E4743,'glossaryterms-export'!C:C,0),
IF(AND(NOT(ISBLANK(INDEX('glossaryterms-export'!H:H,_xlpm.rowNum))),ISBLANK(INDEX('glossaryterms-export'!I:I,_xlpm.rowNum))),"Ready to Fix",""))</f>
        <v/>
      </c>
    </row>
    <row r="4744" spans="6:6">
      <c r="F4744" s="1" t="str" cm="1">
        <f t="array" ref="F4744">_xlfn.LET(_xlpm.rowNum,MATCH(E4744,'glossaryterms-export'!C:C,0),
IF(AND(NOT(ISBLANK(INDEX('glossaryterms-export'!H:H,_xlpm.rowNum))),ISBLANK(INDEX('glossaryterms-export'!I:I,_xlpm.rowNum))),"Ready to Fix",""))</f>
        <v/>
      </c>
    </row>
    <row r="4745" spans="6:6">
      <c r="F4745" s="1" t="str" cm="1">
        <f t="array" ref="F4745">_xlfn.LET(_xlpm.rowNum,MATCH(E4745,'glossaryterms-export'!C:C,0),
IF(AND(NOT(ISBLANK(INDEX('glossaryterms-export'!H:H,_xlpm.rowNum))),ISBLANK(INDEX('glossaryterms-export'!I:I,_xlpm.rowNum))),"Ready to Fix",""))</f>
        <v/>
      </c>
    </row>
    <row r="4746" spans="6:6">
      <c r="F4746" s="1" t="str" cm="1">
        <f t="array" ref="F4746">_xlfn.LET(_xlpm.rowNum,MATCH(E4746,'glossaryterms-export'!C:C,0),
IF(AND(NOT(ISBLANK(INDEX('glossaryterms-export'!H:H,_xlpm.rowNum))),ISBLANK(INDEX('glossaryterms-export'!I:I,_xlpm.rowNum))),"Ready to Fix",""))</f>
        <v/>
      </c>
    </row>
    <row r="4747" spans="6:6">
      <c r="F4747" s="1" t="str" cm="1">
        <f t="array" ref="F4747">_xlfn.LET(_xlpm.rowNum,MATCH(E4747,'glossaryterms-export'!C:C,0),
IF(AND(NOT(ISBLANK(INDEX('glossaryterms-export'!H:H,_xlpm.rowNum))),ISBLANK(INDEX('glossaryterms-export'!I:I,_xlpm.rowNum))),"Ready to Fix",""))</f>
        <v/>
      </c>
    </row>
    <row r="4748" spans="6:6">
      <c r="F4748" s="1" t="str" cm="1">
        <f t="array" ref="F4748">_xlfn.LET(_xlpm.rowNum,MATCH(E4748,'glossaryterms-export'!C:C,0),
IF(AND(NOT(ISBLANK(INDEX('glossaryterms-export'!H:H,_xlpm.rowNum))),ISBLANK(INDEX('glossaryterms-export'!I:I,_xlpm.rowNum))),"Ready to Fix",""))</f>
        <v/>
      </c>
    </row>
    <row r="4749" spans="6:6">
      <c r="F4749" s="1" t="str" cm="1">
        <f t="array" ref="F4749">_xlfn.LET(_xlpm.rowNum,MATCH(E4749,'glossaryterms-export'!C:C,0),
IF(AND(NOT(ISBLANK(INDEX('glossaryterms-export'!H:H,_xlpm.rowNum))),ISBLANK(INDEX('glossaryterms-export'!I:I,_xlpm.rowNum))),"Ready to Fix",""))</f>
        <v/>
      </c>
    </row>
    <row r="4750" spans="6:6">
      <c r="F4750" s="1" t="str" cm="1">
        <f t="array" ref="F4750">_xlfn.LET(_xlpm.rowNum,MATCH(E4750,'glossaryterms-export'!C:C,0),
IF(AND(NOT(ISBLANK(INDEX('glossaryterms-export'!H:H,_xlpm.rowNum))),ISBLANK(INDEX('glossaryterms-export'!I:I,_xlpm.rowNum))),"Ready to Fix",""))</f>
        <v/>
      </c>
    </row>
    <row r="4751" spans="6:6">
      <c r="F4751" s="1" t="str" cm="1">
        <f t="array" ref="F4751">_xlfn.LET(_xlpm.rowNum,MATCH(E4751,'glossaryterms-export'!C:C,0),
IF(AND(NOT(ISBLANK(INDEX('glossaryterms-export'!H:H,_xlpm.rowNum))),ISBLANK(INDEX('glossaryterms-export'!I:I,_xlpm.rowNum))),"Ready to Fix",""))</f>
        <v/>
      </c>
    </row>
    <row r="4752" spans="6:6">
      <c r="F4752" s="1" t="str" cm="1">
        <f t="array" ref="F4752">_xlfn.LET(_xlpm.rowNum,MATCH(E4752,'glossaryterms-export'!C:C,0),
IF(AND(NOT(ISBLANK(INDEX('glossaryterms-export'!H:H,_xlpm.rowNum))),ISBLANK(INDEX('glossaryterms-export'!I:I,_xlpm.rowNum))),"Ready to Fix",""))</f>
        <v/>
      </c>
    </row>
    <row r="4753" spans="6:6">
      <c r="F4753" s="1" t="str" cm="1">
        <f t="array" ref="F4753">_xlfn.LET(_xlpm.rowNum,MATCH(E4753,'glossaryterms-export'!C:C,0),
IF(AND(NOT(ISBLANK(INDEX('glossaryterms-export'!H:H,_xlpm.rowNum))),ISBLANK(INDEX('glossaryterms-export'!I:I,_xlpm.rowNum))),"Ready to Fix",""))</f>
        <v/>
      </c>
    </row>
    <row r="4754" spans="6:6">
      <c r="F4754" s="1" t="str" cm="1">
        <f t="array" ref="F4754">_xlfn.LET(_xlpm.rowNum,MATCH(E4754,'glossaryterms-export'!C:C,0),
IF(AND(NOT(ISBLANK(INDEX('glossaryterms-export'!H:H,_xlpm.rowNum))),ISBLANK(INDEX('glossaryterms-export'!I:I,_xlpm.rowNum))),"Ready to Fix",""))</f>
        <v/>
      </c>
    </row>
    <row r="4755" spans="6:6">
      <c r="F4755" s="1" t="str" cm="1">
        <f t="array" ref="F4755">_xlfn.LET(_xlpm.rowNum,MATCH(E4755,'glossaryterms-export'!C:C,0),
IF(AND(NOT(ISBLANK(INDEX('glossaryterms-export'!H:H,_xlpm.rowNum))),ISBLANK(INDEX('glossaryterms-export'!I:I,_xlpm.rowNum))),"Ready to Fix",""))</f>
        <v/>
      </c>
    </row>
    <row r="4756" spans="6:6">
      <c r="F4756" s="1" t="str" cm="1">
        <f t="array" ref="F4756">_xlfn.LET(_xlpm.rowNum,MATCH(E4756,'glossaryterms-export'!C:C,0),
IF(AND(NOT(ISBLANK(INDEX('glossaryterms-export'!H:H,_xlpm.rowNum))),ISBLANK(INDEX('glossaryterms-export'!I:I,_xlpm.rowNum))),"Ready to Fix",""))</f>
        <v/>
      </c>
    </row>
    <row r="4757" spans="6:6">
      <c r="F4757" s="1" t="str" cm="1">
        <f t="array" ref="F4757">_xlfn.LET(_xlpm.rowNum,MATCH(E4757,'glossaryterms-export'!C:C,0),
IF(AND(NOT(ISBLANK(INDEX('glossaryterms-export'!H:H,_xlpm.rowNum))),ISBLANK(INDEX('glossaryterms-export'!I:I,_xlpm.rowNum))),"Ready to Fix",""))</f>
        <v/>
      </c>
    </row>
    <row r="4758" spans="6:6">
      <c r="F4758" s="1" t="str" cm="1">
        <f t="array" ref="F4758">_xlfn.LET(_xlpm.rowNum,MATCH(E4758,'glossaryterms-export'!C:C,0),
IF(AND(NOT(ISBLANK(INDEX('glossaryterms-export'!H:H,_xlpm.rowNum))),ISBLANK(INDEX('glossaryterms-export'!I:I,_xlpm.rowNum))),"Ready to Fix",""))</f>
        <v/>
      </c>
    </row>
    <row r="4759" spans="6:6">
      <c r="F4759" s="1" t="str" cm="1">
        <f t="array" ref="F4759">_xlfn.LET(_xlpm.rowNum,MATCH(E4759,'glossaryterms-export'!C:C,0),
IF(AND(NOT(ISBLANK(INDEX('glossaryterms-export'!H:H,_xlpm.rowNum))),ISBLANK(INDEX('glossaryterms-export'!I:I,_xlpm.rowNum))),"Ready to Fix",""))</f>
        <v/>
      </c>
    </row>
    <row r="4760" spans="6:6">
      <c r="F4760" s="1" t="str" cm="1">
        <f t="array" ref="F4760">_xlfn.LET(_xlpm.rowNum,MATCH(E4760,'glossaryterms-export'!C:C,0),
IF(AND(NOT(ISBLANK(INDEX('glossaryterms-export'!H:H,_xlpm.rowNum))),ISBLANK(INDEX('glossaryterms-export'!I:I,_xlpm.rowNum))),"Ready to Fix",""))</f>
        <v/>
      </c>
    </row>
    <row r="4761" spans="6:6">
      <c r="F4761" s="1" t="str" cm="1">
        <f t="array" ref="F4761">_xlfn.LET(_xlpm.rowNum,MATCH(E4761,'glossaryterms-export'!C:C,0),
IF(AND(NOT(ISBLANK(INDEX('glossaryterms-export'!H:H,_xlpm.rowNum))),ISBLANK(INDEX('glossaryterms-export'!I:I,_xlpm.rowNum))),"Ready to Fix",""))</f>
        <v/>
      </c>
    </row>
    <row r="4762" spans="6:6">
      <c r="F4762" s="1" t="str" cm="1">
        <f t="array" ref="F4762">_xlfn.LET(_xlpm.rowNum,MATCH(E4762,'glossaryterms-export'!C:C,0),
IF(AND(NOT(ISBLANK(INDEX('glossaryterms-export'!H:H,_xlpm.rowNum))),ISBLANK(INDEX('glossaryterms-export'!I:I,_xlpm.rowNum))),"Ready to Fix",""))</f>
        <v/>
      </c>
    </row>
    <row r="4763" spans="6:6">
      <c r="F4763" s="1" t="str" cm="1">
        <f t="array" ref="F4763">_xlfn.LET(_xlpm.rowNum,MATCH(E4763,'glossaryterms-export'!C:C,0),
IF(AND(NOT(ISBLANK(INDEX('glossaryterms-export'!H:H,_xlpm.rowNum))),ISBLANK(INDEX('glossaryterms-export'!I:I,_xlpm.rowNum))),"Ready to Fix",""))</f>
        <v/>
      </c>
    </row>
    <row r="4764" spans="6:6">
      <c r="F4764" s="1" t="str" cm="1">
        <f t="array" ref="F4764">_xlfn.LET(_xlpm.rowNum,MATCH(E4764,'glossaryterms-export'!C:C,0),
IF(AND(NOT(ISBLANK(INDEX('glossaryterms-export'!H:H,_xlpm.rowNum))),ISBLANK(INDEX('glossaryterms-export'!I:I,_xlpm.rowNum))),"Ready to Fix",""))</f>
        <v/>
      </c>
    </row>
    <row r="4765" spans="6:6">
      <c r="F4765" s="1" t="str" cm="1">
        <f t="array" ref="F4765">_xlfn.LET(_xlpm.rowNum,MATCH(E4765,'glossaryterms-export'!C:C,0),
IF(AND(NOT(ISBLANK(INDEX('glossaryterms-export'!H:H,_xlpm.rowNum))),ISBLANK(INDEX('glossaryterms-export'!I:I,_xlpm.rowNum))),"Ready to Fix",""))</f>
        <v/>
      </c>
    </row>
    <row r="4766" spans="6:6">
      <c r="F4766" s="1" t="str" cm="1">
        <f t="array" ref="F4766">_xlfn.LET(_xlpm.rowNum,MATCH(E4766,'glossaryterms-export'!C:C,0),
IF(AND(NOT(ISBLANK(INDEX('glossaryterms-export'!H:H,_xlpm.rowNum))),ISBLANK(INDEX('glossaryterms-export'!I:I,_xlpm.rowNum))),"Ready to Fix",""))</f>
        <v/>
      </c>
    </row>
    <row r="4767" spans="6:6">
      <c r="F4767" s="1" t="str" cm="1">
        <f t="array" ref="F4767">_xlfn.LET(_xlpm.rowNum,MATCH(E4767,'glossaryterms-export'!C:C,0),
IF(AND(NOT(ISBLANK(INDEX('glossaryterms-export'!H:H,_xlpm.rowNum))),ISBLANK(INDEX('glossaryterms-export'!I:I,_xlpm.rowNum))),"Ready to Fix",""))</f>
        <v/>
      </c>
    </row>
    <row r="4768" spans="6:6">
      <c r="F4768" s="1" t="str" cm="1">
        <f t="array" ref="F4768">_xlfn.LET(_xlpm.rowNum,MATCH(E4768,'glossaryterms-export'!C:C,0),
IF(AND(NOT(ISBLANK(INDEX('glossaryterms-export'!H:H,_xlpm.rowNum))),ISBLANK(INDEX('glossaryterms-export'!I:I,_xlpm.rowNum))),"Ready to Fix",""))</f>
        <v/>
      </c>
    </row>
    <row r="4769" spans="6:6">
      <c r="F4769" s="1" t="str" cm="1">
        <f t="array" ref="F4769">_xlfn.LET(_xlpm.rowNum,MATCH(E4769,'glossaryterms-export'!C:C,0),
IF(AND(NOT(ISBLANK(INDEX('glossaryterms-export'!H:H,_xlpm.rowNum))),ISBLANK(INDEX('glossaryterms-export'!I:I,_xlpm.rowNum))),"Ready to Fix",""))</f>
        <v/>
      </c>
    </row>
    <row r="4770" spans="6:6">
      <c r="F4770" s="1" t="str" cm="1">
        <f t="array" ref="F4770">_xlfn.LET(_xlpm.rowNum,MATCH(E4770,'glossaryterms-export'!C:C,0),
IF(AND(NOT(ISBLANK(INDEX('glossaryterms-export'!H:H,_xlpm.rowNum))),ISBLANK(INDEX('glossaryterms-export'!I:I,_xlpm.rowNum))),"Ready to Fix",""))</f>
        <v/>
      </c>
    </row>
    <row r="4771" spans="6:6">
      <c r="F4771" s="1" t="str" cm="1">
        <f t="array" ref="F4771">_xlfn.LET(_xlpm.rowNum,MATCH(E4771,'glossaryterms-export'!C:C,0),
IF(AND(NOT(ISBLANK(INDEX('glossaryterms-export'!H:H,_xlpm.rowNum))),ISBLANK(INDEX('glossaryterms-export'!I:I,_xlpm.rowNum))),"Ready to Fix",""))</f>
        <v/>
      </c>
    </row>
    <row r="4772" spans="6:6">
      <c r="F4772" s="1" t="str" cm="1">
        <f t="array" ref="F4772">_xlfn.LET(_xlpm.rowNum,MATCH(E4772,'glossaryterms-export'!C:C,0),
IF(AND(NOT(ISBLANK(INDEX('glossaryterms-export'!H:H,_xlpm.rowNum))),ISBLANK(INDEX('glossaryterms-export'!I:I,_xlpm.rowNum))),"Ready to Fix",""))</f>
        <v/>
      </c>
    </row>
    <row r="4773" spans="6:6">
      <c r="F4773" s="1" t="str" cm="1">
        <f t="array" ref="F4773">_xlfn.LET(_xlpm.rowNum,MATCH(E4773,'glossaryterms-export'!C:C,0),
IF(AND(NOT(ISBLANK(INDEX('glossaryterms-export'!H:H,_xlpm.rowNum))),ISBLANK(INDEX('glossaryterms-export'!I:I,_xlpm.rowNum))),"Ready to Fix",""))</f>
        <v/>
      </c>
    </row>
    <row r="4774" spans="6:6">
      <c r="F4774" s="1" t="str" cm="1">
        <f t="array" ref="F4774">_xlfn.LET(_xlpm.rowNum,MATCH(E4774,'glossaryterms-export'!C:C,0),
IF(AND(NOT(ISBLANK(INDEX('glossaryterms-export'!H:H,_xlpm.rowNum))),ISBLANK(INDEX('glossaryterms-export'!I:I,_xlpm.rowNum))),"Ready to Fix",""))</f>
        <v/>
      </c>
    </row>
    <row r="4775" spans="6:6">
      <c r="F4775" s="1" t="str" cm="1">
        <f t="array" ref="F4775">_xlfn.LET(_xlpm.rowNum,MATCH(E4775,'glossaryterms-export'!C:C,0),
IF(AND(NOT(ISBLANK(INDEX('glossaryterms-export'!H:H,_xlpm.rowNum))),ISBLANK(INDEX('glossaryterms-export'!I:I,_xlpm.rowNum))),"Ready to Fix",""))</f>
        <v/>
      </c>
    </row>
    <row r="4776" spans="6:6">
      <c r="F4776" s="1" t="str" cm="1">
        <f t="array" ref="F4776">_xlfn.LET(_xlpm.rowNum,MATCH(E4776,'glossaryterms-export'!C:C,0),
IF(AND(NOT(ISBLANK(INDEX('glossaryterms-export'!H:H,_xlpm.rowNum))),ISBLANK(INDEX('glossaryterms-export'!I:I,_xlpm.rowNum))),"Ready to Fix",""))</f>
        <v/>
      </c>
    </row>
    <row r="4777" spans="6:6">
      <c r="F4777" s="1" t="str" cm="1">
        <f t="array" ref="F4777">_xlfn.LET(_xlpm.rowNum,MATCH(E4777,'glossaryterms-export'!C:C,0),
IF(AND(NOT(ISBLANK(INDEX('glossaryterms-export'!H:H,_xlpm.rowNum))),ISBLANK(INDEX('glossaryterms-export'!I:I,_xlpm.rowNum))),"Ready to Fix",""))</f>
        <v/>
      </c>
    </row>
    <row r="4778" spans="6:6">
      <c r="F4778" s="1" t="str" cm="1">
        <f t="array" ref="F4778">_xlfn.LET(_xlpm.rowNum,MATCH(E4778,'glossaryterms-export'!C:C,0),
IF(AND(NOT(ISBLANK(INDEX('glossaryterms-export'!H:H,_xlpm.rowNum))),ISBLANK(INDEX('glossaryterms-export'!I:I,_xlpm.rowNum))),"Ready to Fix",""))</f>
        <v/>
      </c>
    </row>
    <row r="4779" spans="6:6">
      <c r="F4779" s="1" t="str" cm="1">
        <f t="array" ref="F4779">_xlfn.LET(_xlpm.rowNum,MATCH(E4779,'glossaryterms-export'!C:C,0),
IF(AND(NOT(ISBLANK(INDEX('glossaryterms-export'!H:H,_xlpm.rowNum))),ISBLANK(INDEX('glossaryterms-export'!I:I,_xlpm.rowNum))),"Ready to Fix",""))</f>
        <v/>
      </c>
    </row>
    <row r="4780" spans="6:6">
      <c r="F4780" s="1" t="str" cm="1">
        <f t="array" ref="F4780">_xlfn.LET(_xlpm.rowNum,MATCH(E4780,'glossaryterms-export'!C:C,0),
IF(AND(NOT(ISBLANK(INDEX('glossaryterms-export'!H:H,_xlpm.rowNum))),ISBLANK(INDEX('glossaryterms-export'!I:I,_xlpm.rowNum))),"Ready to Fix",""))</f>
        <v/>
      </c>
    </row>
    <row r="4781" spans="6:6">
      <c r="F4781" s="1" t="str" cm="1">
        <f t="array" ref="F4781">_xlfn.LET(_xlpm.rowNum,MATCH(E4781,'glossaryterms-export'!C:C,0),
IF(AND(NOT(ISBLANK(INDEX('glossaryterms-export'!H:H,_xlpm.rowNum))),ISBLANK(INDEX('glossaryterms-export'!I:I,_xlpm.rowNum))),"Ready to Fix",""))</f>
        <v/>
      </c>
    </row>
    <row r="4782" spans="6:6">
      <c r="F4782" s="1" t="str" cm="1">
        <f t="array" ref="F4782">_xlfn.LET(_xlpm.rowNum,MATCH(E4782,'glossaryterms-export'!C:C,0),
IF(AND(NOT(ISBLANK(INDEX('glossaryterms-export'!H:H,_xlpm.rowNum))),ISBLANK(INDEX('glossaryterms-export'!I:I,_xlpm.rowNum))),"Ready to Fix",""))</f>
        <v/>
      </c>
    </row>
    <row r="4783" spans="6:6">
      <c r="F4783" s="1" t="str" cm="1">
        <f t="array" ref="F4783">_xlfn.LET(_xlpm.rowNum,MATCH(E4783,'glossaryterms-export'!C:C,0),
IF(AND(NOT(ISBLANK(INDEX('glossaryterms-export'!H:H,_xlpm.rowNum))),ISBLANK(INDEX('glossaryterms-export'!I:I,_xlpm.rowNum))),"Ready to Fix",""))</f>
        <v/>
      </c>
    </row>
    <row r="4784" spans="6:6">
      <c r="F4784" s="1" t="str" cm="1">
        <f t="array" ref="F4784">_xlfn.LET(_xlpm.rowNum,MATCH(E4784,'glossaryterms-export'!C:C,0),
IF(AND(NOT(ISBLANK(INDEX('glossaryterms-export'!H:H,_xlpm.rowNum))),ISBLANK(INDEX('glossaryterms-export'!I:I,_xlpm.rowNum))),"Ready to Fix",""))</f>
        <v/>
      </c>
    </row>
    <row r="4785" spans="6:6">
      <c r="F4785" s="1" t="str" cm="1">
        <f t="array" ref="F4785">_xlfn.LET(_xlpm.rowNum,MATCH(E4785,'glossaryterms-export'!C:C,0),
IF(AND(NOT(ISBLANK(INDEX('glossaryterms-export'!H:H,_xlpm.rowNum))),ISBLANK(INDEX('glossaryterms-export'!I:I,_xlpm.rowNum))),"Ready to Fix",""))</f>
        <v/>
      </c>
    </row>
    <row r="4786" spans="6:6">
      <c r="F4786" s="1" t="str" cm="1">
        <f t="array" ref="F4786">_xlfn.LET(_xlpm.rowNum,MATCH(E4786,'glossaryterms-export'!C:C,0),
IF(AND(NOT(ISBLANK(INDEX('glossaryterms-export'!H:H,_xlpm.rowNum))),ISBLANK(INDEX('glossaryterms-export'!I:I,_xlpm.rowNum))),"Ready to Fix",""))</f>
        <v/>
      </c>
    </row>
    <row r="4787" spans="6:6">
      <c r="F4787" s="1" t="str" cm="1">
        <f t="array" ref="F4787">_xlfn.LET(_xlpm.rowNum,MATCH(E4787,'glossaryterms-export'!C:C,0),
IF(AND(NOT(ISBLANK(INDEX('glossaryterms-export'!H:H,_xlpm.rowNum))),ISBLANK(INDEX('glossaryterms-export'!I:I,_xlpm.rowNum))),"Ready to Fix",""))</f>
        <v/>
      </c>
    </row>
    <row r="4788" spans="6:6">
      <c r="F4788" s="1" t="str" cm="1">
        <f t="array" ref="F4788">_xlfn.LET(_xlpm.rowNum,MATCH(E4788,'glossaryterms-export'!C:C,0),
IF(AND(NOT(ISBLANK(INDEX('glossaryterms-export'!H:H,_xlpm.rowNum))),ISBLANK(INDEX('glossaryterms-export'!I:I,_xlpm.rowNum))),"Ready to Fix",""))</f>
        <v/>
      </c>
    </row>
    <row r="4789" spans="6:6">
      <c r="F4789" s="1" t="str" cm="1">
        <f t="array" ref="F4789">_xlfn.LET(_xlpm.rowNum,MATCH(E4789,'glossaryterms-export'!C:C,0),
IF(AND(NOT(ISBLANK(INDEX('glossaryterms-export'!H:H,_xlpm.rowNum))),ISBLANK(INDEX('glossaryterms-export'!I:I,_xlpm.rowNum))),"Ready to Fix",""))</f>
        <v/>
      </c>
    </row>
    <row r="4790" spans="6:6">
      <c r="F4790" s="1" t="str" cm="1">
        <f t="array" ref="F4790">_xlfn.LET(_xlpm.rowNum,MATCH(E4790,'glossaryterms-export'!C:C,0),
IF(AND(NOT(ISBLANK(INDEX('glossaryterms-export'!H:H,_xlpm.rowNum))),ISBLANK(INDEX('glossaryterms-export'!I:I,_xlpm.rowNum))),"Ready to Fix",""))</f>
        <v/>
      </c>
    </row>
    <row r="4791" spans="6:6">
      <c r="F4791" s="1" t="str" cm="1">
        <f t="array" ref="F4791">_xlfn.LET(_xlpm.rowNum,MATCH(E4791,'glossaryterms-export'!C:C,0),
IF(AND(NOT(ISBLANK(INDEX('glossaryterms-export'!H:H,_xlpm.rowNum))),ISBLANK(INDEX('glossaryterms-export'!I:I,_xlpm.rowNum))),"Ready to Fix",""))</f>
        <v/>
      </c>
    </row>
    <row r="4792" spans="6:6">
      <c r="F4792" s="1" t="str" cm="1">
        <f t="array" ref="F4792">_xlfn.LET(_xlpm.rowNum,MATCH(E4792,'glossaryterms-export'!C:C,0),
IF(AND(NOT(ISBLANK(INDEX('glossaryterms-export'!H:H,_xlpm.rowNum))),ISBLANK(INDEX('glossaryterms-export'!I:I,_xlpm.rowNum))),"Ready to Fix",""))</f>
        <v/>
      </c>
    </row>
    <row r="4793" spans="6:6">
      <c r="F4793" s="1" t="str" cm="1">
        <f t="array" ref="F4793">_xlfn.LET(_xlpm.rowNum,MATCH(E4793,'glossaryterms-export'!C:C,0),
IF(AND(NOT(ISBLANK(INDEX('glossaryterms-export'!H:H,_xlpm.rowNum))),ISBLANK(INDEX('glossaryterms-export'!I:I,_xlpm.rowNum))),"Ready to Fix",""))</f>
        <v/>
      </c>
    </row>
    <row r="4794" spans="6:6">
      <c r="F4794" s="1" t="str" cm="1">
        <f t="array" ref="F4794">_xlfn.LET(_xlpm.rowNum,MATCH(E4794,'glossaryterms-export'!C:C,0),
IF(AND(NOT(ISBLANK(INDEX('glossaryterms-export'!H:H,_xlpm.rowNum))),ISBLANK(INDEX('glossaryterms-export'!I:I,_xlpm.rowNum))),"Ready to Fix",""))</f>
        <v/>
      </c>
    </row>
    <row r="4795" spans="6:6">
      <c r="F4795" s="1" t="str" cm="1">
        <f t="array" ref="F4795">_xlfn.LET(_xlpm.rowNum,MATCH(E4795,'glossaryterms-export'!C:C,0),
IF(AND(NOT(ISBLANK(INDEX('glossaryterms-export'!H:H,_xlpm.rowNum))),ISBLANK(INDEX('glossaryterms-export'!I:I,_xlpm.rowNum))),"Ready to Fix",""))</f>
        <v/>
      </c>
    </row>
    <row r="4796" spans="6:6">
      <c r="F4796" s="1" t="str" cm="1">
        <f t="array" ref="F4796">_xlfn.LET(_xlpm.rowNum,MATCH(E4796,'glossaryterms-export'!C:C,0),
IF(AND(NOT(ISBLANK(INDEX('glossaryterms-export'!H:H,_xlpm.rowNum))),ISBLANK(INDEX('glossaryterms-export'!I:I,_xlpm.rowNum))),"Ready to Fix",""))</f>
        <v/>
      </c>
    </row>
    <row r="4797" spans="6:6">
      <c r="F4797" s="1" t="str" cm="1">
        <f t="array" ref="F4797">_xlfn.LET(_xlpm.rowNum,MATCH(E4797,'glossaryterms-export'!C:C,0),
IF(AND(NOT(ISBLANK(INDEX('glossaryterms-export'!H:H,_xlpm.rowNum))),ISBLANK(INDEX('glossaryterms-export'!I:I,_xlpm.rowNum))),"Ready to Fix",""))</f>
        <v/>
      </c>
    </row>
    <row r="4798" spans="6:6">
      <c r="F4798" s="1" t="str" cm="1">
        <f t="array" ref="F4798">_xlfn.LET(_xlpm.rowNum,MATCH(E4798,'glossaryterms-export'!C:C,0),
IF(AND(NOT(ISBLANK(INDEX('glossaryterms-export'!H:H,_xlpm.rowNum))),ISBLANK(INDEX('glossaryterms-export'!I:I,_xlpm.rowNum))),"Ready to Fix",""))</f>
        <v/>
      </c>
    </row>
    <row r="4799" spans="6:6">
      <c r="F4799" s="1" t="str" cm="1">
        <f t="array" ref="F4799">_xlfn.LET(_xlpm.rowNum,MATCH(E4799,'glossaryterms-export'!C:C,0),
IF(AND(NOT(ISBLANK(INDEX('glossaryterms-export'!H:H,_xlpm.rowNum))),ISBLANK(INDEX('glossaryterms-export'!I:I,_xlpm.rowNum))),"Ready to Fix",""))</f>
        <v/>
      </c>
    </row>
    <row r="4800" spans="6:6">
      <c r="F4800" s="1" t="str" cm="1">
        <f t="array" ref="F4800">_xlfn.LET(_xlpm.rowNum,MATCH(E4800,'glossaryterms-export'!C:C,0),
IF(AND(NOT(ISBLANK(INDEX('glossaryterms-export'!H:H,_xlpm.rowNum))),ISBLANK(INDEX('glossaryterms-export'!I:I,_xlpm.rowNum))),"Ready to Fix",""))</f>
        <v/>
      </c>
    </row>
    <row r="4801" spans="6:6">
      <c r="F4801" s="1" t="str" cm="1">
        <f t="array" ref="F4801">_xlfn.LET(_xlpm.rowNum,MATCH(E4801,'glossaryterms-export'!C:C,0),
IF(AND(NOT(ISBLANK(INDEX('glossaryterms-export'!H:H,_xlpm.rowNum))),ISBLANK(INDEX('glossaryterms-export'!I:I,_xlpm.rowNum))),"Ready to Fix",""))</f>
        <v/>
      </c>
    </row>
    <row r="4802" spans="6:6">
      <c r="F4802" s="1" t="str" cm="1">
        <f t="array" ref="F4802">_xlfn.LET(_xlpm.rowNum,MATCH(E4802,'glossaryterms-export'!C:C,0),
IF(AND(NOT(ISBLANK(INDEX('glossaryterms-export'!H:H,_xlpm.rowNum))),ISBLANK(INDEX('glossaryterms-export'!I:I,_xlpm.rowNum))),"Ready to Fix",""))</f>
        <v/>
      </c>
    </row>
    <row r="4803" spans="6:6">
      <c r="F4803" s="1" t="str" cm="1">
        <f t="array" ref="F4803">_xlfn.LET(_xlpm.rowNum,MATCH(E4803,'glossaryterms-export'!C:C,0),
IF(AND(NOT(ISBLANK(INDEX('glossaryterms-export'!H:H,_xlpm.rowNum))),ISBLANK(INDEX('glossaryterms-export'!I:I,_xlpm.rowNum))),"Ready to Fix",""))</f>
        <v/>
      </c>
    </row>
    <row r="4804" spans="6:6">
      <c r="F4804" s="1" t="str" cm="1">
        <f t="array" ref="F4804">_xlfn.LET(_xlpm.rowNum,MATCH(E4804,'glossaryterms-export'!C:C,0),
IF(AND(NOT(ISBLANK(INDEX('glossaryterms-export'!H:H,_xlpm.rowNum))),ISBLANK(INDEX('glossaryterms-export'!I:I,_xlpm.rowNum))),"Ready to Fix",""))</f>
        <v/>
      </c>
    </row>
    <row r="4805" spans="6:6">
      <c r="F4805" s="1" t="str" cm="1">
        <f t="array" ref="F4805">_xlfn.LET(_xlpm.rowNum,MATCH(E4805,'glossaryterms-export'!C:C,0),
IF(AND(NOT(ISBLANK(INDEX('glossaryterms-export'!H:H,_xlpm.rowNum))),ISBLANK(INDEX('glossaryterms-export'!I:I,_xlpm.rowNum))),"Ready to Fix",""))</f>
        <v/>
      </c>
    </row>
    <row r="4806" spans="6:6">
      <c r="F4806" s="1" t="str" cm="1">
        <f t="array" ref="F4806">_xlfn.LET(_xlpm.rowNum,MATCH(E4806,'glossaryterms-export'!C:C,0),
IF(AND(NOT(ISBLANK(INDEX('glossaryterms-export'!H:H,_xlpm.rowNum))),ISBLANK(INDEX('glossaryterms-export'!I:I,_xlpm.rowNum))),"Ready to Fix",""))</f>
        <v/>
      </c>
    </row>
    <row r="4807" spans="6:6">
      <c r="F4807" s="1" t="str" cm="1">
        <f t="array" ref="F4807">_xlfn.LET(_xlpm.rowNum,MATCH(E4807,'glossaryterms-export'!C:C,0),
IF(AND(NOT(ISBLANK(INDEX('glossaryterms-export'!H:H,_xlpm.rowNum))),ISBLANK(INDEX('glossaryterms-export'!I:I,_xlpm.rowNum))),"Ready to Fix",""))</f>
        <v/>
      </c>
    </row>
    <row r="4808" spans="6:6">
      <c r="F4808" s="1" t="str" cm="1">
        <f t="array" ref="F4808">_xlfn.LET(_xlpm.rowNum,MATCH(E4808,'glossaryterms-export'!C:C,0),
IF(AND(NOT(ISBLANK(INDEX('glossaryterms-export'!H:H,_xlpm.rowNum))),ISBLANK(INDEX('glossaryterms-export'!I:I,_xlpm.rowNum))),"Ready to Fix",""))</f>
        <v/>
      </c>
    </row>
    <row r="4809" spans="6:6">
      <c r="F4809" s="1" t="str" cm="1">
        <f t="array" ref="F4809">_xlfn.LET(_xlpm.rowNum,MATCH(E4809,'glossaryterms-export'!C:C,0),
IF(AND(NOT(ISBLANK(INDEX('glossaryterms-export'!H:H,_xlpm.rowNum))),ISBLANK(INDEX('glossaryterms-export'!I:I,_xlpm.rowNum))),"Ready to Fix",""))</f>
        <v/>
      </c>
    </row>
    <row r="4810" spans="6:6">
      <c r="F4810" s="1" t="str" cm="1">
        <f t="array" ref="F4810">_xlfn.LET(_xlpm.rowNum,MATCH(E4810,'glossaryterms-export'!C:C,0),
IF(AND(NOT(ISBLANK(INDEX('glossaryterms-export'!H:H,_xlpm.rowNum))),ISBLANK(INDEX('glossaryterms-export'!I:I,_xlpm.rowNum))),"Ready to Fix",""))</f>
        <v/>
      </c>
    </row>
    <row r="4811" spans="6:6">
      <c r="F4811" s="1" t="str" cm="1">
        <f t="array" ref="F4811">_xlfn.LET(_xlpm.rowNum,MATCH(E4811,'glossaryterms-export'!C:C,0),
IF(AND(NOT(ISBLANK(INDEX('glossaryterms-export'!H:H,_xlpm.rowNum))),ISBLANK(INDEX('glossaryterms-export'!I:I,_xlpm.rowNum))),"Ready to Fix",""))</f>
        <v/>
      </c>
    </row>
    <row r="4812" spans="6:6">
      <c r="F4812" s="1" t="str" cm="1">
        <f t="array" ref="F4812">_xlfn.LET(_xlpm.rowNum,MATCH(E4812,'glossaryterms-export'!C:C,0),
IF(AND(NOT(ISBLANK(INDEX('glossaryterms-export'!H:H,_xlpm.rowNum))),ISBLANK(INDEX('glossaryterms-export'!I:I,_xlpm.rowNum))),"Ready to Fix",""))</f>
        <v/>
      </c>
    </row>
    <row r="4813" spans="6:6">
      <c r="F4813" s="1" t="str" cm="1">
        <f t="array" ref="F4813">_xlfn.LET(_xlpm.rowNum,MATCH(E4813,'glossaryterms-export'!C:C,0),
IF(AND(NOT(ISBLANK(INDEX('glossaryterms-export'!H:H,_xlpm.rowNum))),ISBLANK(INDEX('glossaryterms-export'!I:I,_xlpm.rowNum))),"Ready to Fix",""))</f>
        <v/>
      </c>
    </row>
    <row r="4814" spans="6:6">
      <c r="F4814" s="1" t="str" cm="1">
        <f t="array" ref="F4814">_xlfn.LET(_xlpm.rowNum,MATCH(E4814,'glossaryterms-export'!C:C,0),
IF(AND(NOT(ISBLANK(INDEX('glossaryterms-export'!H:H,_xlpm.rowNum))),ISBLANK(INDEX('glossaryterms-export'!I:I,_xlpm.rowNum))),"Ready to Fix",""))</f>
        <v/>
      </c>
    </row>
    <row r="4815" spans="6:6">
      <c r="F4815" s="1" t="str" cm="1">
        <f t="array" ref="F4815">_xlfn.LET(_xlpm.rowNum,MATCH(E4815,'glossaryterms-export'!C:C,0),
IF(AND(NOT(ISBLANK(INDEX('glossaryterms-export'!H:H,_xlpm.rowNum))),ISBLANK(INDEX('glossaryterms-export'!I:I,_xlpm.rowNum))),"Ready to Fix",""))</f>
        <v/>
      </c>
    </row>
    <row r="4816" spans="6:6">
      <c r="F4816" s="1" t="str" cm="1">
        <f t="array" ref="F4816">_xlfn.LET(_xlpm.rowNum,MATCH(E4816,'glossaryterms-export'!C:C,0),
IF(AND(NOT(ISBLANK(INDEX('glossaryterms-export'!H:H,_xlpm.rowNum))),ISBLANK(INDEX('glossaryterms-export'!I:I,_xlpm.rowNum))),"Ready to Fix",""))</f>
        <v/>
      </c>
    </row>
    <row r="4817" spans="6:6">
      <c r="F4817" s="1" t="str" cm="1">
        <f t="array" ref="F4817">_xlfn.LET(_xlpm.rowNum,MATCH(E4817,'glossaryterms-export'!C:C,0),
IF(AND(NOT(ISBLANK(INDEX('glossaryterms-export'!H:H,_xlpm.rowNum))),ISBLANK(INDEX('glossaryterms-export'!I:I,_xlpm.rowNum))),"Ready to Fix",""))</f>
        <v/>
      </c>
    </row>
    <row r="4818" spans="6:6">
      <c r="F4818" s="1" t="str" cm="1">
        <f t="array" ref="F4818">_xlfn.LET(_xlpm.rowNum,MATCH(E4818,'glossaryterms-export'!C:C,0),
IF(AND(NOT(ISBLANK(INDEX('glossaryterms-export'!H:H,_xlpm.rowNum))),ISBLANK(INDEX('glossaryterms-export'!I:I,_xlpm.rowNum))),"Ready to Fix",""))</f>
        <v/>
      </c>
    </row>
    <row r="4819" spans="6:6">
      <c r="F4819" s="1" t="str" cm="1">
        <f t="array" ref="F4819">_xlfn.LET(_xlpm.rowNum,MATCH(E4819,'glossaryterms-export'!C:C,0),
IF(AND(NOT(ISBLANK(INDEX('glossaryterms-export'!H:H,_xlpm.rowNum))),ISBLANK(INDEX('glossaryterms-export'!I:I,_xlpm.rowNum))),"Ready to Fix",""))</f>
        <v/>
      </c>
    </row>
    <row r="4820" spans="6:6">
      <c r="F4820" s="1" t="str" cm="1">
        <f t="array" ref="F4820">_xlfn.LET(_xlpm.rowNum,MATCH(E4820,'glossaryterms-export'!C:C,0),
IF(AND(NOT(ISBLANK(INDEX('glossaryterms-export'!H:H,_xlpm.rowNum))),ISBLANK(INDEX('glossaryterms-export'!I:I,_xlpm.rowNum))),"Ready to Fix",""))</f>
        <v/>
      </c>
    </row>
    <row r="4821" spans="6:6">
      <c r="F4821" s="1" t="str" cm="1">
        <f t="array" ref="F4821">_xlfn.LET(_xlpm.rowNum,MATCH(E4821,'glossaryterms-export'!C:C,0),
IF(AND(NOT(ISBLANK(INDEX('glossaryterms-export'!H:H,_xlpm.rowNum))),ISBLANK(INDEX('glossaryterms-export'!I:I,_xlpm.rowNum))),"Ready to Fix",""))</f>
        <v/>
      </c>
    </row>
    <row r="4822" spans="6:6">
      <c r="F4822" s="1" t="str" cm="1">
        <f t="array" ref="F4822">_xlfn.LET(_xlpm.rowNum,MATCH(E4822,'glossaryterms-export'!C:C,0),
IF(AND(NOT(ISBLANK(INDEX('glossaryterms-export'!H:H,_xlpm.rowNum))),ISBLANK(INDEX('glossaryterms-export'!I:I,_xlpm.rowNum))),"Ready to Fix",""))</f>
        <v/>
      </c>
    </row>
    <row r="4823" spans="6:6">
      <c r="F4823" s="1" t="str" cm="1">
        <f t="array" ref="F4823">_xlfn.LET(_xlpm.rowNum,MATCH(E4823,'glossaryterms-export'!C:C,0),
IF(AND(NOT(ISBLANK(INDEX('glossaryterms-export'!H:H,_xlpm.rowNum))),ISBLANK(INDEX('glossaryterms-export'!I:I,_xlpm.rowNum))),"Ready to Fix",""))</f>
        <v/>
      </c>
    </row>
    <row r="4824" spans="6:6">
      <c r="F4824" s="1" t="str" cm="1">
        <f t="array" ref="F4824">_xlfn.LET(_xlpm.rowNum,MATCH(E4824,'glossaryterms-export'!C:C,0),
IF(AND(NOT(ISBLANK(INDEX('glossaryterms-export'!H:H,_xlpm.rowNum))),ISBLANK(INDEX('glossaryterms-export'!I:I,_xlpm.rowNum))),"Ready to Fix",""))</f>
        <v/>
      </c>
    </row>
    <row r="4825" spans="6:6">
      <c r="F4825" s="1" t="str" cm="1">
        <f t="array" ref="F4825">_xlfn.LET(_xlpm.rowNum,MATCH(E4825,'glossaryterms-export'!C:C,0),
IF(AND(NOT(ISBLANK(INDEX('glossaryterms-export'!H:H,_xlpm.rowNum))),ISBLANK(INDEX('glossaryterms-export'!I:I,_xlpm.rowNum))),"Ready to Fix",""))</f>
        <v/>
      </c>
    </row>
    <row r="4826" spans="6:6">
      <c r="F4826" s="1" t="str" cm="1">
        <f t="array" ref="F4826">_xlfn.LET(_xlpm.rowNum,MATCH(E4826,'glossaryterms-export'!C:C,0),
IF(AND(NOT(ISBLANK(INDEX('glossaryterms-export'!H:H,_xlpm.rowNum))),ISBLANK(INDEX('glossaryterms-export'!I:I,_xlpm.rowNum))),"Ready to Fix",""))</f>
        <v/>
      </c>
    </row>
    <row r="4827" spans="6:6">
      <c r="F4827" s="1" t="str" cm="1">
        <f t="array" ref="F4827">_xlfn.LET(_xlpm.rowNum,MATCH(E4827,'glossaryterms-export'!C:C,0),
IF(AND(NOT(ISBLANK(INDEX('glossaryterms-export'!H:H,_xlpm.rowNum))),ISBLANK(INDEX('glossaryterms-export'!I:I,_xlpm.rowNum))),"Ready to Fix",""))</f>
        <v/>
      </c>
    </row>
    <row r="4828" spans="6:6">
      <c r="F4828" s="1" t="str" cm="1">
        <f t="array" ref="F4828">_xlfn.LET(_xlpm.rowNum,MATCH(E4828,'glossaryterms-export'!C:C,0),
IF(AND(NOT(ISBLANK(INDEX('glossaryterms-export'!H:H,_xlpm.rowNum))),ISBLANK(INDEX('glossaryterms-export'!I:I,_xlpm.rowNum))),"Ready to Fix",""))</f>
        <v/>
      </c>
    </row>
    <row r="4829" spans="6:6">
      <c r="F4829" s="1" t="str" cm="1">
        <f t="array" ref="F4829">_xlfn.LET(_xlpm.rowNum,MATCH(E4829,'glossaryterms-export'!C:C,0),
IF(AND(NOT(ISBLANK(INDEX('glossaryterms-export'!H:H,_xlpm.rowNum))),ISBLANK(INDEX('glossaryterms-export'!I:I,_xlpm.rowNum))),"Ready to Fix",""))</f>
        <v/>
      </c>
    </row>
    <row r="4830" spans="6:6">
      <c r="F4830" s="1" t="str" cm="1">
        <f t="array" ref="F4830">_xlfn.LET(_xlpm.rowNum,MATCH(E4830,'glossaryterms-export'!C:C,0),
IF(AND(NOT(ISBLANK(INDEX('glossaryterms-export'!H:H,_xlpm.rowNum))),ISBLANK(INDEX('glossaryterms-export'!I:I,_xlpm.rowNum))),"Ready to Fix",""))</f>
        <v/>
      </c>
    </row>
    <row r="4831" spans="6:6">
      <c r="F4831" s="1" t="str" cm="1">
        <f t="array" ref="F4831">_xlfn.LET(_xlpm.rowNum,MATCH(E4831,'glossaryterms-export'!C:C,0),
IF(AND(NOT(ISBLANK(INDEX('glossaryterms-export'!H:H,_xlpm.rowNum))),ISBLANK(INDEX('glossaryterms-export'!I:I,_xlpm.rowNum))),"Ready to Fix",""))</f>
        <v/>
      </c>
    </row>
    <row r="4832" spans="6:6">
      <c r="F4832" s="1" t="str" cm="1">
        <f t="array" ref="F4832">_xlfn.LET(_xlpm.rowNum,MATCH(E4832,'glossaryterms-export'!C:C,0),
IF(AND(NOT(ISBLANK(INDEX('glossaryterms-export'!H:H,_xlpm.rowNum))),ISBLANK(INDEX('glossaryterms-export'!I:I,_xlpm.rowNum))),"Ready to Fix",""))</f>
        <v/>
      </c>
    </row>
    <row r="4833" spans="6:6">
      <c r="F4833" s="1" t="str" cm="1">
        <f t="array" ref="F4833">_xlfn.LET(_xlpm.rowNum,MATCH(E4833,'glossaryterms-export'!C:C,0),
IF(AND(NOT(ISBLANK(INDEX('glossaryterms-export'!H:H,_xlpm.rowNum))),ISBLANK(INDEX('glossaryterms-export'!I:I,_xlpm.rowNum))),"Ready to Fix",""))</f>
        <v/>
      </c>
    </row>
    <row r="4834" spans="6:6">
      <c r="F4834" s="1" t="str" cm="1">
        <f t="array" ref="F4834">_xlfn.LET(_xlpm.rowNum,MATCH(E4834,'glossaryterms-export'!C:C,0),
IF(AND(NOT(ISBLANK(INDEX('glossaryterms-export'!H:H,_xlpm.rowNum))),ISBLANK(INDEX('glossaryterms-export'!I:I,_xlpm.rowNum))),"Ready to Fix",""))</f>
        <v/>
      </c>
    </row>
    <row r="4835" spans="6:6">
      <c r="F4835" s="1" t="str" cm="1">
        <f t="array" ref="F4835">_xlfn.LET(_xlpm.rowNum,MATCH(E4835,'glossaryterms-export'!C:C,0),
IF(AND(NOT(ISBLANK(INDEX('glossaryterms-export'!H:H,_xlpm.rowNum))),ISBLANK(INDEX('glossaryterms-export'!I:I,_xlpm.rowNum))),"Ready to Fix",""))</f>
        <v/>
      </c>
    </row>
    <row r="4836" spans="6:6">
      <c r="F4836" s="1" t="str" cm="1">
        <f t="array" ref="F4836">_xlfn.LET(_xlpm.rowNum,MATCH(E4836,'glossaryterms-export'!C:C,0),
IF(AND(NOT(ISBLANK(INDEX('glossaryterms-export'!H:H,_xlpm.rowNum))),ISBLANK(INDEX('glossaryterms-export'!I:I,_xlpm.rowNum))),"Ready to Fix",""))</f>
        <v/>
      </c>
    </row>
    <row r="4837" spans="6:6">
      <c r="F4837" s="1" t="str" cm="1">
        <f t="array" ref="F4837">_xlfn.LET(_xlpm.rowNum,MATCH(E4837,'glossaryterms-export'!C:C,0),
IF(AND(NOT(ISBLANK(INDEX('glossaryterms-export'!H:H,_xlpm.rowNum))),ISBLANK(INDEX('glossaryterms-export'!I:I,_xlpm.rowNum))),"Ready to Fix",""))</f>
        <v/>
      </c>
    </row>
    <row r="4838" spans="6:6">
      <c r="F4838" s="1" t="str" cm="1">
        <f t="array" ref="F4838">_xlfn.LET(_xlpm.rowNum,MATCH(E4838,'glossaryterms-export'!C:C,0),
IF(AND(NOT(ISBLANK(INDEX('glossaryterms-export'!H:H,_xlpm.rowNum))),ISBLANK(INDEX('glossaryterms-export'!I:I,_xlpm.rowNum))),"Ready to Fix",""))</f>
        <v/>
      </c>
    </row>
    <row r="4839" spans="6:6">
      <c r="F4839" s="1" t="str" cm="1">
        <f t="array" ref="F4839">_xlfn.LET(_xlpm.rowNum,MATCH(E4839,'glossaryterms-export'!C:C,0),
IF(AND(NOT(ISBLANK(INDEX('glossaryterms-export'!H:H,_xlpm.rowNum))),ISBLANK(INDEX('glossaryterms-export'!I:I,_xlpm.rowNum))),"Ready to Fix",""))</f>
        <v/>
      </c>
    </row>
    <row r="4840" spans="6:6">
      <c r="F4840" s="1" t="str" cm="1">
        <f t="array" ref="F4840">_xlfn.LET(_xlpm.rowNum,MATCH(E4840,'glossaryterms-export'!C:C,0),
IF(AND(NOT(ISBLANK(INDEX('glossaryterms-export'!H:H,_xlpm.rowNum))),ISBLANK(INDEX('glossaryterms-export'!I:I,_xlpm.rowNum))),"Ready to Fix",""))</f>
        <v/>
      </c>
    </row>
    <row r="4841" spans="6:6">
      <c r="F4841" s="1" t="str" cm="1">
        <f t="array" ref="F4841">_xlfn.LET(_xlpm.rowNum,MATCH(E4841,'glossaryterms-export'!C:C,0),
IF(AND(NOT(ISBLANK(INDEX('glossaryterms-export'!H:H,_xlpm.rowNum))),ISBLANK(INDEX('glossaryterms-export'!I:I,_xlpm.rowNum))),"Ready to Fix",""))</f>
        <v/>
      </c>
    </row>
    <row r="4842" spans="6:6">
      <c r="F4842" s="1" t="str" cm="1">
        <f t="array" ref="F4842">_xlfn.LET(_xlpm.rowNum,MATCH(E4842,'glossaryterms-export'!C:C,0),
IF(AND(NOT(ISBLANK(INDEX('glossaryterms-export'!H:H,_xlpm.rowNum))),ISBLANK(INDEX('glossaryterms-export'!I:I,_xlpm.rowNum))),"Ready to Fix",""))</f>
        <v/>
      </c>
    </row>
    <row r="4843" spans="6:6">
      <c r="F4843" s="1" t="str" cm="1">
        <f t="array" ref="F4843">_xlfn.LET(_xlpm.rowNum,MATCH(E4843,'glossaryterms-export'!C:C,0),
IF(AND(NOT(ISBLANK(INDEX('glossaryterms-export'!H:H,_xlpm.rowNum))),ISBLANK(INDEX('glossaryterms-export'!I:I,_xlpm.rowNum))),"Ready to Fix",""))</f>
        <v/>
      </c>
    </row>
    <row r="4844" spans="6:6">
      <c r="F4844" s="1" t="str" cm="1">
        <f t="array" ref="F4844">_xlfn.LET(_xlpm.rowNum,MATCH(E4844,'glossaryterms-export'!C:C,0),
IF(AND(NOT(ISBLANK(INDEX('glossaryterms-export'!H:H,_xlpm.rowNum))),ISBLANK(INDEX('glossaryterms-export'!I:I,_xlpm.rowNum))),"Ready to Fix",""))</f>
        <v/>
      </c>
    </row>
    <row r="4845" spans="6:6">
      <c r="F4845" s="1" t="str" cm="1">
        <f t="array" ref="F4845">_xlfn.LET(_xlpm.rowNum,MATCH(E4845,'glossaryterms-export'!C:C,0),
IF(AND(NOT(ISBLANK(INDEX('glossaryterms-export'!H:H,_xlpm.rowNum))),ISBLANK(INDEX('glossaryterms-export'!I:I,_xlpm.rowNum))),"Ready to Fix",""))</f>
        <v/>
      </c>
    </row>
    <row r="4846" spans="6:6">
      <c r="F4846" s="1" t="str" cm="1">
        <f t="array" ref="F4846">_xlfn.LET(_xlpm.rowNum,MATCH(E4846,'glossaryterms-export'!C:C,0),
IF(AND(NOT(ISBLANK(INDEX('glossaryterms-export'!H:H,_xlpm.rowNum))),ISBLANK(INDEX('glossaryterms-export'!I:I,_xlpm.rowNum))),"Ready to Fix",""))</f>
        <v/>
      </c>
    </row>
    <row r="4847" spans="6:6">
      <c r="F4847" s="1" t="str" cm="1">
        <f t="array" ref="F4847">_xlfn.LET(_xlpm.rowNum,MATCH(E4847,'glossaryterms-export'!C:C,0),
IF(AND(NOT(ISBLANK(INDEX('glossaryterms-export'!H:H,_xlpm.rowNum))),ISBLANK(INDEX('glossaryterms-export'!I:I,_xlpm.rowNum))),"Ready to Fix",""))</f>
        <v/>
      </c>
    </row>
    <row r="4848" spans="6:6">
      <c r="F4848" s="1" t="str" cm="1">
        <f t="array" ref="F4848">_xlfn.LET(_xlpm.rowNum,MATCH(E4848,'glossaryterms-export'!C:C,0),
IF(AND(NOT(ISBLANK(INDEX('glossaryterms-export'!H:H,_xlpm.rowNum))),ISBLANK(INDEX('glossaryterms-export'!I:I,_xlpm.rowNum))),"Ready to Fix",""))</f>
        <v/>
      </c>
    </row>
    <row r="4849" spans="6:6">
      <c r="F4849" s="1" t="str" cm="1">
        <f t="array" ref="F4849">_xlfn.LET(_xlpm.rowNum,MATCH(E4849,'glossaryterms-export'!C:C,0),
IF(AND(NOT(ISBLANK(INDEX('glossaryterms-export'!H:H,_xlpm.rowNum))),ISBLANK(INDEX('glossaryterms-export'!I:I,_xlpm.rowNum))),"Ready to Fix",""))</f>
        <v/>
      </c>
    </row>
    <row r="4850" spans="6:6">
      <c r="F4850" s="1" t="str" cm="1">
        <f t="array" ref="F4850">_xlfn.LET(_xlpm.rowNum,MATCH(E4850,'glossaryterms-export'!C:C,0),
IF(AND(NOT(ISBLANK(INDEX('glossaryterms-export'!H:H,_xlpm.rowNum))),ISBLANK(INDEX('glossaryterms-export'!I:I,_xlpm.rowNum))),"Ready to Fix",""))</f>
        <v/>
      </c>
    </row>
    <row r="4851" spans="6:6">
      <c r="F4851" s="1" t="str" cm="1">
        <f t="array" ref="F4851">_xlfn.LET(_xlpm.rowNum,MATCH(E4851,'glossaryterms-export'!C:C,0),
IF(AND(NOT(ISBLANK(INDEX('glossaryterms-export'!H:H,_xlpm.rowNum))),ISBLANK(INDEX('glossaryterms-export'!I:I,_xlpm.rowNum))),"Ready to Fix",""))</f>
        <v/>
      </c>
    </row>
    <row r="4852" spans="6:6">
      <c r="F4852" s="1" t="str" cm="1">
        <f t="array" ref="F4852">_xlfn.LET(_xlpm.rowNum,MATCH(E4852,'glossaryterms-export'!C:C,0),
IF(AND(NOT(ISBLANK(INDEX('glossaryterms-export'!H:H,_xlpm.rowNum))),ISBLANK(INDEX('glossaryterms-export'!I:I,_xlpm.rowNum))),"Ready to Fix",""))</f>
        <v/>
      </c>
    </row>
    <row r="4853" spans="6:6">
      <c r="F4853" s="1" t="str" cm="1">
        <f t="array" ref="F4853">_xlfn.LET(_xlpm.rowNum,MATCH(E4853,'glossaryterms-export'!C:C,0),
IF(AND(NOT(ISBLANK(INDEX('glossaryterms-export'!H:H,_xlpm.rowNum))),ISBLANK(INDEX('glossaryterms-export'!I:I,_xlpm.rowNum))),"Ready to Fix",""))</f>
        <v/>
      </c>
    </row>
    <row r="4854" spans="6:6">
      <c r="F4854" s="1" t="str" cm="1">
        <f t="array" ref="F4854">_xlfn.LET(_xlpm.rowNum,MATCH(E4854,'glossaryterms-export'!C:C,0),
IF(AND(NOT(ISBLANK(INDEX('glossaryterms-export'!H:H,_xlpm.rowNum))),ISBLANK(INDEX('glossaryterms-export'!I:I,_xlpm.rowNum))),"Ready to Fix",""))</f>
        <v/>
      </c>
    </row>
    <row r="4855" spans="6:6">
      <c r="F4855" s="1" t="str" cm="1">
        <f t="array" ref="F4855">_xlfn.LET(_xlpm.rowNum,MATCH(E4855,'glossaryterms-export'!C:C,0),
IF(AND(NOT(ISBLANK(INDEX('glossaryterms-export'!H:H,_xlpm.rowNum))),ISBLANK(INDEX('glossaryterms-export'!I:I,_xlpm.rowNum))),"Ready to Fix",""))</f>
        <v/>
      </c>
    </row>
    <row r="4856" spans="6:6">
      <c r="F4856" s="1" t="str" cm="1">
        <f t="array" ref="F4856">_xlfn.LET(_xlpm.rowNum,MATCH(E4856,'glossaryterms-export'!C:C,0),
IF(AND(NOT(ISBLANK(INDEX('glossaryterms-export'!H:H,_xlpm.rowNum))),ISBLANK(INDEX('glossaryterms-export'!I:I,_xlpm.rowNum))),"Ready to Fix",""))</f>
        <v/>
      </c>
    </row>
    <row r="4857" spans="6:6">
      <c r="F4857" s="1" t="str" cm="1">
        <f t="array" ref="F4857">_xlfn.LET(_xlpm.rowNum,MATCH(E4857,'glossaryterms-export'!C:C,0),
IF(AND(NOT(ISBLANK(INDEX('glossaryterms-export'!H:H,_xlpm.rowNum))),ISBLANK(INDEX('glossaryterms-export'!I:I,_xlpm.rowNum))),"Ready to Fix",""))</f>
        <v/>
      </c>
    </row>
    <row r="4858" spans="6:6">
      <c r="F4858" s="1" t="str" cm="1">
        <f t="array" ref="F4858">_xlfn.LET(_xlpm.rowNum,MATCH(E4858,'glossaryterms-export'!C:C,0),
IF(AND(NOT(ISBLANK(INDEX('glossaryterms-export'!H:H,_xlpm.rowNum))),ISBLANK(INDEX('glossaryterms-export'!I:I,_xlpm.rowNum))),"Ready to Fix",""))</f>
        <v/>
      </c>
    </row>
    <row r="4859" spans="6:6">
      <c r="F4859" s="1" t="str" cm="1">
        <f t="array" ref="F4859">_xlfn.LET(_xlpm.rowNum,MATCH(E4859,'glossaryterms-export'!C:C,0),
IF(AND(NOT(ISBLANK(INDEX('glossaryterms-export'!H:H,_xlpm.rowNum))),ISBLANK(INDEX('glossaryterms-export'!I:I,_xlpm.rowNum))),"Ready to Fix",""))</f>
        <v/>
      </c>
    </row>
    <row r="4860" spans="6:6">
      <c r="F4860" s="1" t="str" cm="1">
        <f t="array" ref="F4860">_xlfn.LET(_xlpm.rowNum,MATCH(E4860,'glossaryterms-export'!C:C,0),
IF(AND(NOT(ISBLANK(INDEX('glossaryterms-export'!H:H,_xlpm.rowNum))),ISBLANK(INDEX('glossaryterms-export'!I:I,_xlpm.rowNum))),"Ready to Fix",""))</f>
        <v/>
      </c>
    </row>
    <row r="4861" spans="6:6">
      <c r="F4861" s="1" t="str" cm="1">
        <f t="array" ref="F4861">_xlfn.LET(_xlpm.rowNum,MATCH(E4861,'glossaryterms-export'!C:C,0),
IF(AND(NOT(ISBLANK(INDEX('glossaryterms-export'!H:H,_xlpm.rowNum))),ISBLANK(INDEX('glossaryterms-export'!I:I,_xlpm.rowNum))),"Ready to Fix",""))</f>
        <v/>
      </c>
    </row>
    <row r="4862" spans="6:6">
      <c r="F4862" s="1" t="str" cm="1">
        <f t="array" ref="F4862">_xlfn.LET(_xlpm.rowNum,MATCH(E4862,'glossaryterms-export'!C:C,0),
IF(AND(NOT(ISBLANK(INDEX('glossaryterms-export'!H:H,_xlpm.rowNum))),ISBLANK(INDEX('glossaryterms-export'!I:I,_xlpm.rowNum))),"Ready to Fix",""))</f>
        <v/>
      </c>
    </row>
    <row r="4863" spans="6:6">
      <c r="F4863" s="1" t="str" cm="1">
        <f t="array" ref="F4863">_xlfn.LET(_xlpm.rowNum,MATCH(E4863,'glossaryterms-export'!C:C,0),
IF(AND(NOT(ISBLANK(INDEX('glossaryterms-export'!H:H,_xlpm.rowNum))),ISBLANK(INDEX('glossaryterms-export'!I:I,_xlpm.rowNum))),"Ready to Fix",""))</f>
        <v/>
      </c>
    </row>
    <row r="4864" spans="6:6">
      <c r="F4864" s="1" t="str" cm="1">
        <f t="array" ref="F4864">_xlfn.LET(_xlpm.rowNum,MATCH(E4864,'glossaryterms-export'!C:C,0),
IF(AND(NOT(ISBLANK(INDEX('glossaryterms-export'!H:H,_xlpm.rowNum))),ISBLANK(INDEX('glossaryterms-export'!I:I,_xlpm.rowNum))),"Ready to Fix",""))</f>
        <v/>
      </c>
    </row>
    <row r="4865" spans="6:6">
      <c r="F4865" s="1" t="str" cm="1">
        <f t="array" ref="F4865">_xlfn.LET(_xlpm.rowNum,MATCH(E4865,'glossaryterms-export'!C:C,0),
IF(AND(NOT(ISBLANK(INDEX('glossaryterms-export'!H:H,_xlpm.rowNum))),ISBLANK(INDEX('glossaryterms-export'!I:I,_xlpm.rowNum))),"Ready to Fix",""))</f>
        <v/>
      </c>
    </row>
    <row r="4866" spans="6:6">
      <c r="F4866" s="1" t="str" cm="1">
        <f t="array" ref="F4866">_xlfn.LET(_xlpm.rowNum,MATCH(E4866,'glossaryterms-export'!C:C,0),
IF(AND(NOT(ISBLANK(INDEX('glossaryterms-export'!H:H,_xlpm.rowNum))),ISBLANK(INDEX('glossaryterms-export'!I:I,_xlpm.rowNum))),"Ready to Fix",""))</f>
        <v/>
      </c>
    </row>
    <row r="4867" spans="6:6">
      <c r="F4867" s="1" t="str" cm="1">
        <f t="array" ref="F4867">_xlfn.LET(_xlpm.rowNum,MATCH(E4867,'glossaryterms-export'!C:C,0),
IF(AND(NOT(ISBLANK(INDEX('glossaryterms-export'!H:H,_xlpm.rowNum))),ISBLANK(INDEX('glossaryterms-export'!I:I,_xlpm.rowNum))),"Ready to Fix",""))</f>
        <v/>
      </c>
    </row>
    <row r="4868" spans="6:6">
      <c r="F4868" s="1" t="str" cm="1">
        <f t="array" ref="F4868">_xlfn.LET(_xlpm.rowNum,MATCH(E4868,'glossaryterms-export'!C:C,0),
IF(AND(NOT(ISBLANK(INDEX('glossaryterms-export'!H:H,_xlpm.rowNum))),ISBLANK(INDEX('glossaryterms-export'!I:I,_xlpm.rowNum))),"Ready to Fix",""))</f>
        <v/>
      </c>
    </row>
    <row r="4869" spans="6:6">
      <c r="F4869" s="1" t="str" cm="1">
        <f t="array" ref="F4869">_xlfn.LET(_xlpm.rowNum,MATCH(E4869,'glossaryterms-export'!C:C,0),
IF(AND(NOT(ISBLANK(INDEX('glossaryterms-export'!H:H,_xlpm.rowNum))),ISBLANK(INDEX('glossaryterms-export'!I:I,_xlpm.rowNum))),"Ready to Fix",""))</f>
        <v/>
      </c>
    </row>
    <row r="4870" spans="6:6">
      <c r="F4870" s="1" t="str" cm="1">
        <f t="array" ref="F4870">_xlfn.LET(_xlpm.rowNum,MATCH(E4870,'glossaryterms-export'!C:C,0),
IF(AND(NOT(ISBLANK(INDEX('glossaryterms-export'!H:H,_xlpm.rowNum))),ISBLANK(INDEX('glossaryterms-export'!I:I,_xlpm.rowNum))),"Ready to Fix",""))</f>
        <v/>
      </c>
    </row>
    <row r="4871" spans="6:6">
      <c r="F4871" s="1" t="str" cm="1">
        <f t="array" ref="F4871">_xlfn.LET(_xlpm.rowNum,MATCH(E4871,'glossaryterms-export'!C:C,0),
IF(AND(NOT(ISBLANK(INDEX('glossaryterms-export'!H:H,_xlpm.rowNum))),ISBLANK(INDEX('glossaryterms-export'!I:I,_xlpm.rowNum))),"Ready to Fix",""))</f>
        <v/>
      </c>
    </row>
    <row r="4872" spans="6:6">
      <c r="F4872" s="1" t="str" cm="1">
        <f t="array" ref="F4872">_xlfn.LET(_xlpm.rowNum,MATCH(E4872,'glossaryterms-export'!C:C,0),
IF(AND(NOT(ISBLANK(INDEX('glossaryterms-export'!H:H,_xlpm.rowNum))),ISBLANK(INDEX('glossaryterms-export'!I:I,_xlpm.rowNum))),"Ready to Fix",""))</f>
        <v/>
      </c>
    </row>
    <row r="4873" spans="6:6">
      <c r="F4873" s="1" t="str" cm="1">
        <f t="array" ref="F4873">_xlfn.LET(_xlpm.rowNum,MATCH(E4873,'glossaryterms-export'!C:C,0),
IF(AND(NOT(ISBLANK(INDEX('glossaryterms-export'!H:H,_xlpm.rowNum))),ISBLANK(INDEX('glossaryterms-export'!I:I,_xlpm.rowNum))),"Ready to Fix",""))</f>
        <v/>
      </c>
    </row>
    <row r="4874" spans="6:6">
      <c r="F4874" s="1" t="str" cm="1">
        <f t="array" ref="F4874">_xlfn.LET(_xlpm.rowNum,MATCH(E4874,'glossaryterms-export'!C:C,0),
IF(AND(NOT(ISBLANK(INDEX('glossaryterms-export'!H:H,_xlpm.rowNum))),ISBLANK(INDEX('glossaryterms-export'!I:I,_xlpm.rowNum))),"Ready to Fix",""))</f>
        <v/>
      </c>
    </row>
    <row r="4875" spans="6:6">
      <c r="F4875" s="1" t="str" cm="1">
        <f t="array" ref="F4875">_xlfn.LET(_xlpm.rowNum,MATCH(E4875,'glossaryterms-export'!C:C,0),
IF(AND(NOT(ISBLANK(INDEX('glossaryterms-export'!H:H,_xlpm.rowNum))),ISBLANK(INDEX('glossaryterms-export'!I:I,_xlpm.rowNum))),"Ready to Fix",""))</f>
        <v/>
      </c>
    </row>
    <row r="4876" spans="6:6">
      <c r="F4876" s="1" t="str" cm="1">
        <f t="array" ref="F4876">_xlfn.LET(_xlpm.rowNum,MATCH(E4876,'glossaryterms-export'!C:C,0),
IF(AND(NOT(ISBLANK(INDEX('glossaryterms-export'!H:H,_xlpm.rowNum))),ISBLANK(INDEX('glossaryterms-export'!I:I,_xlpm.rowNum))),"Ready to Fix",""))</f>
        <v/>
      </c>
    </row>
    <row r="4877" spans="6:6">
      <c r="F4877" s="1" t="str" cm="1">
        <f t="array" ref="F4877">_xlfn.LET(_xlpm.rowNum,MATCH(E4877,'glossaryterms-export'!C:C,0),
IF(AND(NOT(ISBLANK(INDEX('glossaryterms-export'!H:H,_xlpm.rowNum))),ISBLANK(INDEX('glossaryterms-export'!I:I,_xlpm.rowNum))),"Ready to Fix",""))</f>
        <v/>
      </c>
    </row>
    <row r="4878" spans="6:6">
      <c r="F4878" s="1" t="str" cm="1">
        <f t="array" ref="F4878">_xlfn.LET(_xlpm.rowNum,MATCH(E4878,'glossaryterms-export'!C:C,0),
IF(AND(NOT(ISBLANK(INDEX('glossaryterms-export'!H:H,_xlpm.rowNum))),ISBLANK(INDEX('glossaryterms-export'!I:I,_xlpm.rowNum))),"Ready to Fix",""))</f>
        <v/>
      </c>
    </row>
    <row r="4879" spans="6:6">
      <c r="F4879" s="1" t="str" cm="1">
        <f t="array" ref="F4879">_xlfn.LET(_xlpm.rowNum,MATCH(E4879,'glossaryterms-export'!C:C,0),
IF(AND(NOT(ISBLANK(INDEX('glossaryterms-export'!H:H,_xlpm.rowNum))),ISBLANK(INDEX('glossaryterms-export'!I:I,_xlpm.rowNum))),"Ready to Fix",""))</f>
        <v/>
      </c>
    </row>
    <row r="4880" spans="6:6">
      <c r="F4880" s="1" t="str" cm="1">
        <f t="array" ref="F4880">_xlfn.LET(_xlpm.rowNum,MATCH(E4880,'glossaryterms-export'!C:C,0),
IF(AND(NOT(ISBLANK(INDEX('glossaryterms-export'!H:H,_xlpm.rowNum))),ISBLANK(INDEX('glossaryterms-export'!I:I,_xlpm.rowNum))),"Ready to Fix",""))</f>
        <v/>
      </c>
    </row>
    <row r="4881" spans="6:6">
      <c r="F4881" s="1" t="str" cm="1">
        <f t="array" ref="F4881">_xlfn.LET(_xlpm.rowNum,MATCH(E4881,'glossaryterms-export'!C:C,0),
IF(AND(NOT(ISBLANK(INDEX('glossaryterms-export'!H:H,_xlpm.rowNum))),ISBLANK(INDEX('glossaryterms-export'!I:I,_xlpm.rowNum))),"Ready to Fix",""))</f>
        <v/>
      </c>
    </row>
    <row r="4882" spans="6:6">
      <c r="F4882" s="1" t="str" cm="1">
        <f t="array" ref="F4882">_xlfn.LET(_xlpm.rowNum,MATCH(E4882,'glossaryterms-export'!C:C,0),
IF(AND(NOT(ISBLANK(INDEX('glossaryterms-export'!H:H,_xlpm.rowNum))),ISBLANK(INDEX('glossaryterms-export'!I:I,_xlpm.rowNum))),"Ready to Fix",""))</f>
        <v/>
      </c>
    </row>
    <row r="4883" spans="6:6">
      <c r="F4883" s="1" t="str" cm="1">
        <f t="array" ref="F4883">_xlfn.LET(_xlpm.rowNum,MATCH(E4883,'glossaryterms-export'!C:C,0),
IF(AND(NOT(ISBLANK(INDEX('glossaryterms-export'!H:H,_xlpm.rowNum))),ISBLANK(INDEX('glossaryterms-export'!I:I,_xlpm.rowNum))),"Ready to Fix",""))</f>
        <v/>
      </c>
    </row>
    <row r="4884" spans="6:6">
      <c r="F4884" s="1" t="str" cm="1">
        <f t="array" ref="F4884">_xlfn.LET(_xlpm.rowNum,MATCH(E4884,'glossaryterms-export'!C:C,0),
IF(AND(NOT(ISBLANK(INDEX('glossaryterms-export'!H:H,_xlpm.rowNum))),ISBLANK(INDEX('glossaryterms-export'!I:I,_xlpm.rowNum))),"Ready to Fix",""))</f>
        <v/>
      </c>
    </row>
    <row r="4885" spans="6:6">
      <c r="F4885" s="1" t="str" cm="1">
        <f t="array" ref="F4885">_xlfn.LET(_xlpm.rowNum,MATCH(E4885,'glossaryterms-export'!C:C,0),
IF(AND(NOT(ISBLANK(INDEX('glossaryterms-export'!H:H,_xlpm.rowNum))),ISBLANK(INDEX('glossaryterms-export'!I:I,_xlpm.rowNum))),"Ready to Fix",""))</f>
        <v/>
      </c>
    </row>
    <row r="4886" spans="6:6">
      <c r="F4886" s="1" t="str" cm="1">
        <f t="array" ref="F4886">_xlfn.LET(_xlpm.rowNum,MATCH(E4886,'glossaryterms-export'!C:C,0),
IF(AND(NOT(ISBLANK(INDEX('glossaryterms-export'!H:H,_xlpm.rowNum))),ISBLANK(INDEX('glossaryterms-export'!I:I,_xlpm.rowNum))),"Ready to Fix",""))</f>
        <v/>
      </c>
    </row>
    <row r="4887" spans="6:6">
      <c r="F4887" s="1" t="str" cm="1">
        <f t="array" ref="F4887">_xlfn.LET(_xlpm.rowNum,MATCH(E4887,'glossaryterms-export'!C:C,0),
IF(AND(NOT(ISBLANK(INDEX('glossaryterms-export'!H:H,_xlpm.rowNum))),ISBLANK(INDEX('glossaryterms-export'!I:I,_xlpm.rowNum))),"Ready to Fix",""))</f>
        <v/>
      </c>
    </row>
    <row r="4888" spans="6:6">
      <c r="F4888" s="1" t="str" cm="1">
        <f t="array" ref="F4888">_xlfn.LET(_xlpm.rowNum,MATCH(E4888,'glossaryterms-export'!C:C,0),
IF(AND(NOT(ISBLANK(INDEX('glossaryterms-export'!H:H,_xlpm.rowNum))),ISBLANK(INDEX('glossaryterms-export'!I:I,_xlpm.rowNum))),"Ready to Fix",""))</f>
        <v/>
      </c>
    </row>
    <row r="4889" spans="6:6">
      <c r="F4889" s="1" t="str" cm="1">
        <f t="array" ref="F4889">_xlfn.LET(_xlpm.rowNum,MATCH(E4889,'glossaryterms-export'!C:C,0),
IF(AND(NOT(ISBLANK(INDEX('glossaryterms-export'!H:H,_xlpm.rowNum))),ISBLANK(INDEX('glossaryterms-export'!I:I,_xlpm.rowNum))),"Ready to Fix",""))</f>
        <v/>
      </c>
    </row>
    <row r="4890" spans="6:6">
      <c r="F4890" s="1" t="str" cm="1">
        <f t="array" ref="F4890">_xlfn.LET(_xlpm.rowNum,MATCH(E4890,'glossaryterms-export'!C:C,0),
IF(AND(NOT(ISBLANK(INDEX('glossaryterms-export'!H:H,_xlpm.rowNum))),ISBLANK(INDEX('glossaryterms-export'!I:I,_xlpm.rowNum))),"Ready to Fix",""))</f>
        <v/>
      </c>
    </row>
    <row r="4891" spans="6:6">
      <c r="F4891" s="1" t="str" cm="1">
        <f t="array" ref="F4891">_xlfn.LET(_xlpm.rowNum,MATCH(E4891,'glossaryterms-export'!C:C,0),
IF(AND(NOT(ISBLANK(INDEX('glossaryterms-export'!H:H,_xlpm.rowNum))),ISBLANK(INDEX('glossaryterms-export'!I:I,_xlpm.rowNum))),"Ready to Fix",""))</f>
        <v/>
      </c>
    </row>
    <row r="4892" spans="6:6">
      <c r="F4892" s="1" t="str" cm="1">
        <f t="array" ref="F4892">_xlfn.LET(_xlpm.rowNum,MATCH(E4892,'glossaryterms-export'!C:C,0),
IF(AND(NOT(ISBLANK(INDEX('glossaryterms-export'!H:H,_xlpm.rowNum))),ISBLANK(INDEX('glossaryterms-export'!I:I,_xlpm.rowNum))),"Ready to Fix",""))</f>
        <v/>
      </c>
    </row>
    <row r="4893" spans="6:6">
      <c r="F4893" s="1" t="str" cm="1">
        <f t="array" ref="F4893">_xlfn.LET(_xlpm.rowNum,MATCH(E4893,'glossaryterms-export'!C:C,0),
IF(AND(NOT(ISBLANK(INDEX('glossaryterms-export'!H:H,_xlpm.rowNum))),ISBLANK(INDEX('glossaryterms-export'!I:I,_xlpm.rowNum))),"Ready to Fix",""))</f>
        <v/>
      </c>
    </row>
    <row r="4894" spans="6:6">
      <c r="F4894" s="1" t="str" cm="1">
        <f t="array" ref="F4894">_xlfn.LET(_xlpm.rowNum,MATCH(E4894,'glossaryterms-export'!C:C,0),
IF(AND(NOT(ISBLANK(INDEX('glossaryterms-export'!H:H,_xlpm.rowNum))),ISBLANK(INDEX('glossaryterms-export'!I:I,_xlpm.rowNum))),"Ready to Fix",""))</f>
        <v/>
      </c>
    </row>
    <row r="4895" spans="6:6">
      <c r="F4895" s="1" t="str" cm="1">
        <f t="array" ref="F4895">_xlfn.LET(_xlpm.rowNum,MATCH(E4895,'glossaryterms-export'!C:C,0),
IF(AND(NOT(ISBLANK(INDEX('glossaryterms-export'!H:H,_xlpm.rowNum))),ISBLANK(INDEX('glossaryterms-export'!I:I,_xlpm.rowNum))),"Ready to Fix",""))</f>
        <v/>
      </c>
    </row>
    <row r="4896" spans="6:6">
      <c r="F4896" s="1" t="str" cm="1">
        <f t="array" ref="F4896">_xlfn.LET(_xlpm.rowNum,MATCH(E4896,'glossaryterms-export'!C:C,0),
IF(AND(NOT(ISBLANK(INDEX('glossaryterms-export'!H:H,_xlpm.rowNum))),ISBLANK(INDEX('glossaryterms-export'!I:I,_xlpm.rowNum))),"Ready to Fix",""))</f>
        <v/>
      </c>
    </row>
    <row r="4897" spans="6:6">
      <c r="F4897" s="1" t="str" cm="1">
        <f t="array" ref="F4897">_xlfn.LET(_xlpm.rowNum,MATCH(E4897,'glossaryterms-export'!C:C,0),
IF(AND(NOT(ISBLANK(INDEX('glossaryterms-export'!H:H,_xlpm.rowNum))),ISBLANK(INDEX('glossaryterms-export'!I:I,_xlpm.rowNum))),"Ready to Fix",""))</f>
        <v/>
      </c>
    </row>
    <row r="4898" spans="6:6">
      <c r="F4898" s="1" t="str" cm="1">
        <f t="array" ref="F4898">_xlfn.LET(_xlpm.rowNum,MATCH(E4898,'glossaryterms-export'!C:C,0),
IF(AND(NOT(ISBLANK(INDEX('glossaryterms-export'!H:H,_xlpm.rowNum))),ISBLANK(INDEX('glossaryterms-export'!I:I,_xlpm.rowNum))),"Ready to Fix",""))</f>
        <v/>
      </c>
    </row>
    <row r="4899" spans="6:6">
      <c r="F4899" s="1" t="str" cm="1">
        <f t="array" ref="F4899">_xlfn.LET(_xlpm.rowNum,MATCH(E4899,'glossaryterms-export'!C:C,0),
IF(AND(NOT(ISBLANK(INDEX('glossaryterms-export'!H:H,_xlpm.rowNum))),ISBLANK(INDEX('glossaryterms-export'!I:I,_xlpm.rowNum))),"Ready to Fix",""))</f>
        <v/>
      </c>
    </row>
    <row r="4900" spans="6:6">
      <c r="F4900" s="1" t="str" cm="1">
        <f t="array" ref="F4900">_xlfn.LET(_xlpm.rowNum,MATCH(E4900,'glossaryterms-export'!C:C,0),
IF(AND(NOT(ISBLANK(INDEX('glossaryterms-export'!H:H,_xlpm.rowNum))),ISBLANK(INDEX('glossaryterms-export'!I:I,_xlpm.rowNum))),"Ready to Fix",""))</f>
        <v/>
      </c>
    </row>
    <row r="4901" spans="6:6">
      <c r="F4901" s="1" t="str" cm="1">
        <f t="array" ref="F4901">_xlfn.LET(_xlpm.rowNum,MATCH(E4901,'glossaryterms-export'!C:C,0),
IF(AND(NOT(ISBLANK(INDEX('glossaryterms-export'!H:H,_xlpm.rowNum))),ISBLANK(INDEX('glossaryterms-export'!I:I,_xlpm.rowNum))),"Ready to Fix",""))</f>
        <v/>
      </c>
    </row>
    <row r="4902" spans="6:6">
      <c r="F4902" s="1" t="str" cm="1">
        <f t="array" ref="F4902">_xlfn.LET(_xlpm.rowNum,MATCH(E4902,'glossaryterms-export'!C:C,0),
IF(AND(NOT(ISBLANK(INDEX('glossaryterms-export'!H:H,_xlpm.rowNum))),ISBLANK(INDEX('glossaryterms-export'!I:I,_xlpm.rowNum))),"Ready to Fix",""))</f>
        <v/>
      </c>
    </row>
    <row r="4903" spans="6:6">
      <c r="F4903" s="1" t="str" cm="1">
        <f t="array" ref="F4903">_xlfn.LET(_xlpm.rowNum,MATCH(E4903,'glossaryterms-export'!C:C,0),
IF(AND(NOT(ISBLANK(INDEX('glossaryterms-export'!H:H,_xlpm.rowNum))),ISBLANK(INDEX('glossaryterms-export'!I:I,_xlpm.rowNum))),"Ready to Fix",""))</f>
        <v/>
      </c>
    </row>
    <row r="4904" spans="6:6">
      <c r="F4904" s="1" t="str" cm="1">
        <f t="array" ref="F4904">_xlfn.LET(_xlpm.rowNum,MATCH(E4904,'glossaryterms-export'!C:C,0),
IF(AND(NOT(ISBLANK(INDEX('glossaryterms-export'!H:H,_xlpm.rowNum))),ISBLANK(INDEX('glossaryterms-export'!I:I,_xlpm.rowNum))),"Ready to Fix",""))</f>
        <v/>
      </c>
    </row>
    <row r="4905" spans="6:6">
      <c r="F4905" s="1" t="str" cm="1">
        <f t="array" ref="F4905">_xlfn.LET(_xlpm.rowNum,MATCH(E4905,'glossaryterms-export'!C:C,0),
IF(AND(NOT(ISBLANK(INDEX('glossaryterms-export'!H:H,_xlpm.rowNum))),ISBLANK(INDEX('glossaryterms-export'!I:I,_xlpm.rowNum))),"Ready to Fix",""))</f>
        <v/>
      </c>
    </row>
    <row r="4906" spans="6:6">
      <c r="F4906" s="1" t="str" cm="1">
        <f t="array" ref="F4906">_xlfn.LET(_xlpm.rowNum,MATCH(E4906,'glossaryterms-export'!C:C,0),
IF(AND(NOT(ISBLANK(INDEX('glossaryterms-export'!H:H,_xlpm.rowNum))),ISBLANK(INDEX('glossaryterms-export'!I:I,_xlpm.rowNum))),"Ready to Fix",""))</f>
        <v/>
      </c>
    </row>
    <row r="4907" spans="6:6">
      <c r="F4907" s="1" t="str" cm="1">
        <f t="array" ref="F4907">_xlfn.LET(_xlpm.rowNum,MATCH(E4907,'glossaryterms-export'!C:C,0),
IF(AND(NOT(ISBLANK(INDEX('glossaryterms-export'!H:H,_xlpm.rowNum))),ISBLANK(INDEX('glossaryterms-export'!I:I,_xlpm.rowNum))),"Ready to Fix",""))</f>
        <v/>
      </c>
    </row>
    <row r="4908" spans="6:6">
      <c r="F4908" s="1" t="str" cm="1">
        <f t="array" ref="F4908">_xlfn.LET(_xlpm.rowNum,MATCH(E4908,'glossaryterms-export'!C:C,0),
IF(AND(NOT(ISBLANK(INDEX('glossaryterms-export'!H:H,_xlpm.rowNum))),ISBLANK(INDEX('glossaryterms-export'!I:I,_xlpm.rowNum))),"Ready to Fix",""))</f>
        <v/>
      </c>
    </row>
    <row r="4909" spans="6:6">
      <c r="F4909" s="1" t="str" cm="1">
        <f t="array" ref="F4909">_xlfn.LET(_xlpm.rowNum,MATCH(E4909,'glossaryterms-export'!C:C,0),
IF(AND(NOT(ISBLANK(INDEX('glossaryterms-export'!H:H,_xlpm.rowNum))),ISBLANK(INDEX('glossaryterms-export'!I:I,_xlpm.rowNum))),"Ready to Fix",""))</f>
        <v/>
      </c>
    </row>
    <row r="4910" spans="6:6">
      <c r="F4910" s="1" t="str" cm="1">
        <f t="array" ref="F4910">_xlfn.LET(_xlpm.rowNum,MATCH(E4910,'glossaryterms-export'!C:C,0),
IF(AND(NOT(ISBLANK(INDEX('glossaryterms-export'!H:H,_xlpm.rowNum))),ISBLANK(INDEX('glossaryterms-export'!I:I,_xlpm.rowNum))),"Ready to Fix",""))</f>
        <v/>
      </c>
    </row>
    <row r="4911" spans="6:6">
      <c r="F4911" s="1" t="str" cm="1">
        <f t="array" ref="F4911">_xlfn.LET(_xlpm.rowNum,MATCH(E4911,'glossaryterms-export'!C:C,0),
IF(AND(NOT(ISBLANK(INDEX('glossaryterms-export'!H:H,_xlpm.rowNum))),ISBLANK(INDEX('glossaryterms-export'!I:I,_xlpm.rowNum))),"Ready to Fix",""))</f>
        <v/>
      </c>
    </row>
    <row r="4912" spans="6:6">
      <c r="F4912" s="1" t="str" cm="1">
        <f t="array" ref="F4912">_xlfn.LET(_xlpm.rowNum,MATCH(E4912,'glossaryterms-export'!C:C,0),
IF(AND(NOT(ISBLANK(INDEX('glossaryterms-export'!H:H,_xlpm.rowNum))),ISBLANK(INDEX('glossaryterms-export'!I:I,_xlpm.rowNum))),"Ready to Fix",""))</f>
        <v/>
      </c>
    </row>
    <row r="4913" spans="6:6">
      <c r="F4913" s="1" t="str" cm="1">
        <f t="array" ref="F4913">_xlfn.LET(_xlpm.rowNum,MATCH(E4913,'glossaryterms-export'!C:C,0),
IF(AND(NOT(ISBLANK(INDEX('glossaryterms-export'!H:H,_xlpm.rowNum))),ISBLANK(INDEX('glossaryterms-export'!I:I,_xlpm.rowNum))),"Ready to Fix",""))</f>
        <v/>
      </c>
    </row>
    <row r="4914" spans="6:6">
      <c r="F4914" s="1" t="str" cm="1">
        <f t="array" ref="F4914">_xlfn.LET(_xlpm.rowNum,MATCH(E4914,'glossaryterms-export'!C:C,0),
IF(AND(NOT(ISBLANK(INDEX('glossaryterms-export'!H:H,_xlpm.rowNum))),ISBLANK(INDEX('glossaryterms-export'!I:I,_xlpm.rowNum))),"Ready to Fix",""))</f>
        <v/>
      </c>
    </row>
    <row r="4915" spans="6:6">
      <c r="F4915" s="1" t="str" cm="1">
        <f t="array" ref="F4915">_xlfn.LET(_xlpm.rowNum,MATCH(E4915,'glossaryterms-export'!C:C,0),
IF(AND(NOT(ISBLANK(INDEX('glossaryterms-export'!H:H,_xlpm.rowNum))),ISBLANK(INDEX('glossaryterms-export'!I:I,_xlpm.rowNum))),"Ready to Fix",""))</f>
        <v/>
      </c>
    </row>
    <row r="4916" spans="6:6">
      <c r="F4916" s="1" t="str" cm="1">
        <f t="array" ref="F4916">_xlfn.LET(_xlpm.rowNum,MATCH(E4916,'glossaryterms-export'!C:C,0),
IF(AND(NOT(ISBLANK(INDEX('glossaryterms-export'!H:H,_xlpm.rowNum))),ISBLANK(INDEX('glossaryterms-export'!I:I,_xlpm.rowNum))),"Ready to Fix",""))</f>
        <v/>
      </c>
    </row>
    <row r="4917" spans="6:6">
      <c r="F4917" s="1" t="str" cm="1">
        <f t="array" ref="F4917">_xlfn.LET(_xlpm.rowNum,MATCH(E4917,'glossaryterms-export'!C:C,0),
IF(AND(NOT(ISBLANK(INDEX('glossaryterms-export'!H:H,_xlpm.rowNum))),ISBLANK(INDEX('glossaryterms-export'!I:I,_xlpm.rowNum))),"Ready to Fix",""))</f>
        <v/>
      </c>
    </row>
    <row r="4918" spans="6:6">
      <c r="F4918" s="1" t="str" cm="1">
        <f t="array" ref="F4918">_xlfn.LET(_xlpm.rowNum,MATCH(E4918,'glossaryterms-export'!C:C,0),
IF(AND(NOT(ISBLANK(INDEX('glossaryterms-export'!H:H,_xlpm.rowNum))),ISBLANK(INDEX('glossaryterms-export'!I:I,_xlpm.rowNum))),"Ready to Fix",""))</f>
        <v/>
      </c>
    </row>
    <row r="4919" spans="6:6">
      <c r="F4919" s="1" t="str" cm="1">
        <f t="array" ref="F4919">_xlfn.LET(_xlpm.rowNum,MATCH(E4919,'glossaryterms-export'!C:C,0),
IF(AND(NOT(ISBLANK(INDEX('glossaryterms-export'!H:H,_xlpm.rowNum))),ISBLANK(INDEX('glossaryterms-export'!I:I,_xlpm.rowNum))),"Ready to Fix",""))</f>
        <v/>
      </c>
    </row>
    <row r="4920" spans="6:6">
      <c r="F4920" s="1" t="str" cm="1">
        <f t="array" ref="F4920">_xlfn.LET(_xlpm.rowNum,MATCH(E4920,'glossaryterms-export'!C:C,0),
IF(AND(NOT(ISBLANK(INDEX('glossaryterms-export'!H:H,_xlpm.rowNum))),ISBLANK(INDEX('glossaryterms-export'!I:I,_xlpm.rowNum))),"Ready to Fix",""))</f>
        <v/>
      </c>
    </row>
    <row r="4921" spans="6:6">
      <c r="F4921" s="1" t="str" cm="1">
        <f t="array" ref="F4921">_xlfn.LET(_xlpm.rowNum,MATCH(E4921,'glossaryterms-export'!C:C,0),
IF(AND(NOT(ISBLANK(INDEX('glossaryterms-export'!H:H,_xlpm.rowNum))),ISBLANK(INDEX('glossaryterms-export'!I:I,_xlpm.rowNum))),"Ready to Fix",""))</f>
        <v/>
      </c>
    </row>
    <row r="4922" spans="6:6">
      <c r="F4922" s="1" t="str" cm="1">
        <f t="array" ref="F4922">_xlfn.LET(_xlpm.rowNum,MATCH(E4922,'glossaryterms-export'!C:C,0),
IF(AND(NOT(ISBLANK(INDEX('glossaryterms-export'!H:H,_xlpm.rowNum))),ISBLANK(INDEX('glossaryterms-export'!I:I,_xlpm.rowNum))),"Ready to Fix",""))</f>
        <v/>
      </c>
    </row>
    <row r="4923" spans="6:6">
      <c r="F4923" s="1" t="str" cm="1">
        <f t="array" ref="F4923">_xlfn.LET(_xlpm.rowNum,MATCH(E4923,'glossaryterms-export'!C:C,0),
IF(AND(NOT(ISBLANK(INDEX('glossaryterms-export'!H:H,_xlpm.rowNum))),ISBLANK(INDEX('glossaryterms-export'!I:I,_xlpm.rowNum))),"Ready to Fix",""))</f>
        <v/>
      </c>
    </row>
    <row r="4924" spans="6:6">
      <c r="F4924" s="1" t="str" cm="1">
        <f t="array" ref="F4924">_xlfn.LET(_xlpm.rowNum,MATCH(E4924,'glossaryterms-export'!C:C,0),
IF(AND(NOT(ISBLANK(INDEX('glossaryterms-export'!H:H,_xlpm.rowNum))),ISBLANK(INDEX('glossaryterms-export'!I:I,_xlpm.rowNum))),"Ready to Fix",""))</f>
        <v/>
      </c>
    </row>
    <row r="4925" spans="6:6">
      <c r="F4925" s="1" t="str" cm="1">
        <f t="array" ref="F4925">_xlfn.LET(_xlpm.rowNum,MATCH(E4925,'glossaryterms-export'!C:C,0),
IF(AND(NOT(ISBLANK(INDEX('glossaryterms-export'!H:H,_xlpm.rowNum))),ISBLANK(INDEX('glossaryterms-export'!I:I,_xlpm.rowNum))),"Ready to Fix",""))</f>
        <v/>
      </c>
    </row>
    <row r="4926" spans="6:6">
      <c r="F4926" s="1" t="str" cm="1">
        <f t="array" ref="F4926">_xlfn.LET(_xlpm.rowNum,MATCH(E4926,'glossaryterms-export'!C:C,0),
IF(AND(NOT(ISBLANK(INDEX('glossaryterms-export'!H:H,_xlpm.rowNum))),ISBLANK(INDEX('glossaryterms-export'!I:I,_xlpm.rowNum))),"Ready to Fix",""))</f>
        <v/>
      </c>
    </row>
    <row r="4927" spans="6:6">
      <c r="F4927" s="1" t="str" cm="1">
        <f t="array" ref="F4927">_xlfn.LET(_xlpm.rowNum,MATCH(E4927,'glossaryterms-export'!C:C,0),
IF(AND(NOT(ISBLANK(INDEX('glossaryterms-export'!H:H,_xlpm.rowNum))),ISBLANK(INDEX('glossaryterms-export'!I:I,_xlpm.rowNum))),"Ready to Fix",""))</f>
        <v/>
      </c>
    </row>
    <row r="4928" spans="6:6">
      <c r="F4928" s="1" t="str" cm="1">
        <f t="array" ref="F4928">_xlfn.LET(_xlpm.rowNum,MATCH(E4928,'glossaryterms-export'!C:C,0),
IF(AND(NOT(ISBLANK(INDEX('glossaryterms-export'!H:H,_xlpm.rowNum))),ISBLANK(INDEX('glossaryterms-export'!I:I,_xlpm.rowNum))),"Ready to Fix",""))</f>
        <v/>
      </c>
    </row>
    <row r="4929" spans="6:6">
      <c r="F4929" s="1" t="str" cm="1">
        <f t="array" ref="F4929">_xlfn.LET(_xlpm.rowNum,MATCH(E4929,'glossaryterms-export'!C:C,0),
IF(AND(NOT(ISBLANK(INDEX('glossaryterms-export'!H:H,_xlpm.rowNum))),ISBLANK(INDEX('glossaryterms-export'!I:I,_xlpm.rowNum))),"Ready to Fix",""))</f>
        <v/>
      </c>
    </row>
    <row r="4930" spans="6:6">
      <c r="F4930" s="1" t="str" cm="1">
        <f t="array" ref="F4930">_xlfn.LET(_xlpm.rowNum,MATCH(E4930,'glossaryterms-export'!C:C,0),
IF(AND(NOT(ISBLANK(INDEX('glossaryterms-export'!H:H,_xlpm.rowNum))),ISBLANK(INDEX('glossaryterms-export'!I:I,_xlpm.rowNum))),"Ready to Fix",""))</f>
        <v/>
      </c>
    </row>
    <row r="4931" spans="6:6">
      <c r="F4931" s="1" t="str" cm="1">
        <f t="array" ref="F4931">_xlfn.LET(_xlpm.rowNum,MATCH(E4931,'glossaryterms-export'!C:C,0),
IF(AND(NOT(ISBLANK(INDEX('glossaryterms-export'!H:H,_xlpm.rowNum))),ISBLANK(INDEX('glossaryterms-export'!I:I,_xlpm.rowNum))),"Ready to Fix",""))</f>
        <v/>
      </c>
    </row>
    <row r="4932" spans="6:6">
      <c r="F4932" s="1" t="str" cm="1">
        <f t="array" ref="F4932">_xlfn.LET(_xlpm.rowNum,MATCH(E4932,'glossaryterms-export'!C:C,0),
IF(AND(NOT(ISBLANK(INDEX('glossaryterms-export'!H:H,_xlpm.rowNum))),ISBLANK(INDEX('glossaryterms-export'!I:I,_xlpm.rowNum))),"Ready to Fix",""))</f>
        <v/>
      </c>
    </row>
    <row r="4933" spans="6:6">
      <c r="F4933" s="1" t="str" cm="1">
        <f t="array" ref="F4933">_xlfn.LET(_xlpm.rowNum,MATCH(E4933,'glossaryterms-export'!C:C,0),
IF(AND(NOT(ISBLANK(INDEX('glossaryterms-export'!H:H,_xlpm.rowNum))),ISBLANK(INDEX('glossaryterms-export'!I:I,_xlpm.rowNum))),"Ready to Fix",""))</f>
        <v/>
      </c>
    </row>
    <row r="4934" spans="6:6">
      <c r="F4934" s="1" t="str" cm="1">
        <f t="array" ref="F4934">_xlfn.LET(_xlpm.rowNum,MATCH(E4934,'glossaryterms-export'!C:C,0),
IF(AND(NOT(ISBLANK(INDEX('glossaryterms-export'!H:H,_xlpm.rowNum))),ISBLANK(INDEX('glossaryterms-export'!I:I,_xlpm.rowNum))),"Ready to Fix",""))</f>
        <v/>
      </c>
    </row>
    <row r="4935" spans="6:6">
      <c r="F4935" s="1" t="str" cm="1">
        <f t="array" ref="F4935">_xlfn.LET(_xlpm.rowNum,MATCH(E4935,'glossaryterms-export'!C:C,0),
IF(AND(NOT(ISBLANK(INDEX('glossaryterms-export'!H:H,_xlpm.rowNum))),ISBLANK(INDEX('glossaryterms-export'!I:I,_xlpm.rowNum))),"Ready to Fix",""))</f>
        <v/>
      </c>
    </row>
    <row r="4936" spans="6:6">
      <c r="F4936" s="1" t="str" cm="1">
        <f t="array" ref="F4936">_xlfn.LET(_xlpm.rowNum,MATCH(E4936,'glossaryterms-export'!C:C,0),
IF(AND(NOT(ISBLANK(INDEX('glossaryterms-export'!H:H,_xlpm.rowNum))),ISBLANK(INDEX('glossaryterms-export'!I:I,_xlpm.rowNum))),"Ready to Fix",""))</f>
        <v/>
      </c>
    </row>
    <row r="4937" spans="6:6">
      <c r="F4937" s="1" t="str" cm="1">
        <f t="array" ref="F4937">_xlfn.LET(_xlpm.rowNum,MATCH(E4937,'glossaryterms-export'!C:C,0),
IF(AND(NOT(ISBLANK(INDEX('glossaryterms-export'!H:H,_xlpm.rowNum))),ISBLANK(INDEX('glossaryterms-export'!I:I,_xlpm.rowNum))),"Ready to Fix",""))</f>
        <v/>
      </c>
    </row>
    <row r="4938" spans="6:6">
      <c r="F4938" s="1" t="str" cm="1">
        <f t="array" ref="F4938">_xlfn.LET(_xlpm.rowNum,MATCH(E4938,'glossaryterms-export'!C:C,0),
IF(AND(NOT(ISBLANK(INDEX('glossaryterms-export'!H:H,_xlpm.rowNum))),ISBLANK(INDEX('glossaryterms-export'!I:I,_xlpm.rowNum))),"Ready to Fix",""))</f>
        <v/>
      </c>
    </row>
    <row r="4939" spans="6:6">
      <c r="F4939" s="1" t="str" cm="1">
        <f t="array" ref="F4939">_xlfn.LET(_xlpm.rowNum,MATCH(E4939,'glossaryterms-export'!C:C,0),
IF(AND(NOT(ISBLANK(INDEX('glossaryterms-export'!H:H,_xlpm.rowNum))),ISBLANK(INDEX('glossaryterms-export'!I:I,_xlpm.rowNum))),"Ready to Fix",""))</f>
        <v/>
      </c>
    </row>
    <row r="4940" spans="6:6">
      <c r="F4940" s="1" t="str" cm="1">
        <f t="array" ref="F4940">_xlfn.LET(_xlpm.rowNum,MATCH(E4940,'glossaryterms-export'!C:C,0),
IF(AND(NOT(ISBLANK(INDEX('glossaryterms-export'!H:H,_xlpm.rowNum))),ISBLANK(INDEX('glossaryterms-export'!I:I,_xlpm.rowNum))),"Ready to Fix",""))</f>
        <v/>
      </c>
    </row>
    <row r="4941" spans="6:6">
      <c r="F4941" s="1" t="str" cm="1">
        <f t="array" ref="F4941">_xlfn.LET(_xlpm.rowNum,MATCH(E4941,'glossaryterms-export'!C:C,0),
IF(AND(NOT(ISBLANK(INDEX('glossaryterms-export'!H:H,_xlpm.rowNum))),ISBLANK(INDEX('glossaryterms-export'!I:I,_xlpm.rowNum))),"Ready to Fix",""))</f>
        <v/>
      </c>
    </row>
    <row r="4942" spans="6:6">
      <c r="F4942" s="1" t="str" cm="1">
        <f t="array" ref="F4942">_xlfn.LET(_xlpm.rowNum,MATCH(E4942,'glossaryterms-export'!C:C,0),
IF(AND(NOT(ISBLANK(INDEX('glossaryterms-export'!H:H,_xlpm.rowNum))),ISBLANK(INDEX('glossaryterms-export'!I:I,_xlpm.rowNum))),"Ready to Fix",""))</f>
        <v/>
      </c>
    </row>
    <row r="4943" spans="6:6">
      <c r="F4943" s="1" t="str" cm="1">
        <f t="array" ref="F4943">_xlfn.LET(_xlpm.rowNum,MATCH(E4943,'glossaryterms-export'!C:C,0),
IF(AND(NOT(ISBLANK(INDEX('glossaryterms-export'!H:H,_xlpm.rowNum))),ISBLANK(INDEX('glossaryterms-export'!I:I,_xlpm.rowNum))),"Ready to Fix",""))</f>
        <v/>
      </c>
    </row>
    <row r="4944" spans="6:6">
      <c r="F4944" s="1" t="str" cm="1">
        <f t="array" ref="F4944">_xlfn.LET(_xlpm.rowNum,MATCH(E4944,'glossaryterms-export'!C:C,0),
IF(AND(NOT(ISBLANK(INDEX('glossaryterms-export'!H:H,_xlpm.rowNum))),ISBLANK(INDEX('glossaryterms-export'!I:I,_xlpm.rowNum))),"Ready to Fix",""))</f>
        <v/>
      </c>
    </row>
    <row r="4945" spans="6:6">
      <c r="F4945" s="1" t="str" cm="1">
        <f t="array" ref="F4945">_xlfn.LET(_xlpm.rowNum,MATCH(E4945,'glossaryterms-export'!C:C,0),
IF(AND(NOT(ISBLANK(INDEX('glossaryterms-export'!H:H,_xlpm.rowNum))),ISBLANK(INDEX('glossaryterms-export'!I:I,_xlpm.rowNum))),"Ready to Fix",""))</f>
        <v/>
      </c>
    </row>
    <row r="4946" spans="6:6">
      <c r="F4946" s="1" t="str" cm="1">
        <f t="array" ref="F4946">_xlfn.LET(_xlpm.rowNum,MATCH(E4946,'glossaryterms-export'!C:C,0),
IF(AND(NOT(ISBLANK(INDEX('glossaryterms-export'!H:H,_xlpm.rowNum))),ISBLANK(INDEX('glossaryterms-export'!I:I,_xlpm.rowNum))),"Ready to Fix",""))</f>
        <v/>
      </c>
    </row>
    <row r="4947" spans="6:6">
      <c r="F4947" s="1" t="str" cm="1">
        <f t="array" ref="F4947">_xlfn.LET(_xlpm.rowNum,MATCH(E4947,'glossaryterms-export'!C:C,0),
IF(AND(NOT(ISBLANK(INDEX('glossaryterms-export'!H:H,_xlpm.rowNum))),ISBLANK(INDEX('glossaryterms-export'!I:I,_xlpm.rowNum))),"Ready to Fix",""))</f>
        <v/>
      </c>
    </row>
    <row r="4948" spans="6:6">
      <c r="F4948" s="1" t="str" cm="1">
        <f t="array" ref="F4948">_xlfn.LET(_xlpm.rowNum,MATCH(E4948,'glossaryterms-export'!C:C,0),
IF(AND(NOT(ISBLANK(INDEX('glossaryterms-export'!H:H,_xlpm.rowNum))),ISBLANK(INDEX('glossaryterms-export'!I:I,_xlpm.rowNum))),"Ready to Fix",""))</f>
        <v/>
      </c>
    </row>
    <row r="4949" spans="6:6">
      <c r="F4949" s="1" t="str" cm="1">
        <f t="array" ref="F4949">_xlfn.LET(_xlpm.rowNum,MATCH(E4949,'glossaryterms-export'!C:C,0),
IF(AND(NOT(ISBLANK(INDEX('glossaryterms-export'!H:H,_xlpm.rowNum))),ISBLANK(INDEX('glossaryterms-export'!I:I,_xlpm.rowNum))),"Ready to Fix",""))</f>
        <v/>
      </c>
    </row>
    <row r="4950" spans="6:6">
      <c r="F4950" s="1" t="str" cm="1">
        <f t="array" ref="F4950">_xlfn.LET(_xlpm.rowNum,MATCH(E4950,'glossaryterms-export'!C:C,0),
IF(AND(NOT(ISBLANK(INDEX('glossaryterms-export'!H:H,_xlpm.rowNum))),ISBLANK(INDEX('glossaryterms-export'!I:I,_xlpm.rowNum))),"Ready to Fix",""))</f>
        <v/>
      </c>
    </row>
    <row r="4951" spans="6:6">
      <c r="F4951" s="1" t="str" cm="1">
        <f t="array" ref="F4951">_xlfn.LET(_xlpm.rowNum,MATCH(E4951,'glossaryterms-export'!C:C,0),
IF(AND(NOT(ISBLANK(INDEX('glossaryterms-export'!H:H,_xlpm.rowNum))),ISBLANK(INDEX('glossaryterms-export'!I:I,_xlpm.rowNum))),"Ready to Fix",""))</f>
        <v/>
      </c>
    </row>
    <row r="4952" spans="6:6">
      <c r="F4952" s="1" t="str" cm="1">
        <f t="array" ref="F4952">_xlfn.LET(_xlpm.rowNum,MATCH(E4952,'glossaryterms-export'!C:C,0),
IF(AND(NOT(ISBLANK(INDEX('glossaryterms-export'!H:H,_xlpm.rowNum))),ISBLANK(INDEX('glossaryterms-export'!I:I,_xlpm.rowNum))),"Ready to Fix",""))</f>
        <v/>
      </c>
    </row>
    <row r="4953" spans="6:6">
      <c r="F4953" s="1" t="str" cm="1">
        <f t="array" ref="F4953">_xlfn.LET(_xlpm.rowNum,MATCH(E4953,'glossaryterms-export'!C:C,0),
IF(AND(NOT(ISBLANK(INDEX('glossaryterms-export'!H:H,_xlpm.rowNum))),ISBLANK(INDEX('glossaryterms-export'!I:I,_xlpm.rowNum))),"Ready to Fix",""))</f>
        <v/>
      </c>
    </row>
    <row r="4954" spans="6:6">
      <c r="F4954" s="1" t="str" cm="1">
        <f t="array" ref="F4954">_xlfn.LET(_xlpm.rowNum,MATCH(E4954,'glossaryterms-export'!C:C,0),
IF(AND(NOT(ISBLANK(INDEX('glossaryterms-export'!H:H,_xlpm.rowNum))),ISBLANK(INDEX('glossaryterms-export'!I:I,_xlpm.rowNum))),"Ready to Fix",""))</f>
        <v/>
      </c>
    </row>
    <row r="4955" spans="6:6">
      <c r="F4955" s="1" t="str" cm="1">
        <f t="array" ref="F4955">_xlfn.LET(_xlpm.rowNum,MATCH(E4955,'glossaryterms-export'!C:C,0),
IF(AND(NOT(ISBLANK(INDEX('glossaryterms-export'!H:H,_xlpm.rowNum))),ISBLANK(INDEX('glossaryterms-export'!I:I,_xlpm.rowNum))),"Ready to Fix",""))</f>
        <v/>
      </c>
    </row>
    <row r="4956" spans="6:6">
      <c r="F4956" s="1" t="str" cm="1">
        <f t="array" ref="F4956">_xlfn.LET(_xlpm.rowNum,MATCH(E4956,'glossaryterms-export'!C:C,0),
IF(AND(NOT(ISBLANK(INDEX('glossaryterms-export'!H:H,_xlpm.rowNum))),ISBLANK(INDEX('glossaryterms-export'!I:I,_xlpm.rowNum))),"Ready to Fix",""))</f>
        <v/>
      </c>
    </row>
    <row r="4957" spans="6:6">
      <c r="F4957" s="1" t="str" cm="1">
        <f t="array" ref="F4957">_xlfn.LET(_xlpm.rowNum,MATCH(E4957,'glossaryterms-export'!C:C,0),
IF(AND(NOT(ISBLANK(INDEX('glossaryterms-export'!H:H,_xlpm.rowNum))),ISBLANK(INDEX('glossaryterms-export'!I:I,_xlpm.rowNum))),"Ready to Fix",""))</f>
        <v/>
      </c>
    </row>
    <row r="4958" spans="6:6">
      <c r="F4958" s="1" t="str" cm="1">
        <f t="array" ref="F4958">_xlfn.LET(_xlpm.rowNum,MATCH(E4958,'glossaryterms-export'!C:C,0),
IF(AND(NOT(ISBLANK(INDEX('glossaryterms-export'!H:H,_xlpm.rowNum))),ISBLANK(INDEX('glossaryterms-export'!I:I,_xlpm.rowNum))),"Ready to Fix",""))</f>
        <v/>
      </c>
    </row>
    <row r="4959" spans="6:6">
      <c r="F4959" s="1" t="str" cm="1">
        <f t="array" ref="F4959">_xlfn.LET(_xlpm.rowNum,MATCH(E4959,'glossaryterms-export'!C:C,0),
IF(AND(NOT(ISBLANK(INDEX('glossaryterms-export'!H:H,_xlpm.rowNum))),ISBLANK(INDEX('glossaryterms-export'!I:I,_xlpm.rowNum))),"Ready to Fix",""))</f>
        <v/>
      </c>
    </row>
    <row r="4960" spans="6:6">
      <c r="F4960" s="1" t="str" cm="1">
        <f t="array" ref="F4960">_xlfn.LET(_xlpm.rowNum,MATCH(E4960,'glossaryterms-export'!C:C,0),
IF(AND(NOT(ISBLANK(INDEX('glossaryterms-export'!H:H,_xlpm.rowNum))),ISBLANK(INDEX('glossaryterms-export'!I:I,_xlpm.rowNum))),"Ready to Fix",""))</f>
        <v/>
      </c>
    </row>
    <row r="4961" spans="6:6">
      <c r="F4961" s="1" t="str" cm="1">
        <f t="array" ref="F4961">_xlfn.LET(_xlpm.rowNum,MATCH(E4961,'glossaryterms-export'!C:C,0),
IF(AND(NOT(ISBLANK(INDEX('glossaryterms-export'!H:H,_xlpm.rowNum))),ISBLANK(INDEX('glossaryterms-export'!I:I,_xlpm.rowNum))),"Ready to Fix",""))</f>
        <v/>
      </c>
    </row>
    <row r="4962" spans="6:6">
      <c r="F4962" s="1" t="str" cm="1">
        <f t="array" ref="F4962">_xlfn.LET(_xlpm.rowNum,MATCH(E4962,'glossaryterms-export'!C:C,0),
IF(AND(NOT(ISBLANK(INDEX('glossaryterms-export'!H:H,_xlpm.rowNum))),ISBLANK(INDEX('glossaryterms-export'!I:I,_xlpm.rowNum))),"Ready to Fix",""))</f>
        <v/>
      </c>
    </row>
    <row r="4963" spans="6:6">
      <c r="F4963" s="1" t="str" cm="1">
        <f t="array" ref="F4963">_xlfn.LET(_xlpm.rowNum,MATCH(E4963,'glossaryterms-export'!C:C,0),
IF(AND(NOT(ISBLANK(INDEX('glossaryterms-export'!H:H,_xlpm.rowNum))),ISBLANK(INDEX('glossaryterms-export'!I:I,_xlpm.rowNum))),"Ready to Fix",""))</f>
        <v/>
      </c>
    </row>
    <row r="4964" spans="6:6">
      <c r="F4964" s="1" t="str" cm="1">
        <f t="array" ref="F4964">_xlfn.LET(_xlpm.rowNum,MATCH(E4964,'glossaryterms-export'!C:C,0),
IF(AND(NOT(ISBLANK(INDEX('glossaryterms-export'!H:H,_xlpm.rowNum))),ISBLANK(INDEX('glossaryterms-export'!I:I,_xlpm.rowNum))),"Ready to Fix",""))</f>
        <v/>
      </c>
    </row>
    <row r="4965" spans="6:6">
      <c r="F4965" s="1" t="str" cm="1">
        <f t="array" ref="F4965">_xlfn.LET(_xlpm.rowNum,MATCH(E4965,'glossaryterms-export'!C:C,0),
IF(AND(NOT(ISBLANK(INDEX('glossaryterms-export'!H:H,_xlpm.rowNum))),ISBLANK(INDEX('glossaryterms-export'!I:I,_xlpm.rowNum))),"Ready to Fix",""))</f>
        <v/>
      </c>
    </row>
    <row r="4966" spans="6:6">
      <c r="F4966" s="1" t="str" cm="1">
        <f t="array" ref="F4966">_xlfn.LET(_xlpm.rowNum,MATCH(E4966,'glossaryterms-export'!C:C,0),
IF(AND(NOT(ISBLANK(INDEX('glossaryterms-export'!H:H,_xlpm.rowNum))),ISBLANK(INDEX('glossaryterms-export'!I:I,_xlpm.rowNum))),"Ready to Fix",""))</f>
        <v/>
      </c>
    </row>
    <row r="4967" spans="6:6">
      <c r="F4967" s="1" t="str" cm="1">
        <f t="array" ref="F4967">_xlfn.LET(_xlpm.rowNum,MATCH(E4967,'glossaryterms-export'!C:C,0),
IF(AND(NOT(ISBLANK(INDEX('glossaryterms-export'!H:H,_xlpm.rowNum))),ISBLANK(INDEX('glossaryterms-export'!I:I,_xlpm.rowNum))),"Ready to Fix",""))</f>
        <v/>
      </c>
    </row>
    <row r="4968" spans="6:6">
      <c r="F4968" s="1" t="str" cm="1">
        <f t="array" ref="F4968">_xlfn.LET(_xlpm.rowNum,MATCH(E4968,'glossaryterms-export'!C:C,0),
IF(AND(NOT(ISBLANK(INDEX('glossaryterms-export'!H:H,_xlpm.rowNum))),ISBLANK(INDEX('glossaryterms-export'!I:I,_xlpm.rowNum))),"Ready to Fix",""))</f>
        <v/>
      </c>
    </row>
    <row r="4969" spans="6:6">
      <c r="F4969" s="1" t="str" cm="1">
        <f t="array" ref="F4969">_xlfn.LET(_xlpm.rowNum,MATCH(E4969,'glossaryterms-export'!C:C,0),
IF(AND(NOT(ISBLANK(INDEX('glossaryterms-export'!H:H,_xlpm.rowNum))),ISBLANK(INDEX('glossaryterms-export'!I:I,_xlpm.rowNum))),"Ready to Fix",""))</f>
        <v/>
      </c>
    </row>
    <row r="4970" spans="6:6">
      <c r="F4970" s="1" t="str" cm="1">
        <f t="array" ref="F4970">_xlfn.LET(_xlpm.rowNum,MATCH(E4970,'glossaryterms-export'!C:C,0),
IF(AND(NOT(ISBLANK(INDEX('glossaryterms-export'!H:H,_xlpm.rowNum))),ISBLANK(INDEX('glossaryterms-export'!I:I,_xlpm.rowNum))),"Ready to Fix",""))</f>
        <v/>
      </c>
    </row>
    <row r="4971" spans="6:6">
      <c r="F4971" s="1" t="str" cm="1">
        <f t="array" ref="F4971">_xlfn.LET(_xlpm.rowNum,MATCH(E4971,'glossaryterms-export'!C:C,0),
IF(AND(NOT(ISBLANK(INDEX('glossaryterms-export'!H:H,_xlpm.rowNum))),ISBLANK(INDEX('glossaryterms-export'!I:I,_xlpm.rowNum))),"Ready to Fix",""))</f>
        <v/>
      </c>
    </row>
    <row r="4972" spans="6:6">
      <c r="F4972" s="1" t="str" cm="1">
        <f t="array" ref="F4972">_xlfn.LET(_xlpm.rowNum,MATCH(E4972,'glossaryterms-export'!C:C,0),
IF(AND(NOT(ISBLANK(INDEX('glossaryterms-export'!H:H,_xlpm.rowNum))),ISBLANK(INDEX('glossaryterms-export'!I:I,_xlpm.rowNum))),"Ready to Fix",""))</f>
        <v/>
      </c>
    </row>
    <row r="4973" spans="6:6">
      <c r="F4973" s="1" t="str" cm="1">
        <f t="array" ref="F4973">_xlfn.LET(_xlpm.rowNum,MATCH(E4973,'glossaryterms-export'!C:C,0),
IF(AND(NOT(ISBLANK(INDEX('glossaryterms-export'!H:H,_xlpm.rowNum))),ISBLANK(INDEX('glossaryterms-export'!I:I,_xlpm.rowNum))),"Ready to Fix",""))</f>
        <v/>
      </c>
    </row>
    <row r="4974" spans="6:6">
      <c r="F4974" s="1" t="str" cm="1">
        <f t="array" ref="F4974">_xlfn.LET(_xlpm.rowNum,MATCH(E4974,'glossaryterms-export'!C:C,0),
IF(AND(NOT(ISBLANK(INDEX('glossaryterms-export'!H:H,_xlpm.rowNum))),ISBLANK(INDEX('glossaryterms-export'!I:I,_xlpm.rowNum))),"Ready to Fix",""))</f>
        <v/>
      </c>
    </row>
    <row r="4975" spans="6:6">
      <c r="F4975" s="1" t="str" cm="1">
        <f t="array" ref="F4975">_xlfn.LET(_xlpm.rowNum,MATCH(E4975,'glossaryterms-export'!C:C,0),
IF(AND(NOT(ISBLANK(INDEX('glossaryterms-export'!H:H,_xlpm.rowNum))),ISBLANK(INDEX('glossaryterms-export'!I:I,_xlpm.rowNum))),"Ready to Fix",""))</f>
        <v/>
      </c>
    </row>
    <row r="4976" spans="6:6">
      <c r="F4976" s="1" t="str" cm="1">
        <f t="array" ref="F4976">_xlfn.LET(_xlpm.rowNum,MATCH(E4976,'glossaryterms-export'!C:C,0),
IF(AND(NOT(ISBLANK(INDEX('glossaryterms-export'!H:H,_xlpm.rowNum))),ISBLANK(INDEX('glossaryterms-export'!I:I,_xlpm.rowNum))),"Ready to Fix",""))</f>
        <v/>
      </c>
    </row>
    <row r="4977" spans="6:6">
      <c r="F4977" s="1" t="str" cm="1">
        <f t="array" ref="F4977">_xlfn.LET(_xlpm.rowNum,MATCH(E4977,'glossaryterms-export'!C:C,0),
IF(AND(NOT(ISBLANK(INDEX('glossaryterms-export'!H:H,_xlpm.rowNum))),ISBLANK(INDEX('glossaryterms-export'!I:I,_xlpm.rowNum))),"Ready to Fix",""))</f>
        <v/>
      </c>
    </row>
    <row r="4978" spans="6:6">
      <c r="F4978" s="1" t="str" cm="1">
        <f t="array" ref="F4978">_xlfn.LET(_xlpm.rowNum,MATCH(E4978,'glossaryterms-export'!C:C,0),
IF(AND(NOT(ISBLANK(INDEX('glossaryterms-export'!H:H,_xlpm.rowNum))),ISBLANK(INDEX('glossaryterms-export'!I:I,_xlpm.rowNum))),"Ready to Fix",""))</f>
        <v/>
      </c>
    </row>
    <row r="4979" spans="6:6">
      <c r="F4979" s="1" t="str" cm="1">
        <f t="array" ref="F4979">_xlfn.LET(_xlpm.rowNum,MATCH(E4979,'glossaryterms-export'!C:C,0),
IF(AND(NOT(ISBLANK(INDEX('glossaryterms-export'!H:H,_xlpm.rowNum))),ISBLANK(INDEX('glossaryterms-export'!I:I,_xlpm.rowNum))),"Ready to Fix",""))</f>
        <v/>
      </c>
    </row>
    <row r="4980" spans="6:6">
      <c r="F4980" s="1" t="str" cm="1">
        <f t="array" ref="F4980">_xlfn.LET(_xlpm.rowNum,MATCH(E4980,'glossaryterms-export'!C:C,0),
IF(AND(NOT(ISBLANK(INDEX('glossaryterms-export'!H:H,_xlpm.rowNum))),ISBLANK(INDEX('glossaryterms-export'!I:I,_xlpm.rowNum))),"Ready to Fix",""))</f>
        <v/>
      </c>
    </row>
    <row r="4981" spans="6:6">
      <c r="F4981" s="1" t="str" cm="1">
        <f t="array" ref="F4981">_xlfn.LET(_xlpm.rowNum,MATCH(E4981,'glossaryterms-export'!C:C,0),
IF(AND(NOT(ISBLANK(INDEX('glossaryterms-export'!H:H,_xlpm.rowNum))),ISBLANK(INDEX('glossaryterms-export'!I:I,_xlpm.rowNum))),"Ready to Fix",""))</f>
        <v/>
      </c>
    </row>
    <row r="4982" spans="6:6">
      <c r="F4982" s="1" t="str" cm="1">
        <f t="array" ref="F4982">_xlfn.LET(_xlpm.rowNum,MATCH(E4982,'glossaryterms-export'!C:C,0),
IF(AND(NOT(ISBLANK(INDEX('glossaryterms-export'!H:H,_xlpm.rowNum))),ISBLANK(INDEX('glossaryterms-export'!I:I,_xlpm.rowNum))),"Ready to Fix",""))</f>
        <v/>
      </c>
    </row>
    <row r="4983" spans="6:6">
      <c r="F4983" s="1" t="str" cm="1">
        <f t="array" ref="F4983">_xlfn.LET(_xlpm.rowNum,MATCH(E4983,'glossaryterms-export'!C:C,0),
IF(AND(NOT(ISBLANK(INDEX('glossaryterms-export'!H:H,_xlpm.rowNum))),ISBLANK(INDEX('glossaryterms-export'!I:I,_xlpm.rowNum))),"Ready to Fix",""))</f>
        <v/>
      </c>
    </row>
    <row r="4984" spans="6:6">
      <c r="F4984" s="1" t="str" cm="1">
        <f t="array" ref="F4984">_xlfn.LET(_xlpm.rowNum,MATCH(E4984,'glossaryterms-export'!C:C,0),
IF(AND(NOT(ISBLANK(INDEX('glossaryterms-export'!H:H,_xlpm.rowNum))),ISBLANK(INDEX('glossaryterms-export'!I:I,_xlpm.rowNum))),"Ready to Fix",""))</f>
        <v/>
      </c>
    </row>
    <row r="4985" spans="6:6">
      <c r="F4985" s="1" t="str" cm="1">
        <f t="array" ref="F4985">_xlfn.LET(_xlpm.rowNum,MATCH(E4985,'glossaryterms-export'!C:C,0),
IF(AND(NOT(ISBLANK(INDEX('glossaryterms-export'!H:H,_xlpm.rowNum))),ISBLANK(INDEX('glossaryterms-export'!I:I,_xlpm.rowNum))),"Ready to Fix",""))</f>
        <v/>
      </c>
    </row>
    <row r="4986" spans="6:6">
      <c r="F4986" s="1" t="str" cm="1">
        <f t="array" ref="F4986">_xlfn.LET(_xlpm.rowNum,MATCH(E4986,'glossaryterms-export'!C:C,0),
IF(AND(NOT(ISBLANK(INDEX('glossaryterms-export'!H:H,_xlpm.rowNum))),ISBLANK(INDEX('glossaryterms-export'!I:I,_xlpm.rowNum))),"Ready to Fix",""))</f>
        <v/>
      </c>
    </row>
    <row r="4987" spans="6:6">
      <c r="F4987" s="1" t="str" cm="1">
        <f t="array" ref="F4987">_xlfn.LET(_xlpm.rowNum,MATCH(E4987,'glossaryterms-export'!C:C,0),
IF(AND(NOT(ISBLANK(INDEX('glossaryterms-export'!H:H,_xlpm.rowNum))),ISBLANK(INDEX('glossaryterms-export'!I:I,_xlpm.rowNum))),"Ready to Fix",""))</f>
        <v/>
      </c>
    </row>
    <row r="4988" spans="6:6">
      <c r="F4988" s="1" t="str" cm="1">
        <f t="array" ref="F4988">_xlfn.LET(_xlpm.rowNum,MATCH(E4988,'glossaryterms-export'!C:C,0),
IF(AND(NOT(ISBLANK(INDEX('glossaryterms-export'!H:H,_xlpm.rowNum))),ISBLANK(INDEX('glossaryterms-export'!I:I,_xlpm.rowNum))),"Ready to Fix",""))</f>
        <v/>
      </c>
    </row>
    <row r="4989" spans="6:6">
      <c r="F4989" s="1" t="str" cm="1">
        <f t="array" ref="F4989">_xlfn.LET(_xlpm.rowNum,MATCH(E4989,'glossaryterms-export'!C:C,0),
IF(AND(NOT(ISBLANK(INDEX('glossaryterms-export'!H:H,_xlpm.rowNum))),ISBLANK(INDEX('glossaryterms-export'!I:I,_xlpm.rowNum))),"Ready to Fix",""))</f>
        <v/>
      </c>
    </row>
    <row r="4990" spans="6:6">
      <c r="F4990" s="1" t="str" cm="1">
        <f t="array" ref="F4990">_xlfn.LET(_xlpm.rowNum,MATCH(E4990,'glossaryterms-export'!C:C,0),
IF(AND(NOT(ISBLANK(INDEX('glossaryterms-export'!H:H,_xlpm.rowNum))),ISBLANK(INDEX('glossaryterms-export'!I:I,_xlpm.rowNum))),"Ready to Fix",""))</f>
        <v/>
      </c>
    </row>
    <row r="4991" spans="6:6">
      <c r="F4991" s="1" t="str" cm="1">
        <f t="array" ref="F4991">_xlfn.LET(_xlpm.rowNum,MATCH(E4991,'glossaryterms-export'!C:C,0),
IF(AND(NOT(ISBLANK(INDEX('glossaryterms-export'!H:H,_xlpm.rowNum))),ISBLANK(INDEX('glossaryterms-export'!I:I,_xlpm.rowNum))),"Ready to Fix",""))</f>
        <v/>
      </c>
    </row>
    <row r="4992" spans="6:6">
      <c r="F4992" s="1" t="str" cm="1">
        <f t="array" ref="F4992">_xlfn.LET(_xlpm.rowNum,MATCH(E4992,'glossaryterms-export'!C:C,0),
IF(AND(NOT(ISBLANK(INDEX('glossaryterms-export'!H:H,_xlpm.rowNum))),ISBLANK(INDEX('glossaryterms-export'!I:I,_xlpm.rowNum))),"Ready to Fix",""))</f>
        <v/>
      </c>
    </row>
    <row r="4993" spans="6:6">
      <c r="F4993" s="1" t="str" cm="1">
        <f t="array" ref="F4993">_xlfn.LET(_xlpm.rowNum,MATCH(E4993,'glossaryterms-export'!C:C,0),
IF(AND(NOT(ISBLANK(INDEX('glossaryterms-export'!H:H,_xlpm.rowNum))),ISBLANK(INDEX('glossaryterms-export'!I:I,_xlpm.rowNum))),"Ready to Fix",""))</f>
        <v/>
      </c>
    </row>
    <row r="4994" spans="6:6">
      <c r="F4994" s="1" t="str" cm="1">
        <f t="array" ref="F4994">_xlfn.LET(_xlpm.rowNum,MATCH(E4994,'glossaryterms-export'!C:C,0),
IF(AND(NOT(ISBLANK(INDEX('glossaryterms-export'!H:H,_xlpm.rowNum))),ISBLANK(INDEX('glossaryterms-export'!I:I,_xlpm.rowNum))),"Ready to Fix",""))</f>
        <v/>
      </c>
    </row>
    <row r="4995" spans="6:6">
      <c r="F4995" s="1" t="str" cm="1">
        <f t="array" ref="F4995">_xlfn.LET(_xlpm.rowNum,MATCH(E4995,'glossaryterms-export'!C:C,0),
IF(AND(NOT(ISBLANK(INDEX('glossaryterms-export'!H:H,_xlpm.rowNum))),ISBLANK(INDEX('glossaryterms-export'!I:I,_xlpm.rowNum))),"Ready to Fix",""))</f>
        <v/>
      </c>
    </row>
    <row r="4996" spans="6:6">
      <c r="F4996" s="1" t="str" cm="1">
        <f t="array" ref="F4996">_xlfn.LET(_xlpm.rowNum,MATCH(E4996,'glossaryterms-export'!C:C,0),
IF(AND(NOT(ISBLANK(INDEX('glossaryterms-export'!H:H,_xlpm.rowNum))),ISBLANK(INDEX('glossaryterms-export'!I:I,_xlpm.rowNum))),"Ready to Fix",""))</f>
        <v/>
      </c>
    </row>
    <row r="4997" spans="6:6">
      <c r="F4997" s="1" t="str" cm="1">
        <f t="array" ref="F4997">_xlfn.LET(_xlpm.rowNum,MATCH(E4997,'glossaryterms-export'!C:C,0),
IF(AND(NOT(ISBLANK(INDEX('glossaryterms-export'!H:H,_xlpm.rowNum))),ISBLANK(INDEX('glossaryterms-export'!I:I,_xlpm.rowNum))),"Ready to Fix",""))</f>
        <v/>
      </c>
    </row>
    <row r="4998" spans="6:6">
      <c r="F4998" s="1" t="str" cm="1">
        <f t="array" ref="F4998">_xlfn.LET(_xlpm.rowNum,MATCH(E4998,'glossaryterms-export'!C:C,0),
IF(AND(NOT(ISBLANK(INDEX('glossaryterms-export'!H:H,_xlpm.rowNum))),ISBLANK(INDEX('glossaryterms-export'!I:I,_xlpm.rowNum))),"Ready to Fix",""))</f>
        <v/>
      </c>
    </row>
    <row r="4999" spans="6:6">
      <c r="F4999" s="1" t="str" cm="1">
        <f t="array" ref="F4999">_xlfn.LET(_xlpm.rowNum,MATCH(E4999,'glossaryterms-export'!C:C,0),
IF(AND(NOT(ISBLANK(INDEX('glossaryterms-export'!H:H,_xlpm.rowNum))),ISBLANK(INDEX('glossaryterms-export'!I:I,_xlpm.rowNum))),"Ready to Fix",""))</f>
        <v/>
      </c>
    </row>
    <row r="5000" spans="6:6">
      <c r="F5000" s="1" t="str" cm="1">
        <f t="array" ref="F5000">_xlfn.LET(_xlpm.rowNum,MATCH(E5000,'glossaryterms-export'!C:C,0),
IF(AND(NOT(ISBLANK(INDEX('glossaryterms-export'!H:H,_xlpm.rowNum))),ISBLANK(INDEX('glossaryterms-export'!I:I,_xlpm.rowNum))),"Ready to Fix",""))</f>
        <v/>
      </c>
    </row>
    <row r="5001" spans="6:6">
      <c r="F5001" s="1" t="str" cm="1">
        <f t="array" ref="F5001">_xlfn.LET(_xlpm.rowNum,MATCH(E5001,'glossaryterms-export'!C:C,0),
IF(AND(NOT(ISBLANK(INDEX('glossaryterms-export'!H:H,_xlpm.rowNum))),ISBLANK(INDEX('glossaryterms-export'!I:I,_xlpm.rowNum))),"Ready to Fix",""))</f>
        <v/>
      </c>
    </row>
    <row r="5002" spans="6:6">
      <c r="F5002" s="1" t="str" cm="1">
        <f t="array" ref="F5002">_xlfn.LET(_xlpm.rowNum,MATCH(E5002,'glossaryterms-export'!C:C,0),
IF(AND(NOT(ISBLANK(INDEX('glossaryterms-export'!H:H,_xlpm.rowNum))),ISBLANK(INDEX('glossaryterms-export'!I:I,_xlpm.rowNum))),"Ready to Fix",""))</f>
        <v/>
      </c>
    </row>
    <row r="5003" spans="6:6">
      <c r="F5003" s="1" t="str" cm="1">
        <f t="array" ref="F5003">_xlfn.LET(_xlpm.rowNum,MATCH(E5003,'glossaryterms-export'!C:C,0),
IF(AND(NOT(ISBLANK(INDEX('glossaryterms-export'!H:H,_xlpm.rowNum))),ISBLANK(INDEX('glossaryterms-export'!I:I,_xlpm.rowNum))),"Ready to Fix",""))</f>
        <v/>
      </c>
    </row>
    <row r="5004" spans="6:6">
      <c r="F5004" s="1" t="str" cm="1">
        <f t="array" ref="F5004">_xlfn.LET(_xlpm.rowNum,MATCH(E5004,'glossaryterms-export'!C:C,0),
IF(AND(NOT(ISBLANK(INDEX('glossaryterms-export'!H:H,_xlpm.rowNum))),ISBLANK(INDEX('glossaryterms-export'!I:I,_xlpm.rowNum))),"Ready to Fix",""))</f>
        <v/>
      </c>
    </row>
    <row r="5005" spans="6:6">
      <c r="F5005" s="1" t="str" cm="1">
        <f t="array" ref="F5005">_xlfn.LET(_xlpm.rowNum,MATCH(E5005,'glossaryterms-export'!C:C,0),
IF(AND(NOT(ISBLANK(INDEX('glossaryterms-export'!H:H,_xlpm.rowNum))),ISBLANK(INDEX('glossaryterms-export'!I:I,_xlpm.rowNum))),"Ready to Fix",""))</f>
        <v/>
      </c>
    </row>
    <row r="5006" spans="6:6">
      <c r="F5006" s="1" t="str" cm="1">
        <f t="array" ref="F5006">_xlfn.LET(_xlpm.rowNum,MATCH(E5006,'glossaryterms-export'!C:C,0),
IF(AND(NOT(ISBLANK(INDEX('glossaryterms-export'!H:H,_xlpm.rowNum))),ISBLANK(INDEX('glossaryterms-export'!I:I,_xlpm.rowNum))),"Ready to Fix",""))</f>
        <v/>
      </c>
    </row>
    <row r="5007" spans="6:6">
      <c r="F5007" s="1" t="str" cm="1">
        <f t="array" ref="F5007">_xlfn.LET(_xlpm.rowNum,MATCH(E5007,'glossaryterms-export'!C:C,0),
IF(AND(NOT(ISBLANK(INDEX('glossaryterms-export'!H:H,_xlpm.rowNum))),ISBLANK(INDEX('glossaryterms-export'!I:I,_xlpm.rowNum))),"Ready to Fix",""))</f>
        <v/>
      </c>
    </row>
    <row r="5008" spans="6:6">
      <c r="F5008" s="1" t="str" cm="1">
        <f t="array" ref="F5008">_xlfn.LET(_xlpm.rowNum,MATCH(E5008,'glossaryterms-export'!C:C,0),
IF(AND(NOT(ISBLANK(INDEX('glossaryterms-export'!H:H,_xlpm.rowNum))),ISBLANK(INDEX('glossaryterms-export'!I:I,_xlpm.rowNum))),"Ready to Fix",""))</f>
        <v/>
      </c>
    </row>
    <row r="5009" spans="6:6">
      <c r="F5009" s="1" t="str" cm="1">
        <f t="array" ref="F5009">_xlfn.LET(_xlpm.rowNum,MATCH(E5009,'glossaryterms-export'!C:C,0),
IF(AND(NOT(ISBLANK(INDEX('glossaryterms-export'!H:H,_xlpm.rowNum))),ISBLANK(INDEX('glossaryterms-export'!I:I,_xlpm.rowNum))),"Ready to Fix",""))</f>
        <v/>
      </c>
    </row>
    <row r="5010" spans="6:6">
      <c r="F5010" s="1" t="str" cm="1">
        <f t="array" ref="F5010">_xlfn.LET(_xlpm.rowNum,MATCH(E5010,'glossaryterms-export'!C:C,0),
IF(AND(NOT(ISBLANK(INDEX('glossaryterms-export'!H:H,_xlpm.rowNum))),ISBLANK(INDEX('glossaryterms-export'!I:I,_xlpm.rowNum))),"Ready to Fix",""))</f>
        <v/>
      </c>
    </row>
    <row r="5011" spans="6:6">
      <c r="F5011" s="1" t="str" cm="1">
        <f t="array" ref="F5011">_xlfn.LET(_xlpm.rowNum,MATCH(E5011,'glossaryterms-export'!C:C,0),
IF(AND(NOT(ISBLANK(INDEX('glossaryterms-export'!H:H,_xlpm.rowNum))),ISBLANK(INDEX('glossaryterms-export'!I:I,_xlpm.rowNum))),"Ready to Fix",""))</f>
        <v/>
      </c>
    </row>
    <row r="5012" spans="6:6">
      <c r="F5012" s="1" t="str" cm="1">
        <f t="array" ref="F5012">_xlfn.LET(_xlpm.rowNum,MATCH(E5012,'glossaryterms-export'!C:C,0),
IF(AND(NOT(ISBLANK(INDEX('glossaryterms-export'!H:H,_xlpm.rowNum))),ISBLANK(INDEX('glossaryterms-export'!I:I,_xlpm.rowNum))),"Ready to Fix",""))</f>
        <v/>
      </c>
    </row>
    <row r="5013" spans="6:6">
      <c r="F5013" s="1" t="str" cm="1">
        <f t="array" ref="F5013">_xlfn.LET(_xlpm.rowNum,MATCH(E5013,'glossaryterms-export'!C:C,0),
IF(AND(NOT(ISBLANK(INDEX('glossaryterms-export'!H:H,_xlpm.rowNum))),ISBLANK(INDEX('glossaryterms-export'!I:I,_xlpm.rowNum))),"Ready to Fix",""))</f>
        <v/>
      </c>
    </row>
    <row r="5014" spans="6:6">
      <c r="F5014" s="1" t="str" cm="1">
        <f t="array" ref="F5014">_xlfn.LET(_xlpm.rowNum,MATCH(E5014,'glossaryterms-export'!C:C,0),
IF(AND(NOT(ISBLANK(INDEX('glossaryterms-export'!H:H,_xlpm.rowNum))),ISBLANK(INDEX('glossaryterms-export'!I:I,_xlpm.rowNum))),"Ready to Fix",""))</f>
        <v/>
      </c>
    </row>
    <row r="5015" spans="6:6">
      <c r="F5015" s="1" t="str" cm="1">
        <f t="array" ref="F5015">_xlfn.LET(_xlpm.rowNum,MATCH(E5015,'glossaryterms-export'!C:C,0),
IF(AND(NOT(ISBLANK(INDEX('glossaryterms-export'!H:H,_xlpm.rowNum))),ISBLANK(INDEX('glossaryterms-export'!I:I,_xlpm.rowNum))),"Ready to Fix",""))</f>
        <v/>
      </c>
    </row>
    <row r="5016" spans="6:6">
      <c r="F5016" s="1" t="str" cm="1">
        <f t="array" ref="F5016">_xlfn.LET(_xlpm.rowNum,MATCH(E5016,'glossaryterms-export'!C:C,0),
IF(AND(NOT(ISBLANK(INDEX('glossaryterms-export'!H:H,_xlpm.rowNum))),ISBLANK(INDEX('glossaryterms-export'!I:I,_xlpm.rowNum))),"Ready to Fix",""))</f>
        <v/>
      </c>
    </row>
    <row r="5017" spans="6:6">
      <c r="F5017" s="1" t="str" cm="1">
        <f t="array" ref="F5017">_xlfn.LET(_xlpm.rowNum,MATCH(E5017,'glossaryterms-export'!C:C,0),
IF(AND(NOT(ISBLANK(INDEX('glossaryterms-export'!H:H,_xlpm.rowNum))),ISBLANK(INDEX('glossaryterms-export'!I:I,_xlpm.rowNum))),"Ready to Fix",""))</f>
        <v/>
      </c>
    </row>
    <row r="5018" spans="6:6">
      <c r="F5018" s="1" t="str" cm="1">
        <f t="array" ref="F5018">_xlfn.LET(_xlpm.rowNum,MATCH(E5018,'glossaryterms-export'!C:C,0),
IF(AND(NOT(ISBLANK(INDEX('glossaryterms-export'!H:H,_xlpm.rowNum))),ISBLANK(INDEX('glossaryterms-export'!I:I,_xlpm.rowNum))),"Ready to Fix",""))</f>
        <v/>
      </c>
    </row>
    <row r="5019" spans="6:6">
      <c r="F5019" s="1" t="str" cm="1">
        <f t="array" ref="F5019">_xlfn.LET(_xlpm.rowNum,MATCH(E5019,'glossaryterms-export'!C:C,0),
IF(AND(NOT(ISBLANK(INDEX('glossaryterms-export'!H:H,_xlpm.rowNum))),ISBLANK(INDEX('glossaryterms-export'!I:I,_xlpm.rowNum))),"Ready to Fix",""))</f>
        <v/>
      </c>
    </row>
    <row r="5020" spans="6:6">
      <c r="F5020" s="1" t="str" cm="1">
        <f t="array" ref="F5020">_xlfn.LET(_xlpm.rowNum,MATCH(E5020,'glossaryterms-export'!C:C,0),
IF(AND(NOT(ISBLANK(INDEX('glossaryterms-export'!H:H,_xlpm.rowNum))),ISBLANK(INDEX('glossaryterms-export'!I:I,_xlpm.rowNum))),"Ready to Fix",""))</f>
        <v/>
      </c>
    </row>
    <row r="5021" spans="6:6">
      <c r="F5021" s="1" t="str" cm="1">
        <f t="array" ref="F5021">_xlfn.LET(_xlpm.rowNum,MATCH(E5021,'glossaryterms-export'!C:C,0),
IF(AND(NOT(ISBLANK(INDEX('glossaryterms-export'!H:H,_xlpm.rowNum))),ISBLANK(INDEX('glossaryterms-export'!I:I,_xlpm.rowNum))),"Ready to Fix",""))</f>
        <v/>
      </c>
    </row>
    <row r="5022" spans="6:6">
      <c r="F5022" s="1" t="str" cm="1">
        <f t="array" ref="F5022">_xlfn.LET(_xlpm.rowNum,MATCH(E5022,'glossaryterms-export'!C:C,0),
IF(AND(NOT(ISBLANK(INDEX('glossaryterms-export'!H:H,_xlpm.rowNum))),ISBLANK(INDEX('glossaryterms-export'!I:I,_xlpm.rowNum))),"Ready to Fix",""))</f>
        <v/>
      </c>
    </row>
    <row r="5023" spans="6:6">
      <c r="F5023" s="1" t="str" cm="1">
        <f t="array" ref="F5023">_xlfn.LET(_xlpm.rowNum,MATCH(E5023,'glossaryterms-export'!C:C,0),
IF(AND(NOT(ISBLANK(INDEX('glossaryterms-export'!H:H,_xlpm.rowNum))),ISBLANK(INDEX('glossaryterms-export'!I:I,_xlpm.rowNum))),"Ready to Fix",""))</f>
        <v/>
      </c>
    </row>
    <row r="5024" spans="6:6">
      <c r="F5024" s="1" t="str" cm="1">
        <f t="array" ref="F5024">_xlfn.LET(_xlpm.rowNum,MATCH(E5024,'glossaryterms-export'!C:C,0),
IF(AND(NOT(ISBLANK(INDEX('glossaryterms-export'!H:H,_xlpm.rowNum))),ISBLANK(INDEX('glossaryterms-export'!I:I,_xlpm.rowNum))),"Ready to Fix",""))</f>
        <v/>
      </c>
    </row>
    <row r="5025" spans="6:6">
      <c r="F5025" s="1" t="str" cm="1">
        <f t="array" ref="F5025">_xlfn.LET(_xlpm.rowNum,MATCH(E5025,'glossaryterms-export'!C:C,0),
IF(AND(NOT(ISBLANK(INDEX('glossaryterms-export'!H:H,_xlpm.rowNum))),ISBLANK(INDEX('glossaryterms-export'!I:I,_xlpm.rowNum))),"Ready to Fix",""))</f>
        <v/>
      </c>
    </row>
    <row r="5026" spans="6:6">
      <c r="F5026" s="1" t="str" cm="1">
        <f t="array" ref="F5026">_xlfn.LET(_xlpm.rowNum,MATCH(E5026,'glossaryterms-export'!C:C,0),
IF(AND(NOT(ISBLANK(INDEX('glossaryterms-export'!H:H,_xlpm.rowNum))),ISBLANK(INDEX('glossaryterms-export'!I:I,_xlpm.rowNum))),"Ready to Fix",""))</f>
        <v/>
      </c>
    </row>
    <row r="5027" spans="6:6">
      <c r="F5027" s="1" t="str" cm="1">
        <f t="array" ref="F5027">_xlfn.LET(_xlpm.rowNum,MATCH(E5027,'glossaryterms-export'!C:C,0),
IF(AND(NOT(ISBLANK(INDEX('glossaryterms-export'!H:H,_xlpm.rowNum))),ISBLANK(INDEX('glossaryterms-export'!I:I,_xlpm.rowNum))),"Ready to Fix",""))</f>
        <v/>
      </c>
    </row>
    <row r="5028" spans="6:6">
      <c r="F5028" s="1" t="str" cm="1">
        <f t="array" ref="F5028">_xlfn.LET(_xlpm.rowNum,MATCH(E5028,'glossaryterms-export'!C:C,0),
IF(AND(NOT(ISBLANK(INDEX('glossaryterms-export'!H:H,_xlpm.rowNum))),ISBLANK(INDEX('glossaryterms-export'!I:I,_xlpm.rowNum))),"Ready to Fix",""))</f>
        <v/>
      </c>
    </row>
    <row r="5029" spans="6:6">
      <c r="F5029" s="1" t="str" cm="1">
        <f t="array" ref="F5029">_xlfn.LET(_xlpm.rowNum,MATCH(E5029,'glossaryterms-export'!C:C,0),
IF(AND(NOT(ISBLANK(INDEX('glossaryterms-export'!H:H,_xlpm.rowNum))),ISBLANK(INDEX('glossaryterms-export'!I:I,_xlpm.rowNum))),"Ready to Fix",""))</f>
        <v/>
      </c>
    </row>
    <row r="5030" spans="6:6">
      <c r="F5030" s="1" t="str" cm="1">
        <f t="array" ref="F5030">_xlfn.LET(_xlpm.rowNum,MATCH(E5030,'glossaryterms-export'!C:C,0),
IF(AND(NOT(ISBLANK(INDEX('glossaryterms-export'!H:H,_xlpm.rowNum))),ISBLANK(INDEX('glossaryterms-export'!I:I,_xlpm.rowNum))),"Ready to Fix",""))</f>
        <v/>
      </c>
    </row>
    <row r="5031" spans="6:6">
      <c r="F5031" s="1" t="str" cm="1">
        <f t="array" ref="F5031">_xlfn.LET(_xlpm.rowNum,MATCH(E5031,'glossaryterms-export'!C:C,0),
IF(AND(NOT(ISBLANK(INDEX('glossaryterms-export'!H:H,_xlpm.rowNum))),ISBLANK(INDEX('glossaryterms-export'!I:I,_xlpm.rowNum))),"Ready to Fix",""))</f>
        <v/>
      </c>
    </row>
    <row r="5032" spans="6:6">
      <c r="F5032" s="1" t="str" cm="1">
        <f t="array" ref="F5032">_xlfn.LET(_xlpm.rowNum,MATCH(E5032,'glossaryterms-export'!C:C,0),
IF(AND(NOT(ISBLANK(INDEX('glossaryterms-export'!H:H,_xlpm.rowNum))),ISBLANK(INDEX('glossaryterms-export'!I:I,_xlpm.rowNum))),"Ready to Fix",""))</f>
        <v/>
      </c>
    </row>
    <row r="5033" spans="6:6">
      <c r="F5033" s="1" t="str" cm="1">
        <f t="array" ref="F5033">_xlfn.LET(_xlpm.rowNum,MATCH(E5033,'glossaryterms-export'!C:C,0),
IF(AND(NOT(ISBLANK(INDEX('glossaryterms-export'!H:H,_xlpm.rowNum))),ISBLANK(INDEX('glossaryterms-export'!I:I,_xlpm.rowNum))),"Ready to Fix",""))</f>
        <v/>
      </c>
    </row>
    <row r="5034" spans="6:6">
      <c r="F5034" s="1" t="str" cm="1">
        <f t="array" ref="F5034">_xlfn.LET(_xlpm.rowNum,MATCH(E5034,'glossaryterms-export'!C:C,0),
IF(AND(NOT(ISBLANK(INDEX('glossaryterms-export'!H:H,_xlpm.rowNum))),ISBLANK(INDEX('glossaryterms-export'!I:I,_xlpm.rowNum))),"Ready to Fix",""))</f>
        <v/>
      </c>
    </row>
    <row r="5035" spans="6:6">
      <c r="F5035" s="1" t="str" cm="1">
        <f t="array" ref="F5035">_xlfn.LET(_xlpm.rowNum,MATCH(E5035,'glossaryterms-export'!C:C,0),
IF(AND(NOT(ISBLANK(INDEX('glossaryterms-export'!H:H,_xlpm.rowNum))),ISBLANK(INDEX('glossaryterms-export'!I:I,_xlpm.rowNum))),"Ready to Fix",""))</f>
        <v/>
      </c>
    </row>
    <row r="5036" spans="6:6">
      <c r="F5036" s="1" t="str" cm="1">
        <f t="array" ref="F5036">_xlfn.LET(_xlpm.rowNum,MATCH(E5036,'glossaryterms-export'!C:C,0),
IF(AND(NOT(ISBLANK(INDEX('glossaryterms-export'!H:H,_xlpm.rowNum))),ISBLANK(INDEX('glossaryterms-export'!I:I,_xlpm.rowNum))),"Ready to Fix",""))</f>
        <v/>
      </c>
    </row>
    <row r="5037" spans="6:6">
      <c r="F5037" s="1" t="str" cm="1">
        <f t="array" ref="F5037">_xlfn.LET(_xlpm.rowNum,MATCH(E5037,'glossaryterms-export'!C:C,0),
IF(AND(NOT(ISBLANK(INDEX('glossaryterms-export'!H:H,_xlpm.rowNum))),ISBLANK(INDEX('glossaryterms-export'!I:I,_xlpm.rowNum))),"Ready to Fix",""))</f>
        <v/>
      </c>
    </row>
    <row r="5038" spans="6:6">
      <c r="F5038" s="1" t="str" cm="1">
        <f t="array" ref="F5038">_xlfn.LET(_xlpm.rowNum,MATCH(E5038,'glossaryterms-export'!C:C,0),
IF(AND(NOT(ISBLANK(INDEX('glossaryterms-export'!H:H,_xlpm.rowNum))),ISBLANK(INDEX('glossaryterms-export'!I:I,_xlpm.rowNum))),"Ready to Fix",""))</f>
        <v/>
      </c>
    </row>
    <row r="5039" spans="6:6">
      <c r="F5039" s="1" t="str" cm="1">
        <f t="array" ref="F5039">_xlfn.LET(_xlpm.rowNum,MATCH(E5039,'glossaryterms-export'!C:C,0),
IF(AND(NOT(ISBLANK(INDEX('glossaryterms-export'!H:H,_xlpm.rowNum))),ISBLANK(INDEX('glossaryterms-export'!I:I,_xlpm.rowNum))),"Ready to Fix",""))</f>
        <v/>
      </c>
    </row>
    <row r="5040" spans="6:6">
      <c r="F5040" s="1" t="str" cm="1">
        <f t="array" ref="F5040">_xlfn.LET(_xlpm.rowNum,MATCH(E5040,'glossaryterms-export'!C:C,0),
IF(AND(NOT(ISBLANK(INDEX('glossaryterms-export'!H:H,_xlpm.rowNum))),ISBLANK(INDEX('glossaryterms-export'!I:I,_xlpm.rowNum))),"Ready to Fix",""))</f>
        <v/>
      </c>
    </row>
    <row r="5041" spans="6:6">
      <c r="F5041" s="1" t="str" cm="1">
        <f t="array" ref="F5041">_xlfn.LET(_xlpm.rowNum,MATCH(E5041,'glossaryterms-export'!C:C,0),
IF(AND(NOT(ISBLANK(INDEX('glossaryterms-export'!H:H,_xlpm.rowNum))),ISBLANK(INDEX('glossaryterms-export'!I:I,_xlpm.rowNum))),"Ready to Fix",""))</f>
        <v/>
      </c>
    </row>
    <row r="5042" spans="6:6">
      <c r="F5042" s="1" t="str" cm="1">
        <f t="array" ref="F5042">_xlfn.LET(_xlpm.rowNum,MATCH(E5042,'glossaryterms-export'!C:C,0),
IF(AND(NOT(ISBLANK(INDEX('glossaryterms-export'!H:H,_xlpm.rowNum))),ISBLANK(INDEX('glossaryterms-export'!I:I,_xlpm.rowNum))),"Ready to Fix",""))</f>
        <v/>
      </c>
    </row>
    <row r="5043" spans="6:6">
      <c r="F5043" s="1" t="str" cm="1">
        <f t="array" ref="F5043">_xlfn.LET(_xlpm.rowNum,MATCH(E5043,'glossaryterms-export'!C:C,0),
IF(AND(NOT(ISBLANK(INDEX('glossaryterms-export'!H:H,_xlpm.rowNum))),ISBLANK(INDEX('glossaryterms-export'!I:I,_xlpm.rowNum))),"Ready to Fix",""))</f>
        <v/>
      </c>
    </row>
    <row r="5044" spans="6:6">
      <c r="F5044" s="1" t="str" cm="1">
        <f t="array" ref="F5044">_xlfn.LET(_xlpm.rowNum,MATCH(E5044,'glossaryterms-export'!C:C,0),
IF(AND(NOT(ISBLANK(INDEX('glossaryterms-export'!H:H,_xlpm.rowNum))),ISBLANK(INDEX('glossaryterms-export'!I:I,_xlpm.rowNum))),"Ready to Fix",""))</f>
        <v/>
      </c>
    </row>
    <row r="5045" spans="6:6">
      <c r="F5045" s="1" t="str" cm="1">
        <f t="array" ref="F5045">_xlfn.LET(_xlpm.rowNum,MATCH(E5045,'glossaryterms-export'!C:C,0),
IF(AND(NOT(ISBLANK(INDEX('glossaryterms-export'!H:H,_xlpm.rowNum))),ISBLANK(INDEX('glossaryterms-export'!I:I,_xlpm.rowNum))),"Ready to Fix",""))</f>
        <v/>
      </c>
    </row>
    <row r="5046" spans="6:6">
      <c r="F5046" s="1" t="str" cm="1">
        <f t="array" ref="F5046">_xlfn.LET(_xlpm.rowNum,MATCH(E5046,'glossaryterms-export'!C:C,0),
IF(AND(NOT(ISBLANK(INDEX('glossaryterms-export'!H:H,_xlpm.rowNum))),ISBLANK(INDEX('glossaryterms-export'!I:I,_xlpm.rowNum))),"Ready to Fix",""))</f>
        <v/>
      </c>
    </row>
    <row r="5047" spans="6:6">
      <c r="F5047" s="1" t="str" cm="1">
        <f t="array" ref="F5047">_xlfn.LET(_xlpm.rowNum,MATCH(E5047,'glossaryterms-export'!C:C,0),
IF(AND(NOT(ISBLANK(INDEX('glossaryterms-export'!H:H,_xlpm.rowNum))),ISBLANK(INDEX('glossaryterms-export'!I:I,_xlpm.rowNum))),"Ready to Fix",""))</f>
        <v/>
      </c>
    </row>
    <row r="5048" spans="6:6">
      <c r="F5048" s="1" t="str" cm="1">
        <f t="array" ref="F5048">_xlfn.LET(_xlpm.rowNum,MATCH(E5048,'glossaryterms-export'!C:C,0),
IF(AND(NOT(ISBLANK(INDEX('glossaryterms-export'!H:H,_xlpm.rowNum))),ISBLANK(INDEX('glossaryterms-export'!I:I,_xlpm.rowNum))),"Ready to Fix",""))</f>
        <v/>
      </c>
    </row>
    <row r="5049" spans="6:6">
      <c r="F5049" s="1" t="str" cm="1">
        <f t="array" ref="F5049">_xlfn.LET(_xlpm.rowNum,MATCH(E5049,'glossaryterms-export'!C:C,0),
IF(AND(NOT(ISBLANK(INDEX('glossaryterms-export'!H:H,_xlpm.rowNum))),ISBLANK(INDEX('glossaryterms-export'!I:I,_xlpm.rowNum))),"Ready to Fix",""))</f>
        <v/>
      </c>
    </row>
    <row r="5050" spans="6:6">
      <c r="F5050" s="1" t="str" cm="1">
        <f t="array" ref="F5050">_xlfn.LET(_xlpm.rowNum,MATCH(E5050,'glossaryterms-export'!C:C,0),
IF(AND(NOT(ISBLANK(INDEX('glossaryterms-export'!H:H,_xlpm.rowNum))),ISBLANK(INDEX('glossaryterms-export'!I:I,_xlpm.rowNum))),"Ready to Fix",""))</f>
        <v/>
      </c>
    </row>
    <row r="5051" spans="6:6">
      <c r="F5051" s="1" t="str" cm="1">
        <f t="array" ref="F5051">_xlfn.LET(_xlpm.rowNum,MATCH(E5051,'glossaryterms-export'!C:C,0),
IF(AND(NOT(ISBLANK(INDEX('glossaryterms-export'!H:H,_xlpm.rowNum))),ISBLANK(INDEX('glossaryterms-export'!I:I,_xlpm.rowNum))),"Ready to Fix",""))</f>
        <v/>
      </c>
    </row>
    <row r="5052" spans="6:6">
      <c r="F5052" s="1" t="str" cm="1">
        <f t="array" ref="F5052">_xlfn.LET(_xlpm.rowNum,MATCH(E5052,'glossaryterms-export'!C:C,0),
IF(AND(NOT(ISBLANK(INDEX('glossaryterms-export'!H:H,_xlpm.rowNum))),ISBLANK(INDEX('glossaryterms-export'!I:I,_xlpm.rowNum))),"Ready to Fix",""))</f>
        <v/>
      </c>
    </row>
    <row r="5053" spans="6:6">
      <c r="F5053" s="1" t="str" cm="1">
        <f t="array" ref="F5053">_xlfn.LET(_xlpm.rowNum,MATCH(E5053,'glossaryterms-export'!C:C,0),
IF(AND(NOT(ISBLANK(INDEX('glossaryterms-export'!H:H,_xlpm.rowNum))),ISBLANK(INDEX('glossaryterms-export'!I:I,_xlpm.rowNum))),"Ready to Fix",""))</f>
        <v/>
      </c>
    </row>
    <row r="5054" spans="6:6">
      <c r="F5054" s="1" t="str" cm="1">
        <f t="array" ref="F5054">_xlfn.LET(_xlpm.rowNum,MATCH(E5054,'glossaryterms-export'!C:C,0),
IF(AND(NOT(ISBLANK(INDEX('glossaryterms-export'!H:H,_xlpm.rowNum))),ISBLANK(INDEX('glossaryterms-export'!I:I,_xlpm.rowNum))),"Ready to Fix",""))</f>
        <v/>
      </c>
    </row>
    <row r="5055" spans="6:6">
      <c r="F5055" s="1" t="str" cm="1">
        <f t="array" ref="F5055">_xlfn.LET(_xlpm.rowNum,MATCH(E5055,'glossaryterms-export'!C:C,0),
IF(AND(NOT(ISBLANK(INDEX('glossaryterms-export'!H:H,_xlpm.rowNum))),ISBLANK(INDEX('glossaryterms-export'!I:I,_xlpm.rowNum))),"Ready to Fix",""))</f>
        <v/>
      </c>
    </row>
    <row r="5056" spans="6:6">
      <c r="F5056" s="1" t="str" cm="1">
        <f t="array" ref="F5056">_xlfn.LET(_xlpm.rowNum,MATCH(E5056,'glossaryterms-export'!C:C,0),
IF(AND(NOT(ISBLANK(INDEX('glossaryterms-export'!H:H,_xlpm.rowNum))),ISBLANK(INDEX('glossaryterms-export'!I:I,_xlpm.rowNum))),"Ready to Fix",""))</f>
        <v/>
      </c>
    </row>
    <row r="5057" spans="6:6">
      <c r="F5057" s="1" t="str" cm="1">
        <f t="array" ref="F5057">_xlfn.LET(_xlpm.rowNum,MATCH(E5057,'glossaryterms-export'!C:C,0),
IF(AND(NOT(ISBLANK(INDEX('glossaryterms-export'!H:H,_xlpm.rowNum))),ISBLANK(INDEX('glossaryterms-export'!I:I,_xlpm.rowNum))),"Ready to Fix",""))</f>
        <v/>
      </c>
    </row>
    <row r="5058" spans="6:6">
      <c r="F5058" s="1" t="str" cm="1">
        <f t="array" ref="F5058">_xlfn.LET(_xlpm.rowNum,MATCH(E5058,'glossaryterms-export'!C:C,0),
IF(AND(NOT(ISBLANK(INDEX('glossaryterms-export'!H:H,_xlpm.rowNum))),ISBLANK(INDEX('glossaryterms-export'!I:I,_xlpm.rowNum))),"Ready to Fix",""))</f>
        <v/>
      </c>
    </row>
    <row r="5059" spans="6:6">
      <c r="F5059" s="1" t="str" cm="1">
        <f t="array" ref="F5059">_xlfn.LET(_xlpm.rowNum,MATCH(E5059,'glossaryterms-export'!C:C,0),
IF(AND(NOT(ISBLANK(INDEX('glossaryterms-export'!H:H,_xlpm.rowNum))),ISBLANK(INDEX('glossaryterms-export'!I:I,_xlpm.rowNum))),"Ready to Fix",""))</f>
        <v/>
      </c>
    </row>
    <row r="5060" spans="6:6">
      <c r="F5060" s="1" t="str" cm="1">
        <f t="array" ref="F5060">_xlfn.LET(_xlpm.rowNum,MATCH(E5060,'glossaryterms-export'!C:C,0),
IF(AND(NOT(ISBLANK(INDEX('glossaryterms-export'!H:H,_xlpm.rowNum))),ISBLANK(INDEX('glossaryterms-export'!I:I,_xlpm.rowNum))),"Ready to Fix",""))</f>
        <v/>
      </c>
    </row>
    <row r="5061" spans="6:6">
      <c r="F5061" s="1" t="str" cm="1">
        <f t="array" ref="F5061">_xlfn.LET(_xlpm.rowNum,MATCH(E5061,'glossaryterms-export'!C:C,0),
IF(AND(NOT(ISBLANK(INDEX('glossaryterms-export'!H:H,_xlpm.rowNum))),ISBLANK(INDEX('glossaryterms-export'!I:I,_xlpm.rowNum))),"Ready to Fix",""))</f>
        <v/>
      </c>
    </row>
    <row r="5062" spans="6:6">
      <c r="F5062" s="1" t="str" cm="1">
        <f t="array" ref="F5062">_xlfn.LET(_xlpm.rowNum,MATCH(E5062,'glossaryterms-export'!C:C,0),
IF(AND(NOT(ISBLANK(INDEX('glossaryterms-export'!H:H,_xlpm.rowNum))),ISBLANK(INDEX('glossaryterms-export'!I:I,_xlpm.rowNum))),"Ready to Fix",""))</f>
        <v/>
      </c>
    </row>
    <row r="5063" spans="6:6">
      <c r="F5063" s="1" t="str" cm="1">
        <f t="array" ref="F5063">_xlfn.LET(_xlpm.rowNum,MATCH(E5063,'glossaryterms-export'!C:C,0),
IF(AND(NOT(ISBLANK(INDEX('glossaryterms-export'!H:H,_xlpm.rowNum))),ISBLANK(INDEX('glossaryterms-export'!I:I,_xlpm.rowNum))),"Ready to Fix",""))</f>
        <v/>
      </c>
    </row>
    <row r="5064" spans="6:6">
      <c r="F5064" s="1" t="str" cm="1">
        <f t="array" ref="F5064">_xlfn.LET(_xlpm.rowNum,MATCH(E5064,'glossaryterms-export'!C:C,0),
IF(AND(NOT(ISBLANK(INDEX('glossaryterms-export'!H:H,_xlpm.rowNum))),ISBLANK(INDEX('glossaryterms-export'!I:I,_xlpm.rowNum))),"Ready to Fix",""))</f>
        <v/>
      </c>
    </row>
    <row r="5065" spans="6:6">
      <c r="F5065" s="1" t="str" cm="1">
        <f t="array" ref="F5065">_xlfn.LET(_xlpm.rowNum,MATCH(E5065,'glossaryterms-export'!C:C,0),
IF(AND(NOT(ISBLANK(INDEX('glossaryterms-export'!H:H,_xlpm.rowNum))),ISBLANK(INDEX('glossaryterms-export'!I:I,_xlpm.rowNum))),"Ready to Fix",""))</f>
        <v/>
      </c>
    </row>
    <row r="5066" spans="6:6">
      <c r="F5066" s="1" t="str" cm="1">
        <f t="array" ref="F5066">_xlfn.LET(_xlpm.rowNum,MATCH(E5066,'glossaryterms-export'!C:C,0),
IF(AND(NOT(ISBLANK(INDEX('glossaryterms-export'!H:H,_xlpm.rowNum))),ISBLANK(INDEX('glossaryterms-export'!I:I,_xlpm.rowNum))),"Ready to Fix",""))</f>
        <v/>
      </c>
    </row>
    <row r="5067" spans="6:6">
      <c r="F5067" s="1" t="str" cm="1">
        <f t="array" ref="F5067">_xlfn.LET(_xlpm.rowNum,MATCH(E5067,'glossaryterms-export'!C:C,0),
IF(AND(NOT(ISBLANK(INDEX('glossaryterms-export'!H:H,_xlpm.rowNum))),ISBLANK(INDEX('glossaryterms-export'!I:I,_xlpm.rowNum))),"Ready to Fix",""))</f>
        <v/>
      </c>
    </row>
    <row r="5068" spans="6:6">
      <c r="F5068" s="1" t="str" cm="1">
        <f t="array" ref="F5068">_xlfn.LET(_xlpm.rowNum,MATCH(E5068,'glossaryterms-export'!C:C,0),
IF(AND(NOT(ISBLANK(INDEX('glossaryterms-export'!H:H,_xlpm.rowNum))),ISBLANK(INDEX('glossaryterms-export'!I:I,_xlpm.rowNum))),"Ready to Fix",""))</f>
        <v/>
      </c>
    </row>
    <row r="5069" spans="6:6">
      <c r="F5069" s="1" t="str" cm="1">
        <f t="array" ref="F5069">_xlfn.LET(_xlpm.rowNum,MATCH(E5069,'glossaryterms-export'!C:C,0),
IF(AND(NOT(ISBLANK(INDEX('glossaryterms-export'!H:H,_xlpm.rowNum))),ISBLANK(INDEX('glossaryterms-export'!I:I,_xlpm.rowNum))),"Ready to Fix",""))</f>
        <v/>
      </c>
    </row>
    <row r="5070" spans="6:6">
      <c r="F5070" s="1" t="str" cm="1">
        <f t="array" ref="F5070">_xlfn.LET(_xlpm.rowNum,MATCH(E5070,'glossaryterms-export'!C:C,0),
IF(AND(NOT(ISBLANK(INDEX('glossaryterms-export'!H:H,_xlpm.rowNum))),ISBLANK(INDEX('glossaryterms-export'!I:I,_xlpm.rowNum))),"Ready to Fix",""))</f>
        <v/>
      </c>
    </row>
    <row r="5071" spans="6:6">
      <c r="F5071" s="1" t="str" cm="1">
        <f t="array" ref="F5071">_xlfn.LET(_xlpm.rowNum,MATCH(E5071,'glossaryterms-export'!C:C,0),
IF(AND(NOT(ISBLANK(INDEX('glossaryterms-export'!H:H,_xlpm.rowNum))),ISBLANK(INDEX('glossaryterms-export'!I:I,_xlpm.rowNum))),"Ready to Fix",""))</f>
        <v/>
      </c>
    </row>
    <row r="5072" spans="6:6">
      <c r="F5072" s="1" t="str" cm="1">
        <f t="array" ref="F5072">_xlfn.LET(_xlpm.rowNum,MATCH(E5072,'glossaryterms-export'!C:C,0),
IF(AND(NOT(ISBLANK(INDEX('glossaryterms-export'!H:H,_xlpm.rowNum))),ISBLANK(INDEX('glossaryterms-export'!I:I,_xlpm.rowNum))),"Ready to Fix",""))</f>
        <v/>
      </c>
    </row>
    <row r="5073" spans="6:6">
      <c r="F5073" s="1" t="str" cm="1">
        <f t="array" ref="F5073">_xlfn.LET(_xlpm.rowNum,MATCH(E5073,'glossaryterms-export'!C:C,0),
IF(AND(NOT(ISBLANK(INDEX('glossaryterms-export'!H:H,_xlpm.rowNum))),ISBLANK(INDEX('glossaryterms-export'!I:I,_xlpm.rowNum))),"Ready to Fix",""))</f>
        <v/>
      </c>
    </row>
    <row r="5074" spans="6:6">
      <c r="F5074" s="1" t="str" cm="1">
        <f t="array" ref="F5074">_xlfn.LET(_xlpm.rowNum,MATCH(E5074,'glossaryterms-export'!C:C,0),
IF(AND(NOT(ISBLANK(INDEX('glossaryterms-export'!H:H,_xlpm.rowNum))),ISBLANK(INDEX('glossaryterms-export'!I:I,_xlpm.rowNum))),"Ready to Fix",""))</f>
        <v/>
      </c>
    </row>
    <row r="5075" spans="6:6">
      <c r="F5075" s="1" t="str" cm="1">
        <f t="array" ref="F5075">_xlfn.LET(_xlpm.rowNum,MATCH(E5075,'glossaryterms-export'!C:C,0),
IF(AND(NOT(ISBLANK(INDEX('glossaryterms-export'!H:H,_xlpm.rowNum))),ISBLANK(INDEX('glossaryterms-export'!I:I,_xlpm.rowNum))),"Ready to Fix",""))</f>
        <v/>
      </c>
    </row>
    <row r="5076" spans="6:6">
      <c r="F5076" s="1" t="str" cm="1">
        <f t="array" ref="F5076">_xlfn.LET(_xlpm.rowNum,MATCH(E5076,'glossaryterms-export'!C:C,0),
IF(AND(NOT(ISBLANK(INDEX('glossaryterms-export'!H:H,_xlpm.rowNum))),ISBLANK(INDEX('glossaryterms-export'!I:I,_xlpm.rowNum))),"Ready to Fix",""))</f>
        <v/>
      </c>
    </row>
    <row r="5077" spans="6:6">
      <c r="F5077" s="1" t="str" cm="1">
        <f t="array" ref="F5077">_xlfn.LET(_xlpm.rowNum,MATCH(E5077,'glossaryterms-export'!C:C,0),
IF(AND(NOT(ISBLANK(INDEX('glossaryterms-export'!H:H,_xlpm.rowNum))),ISBLANK(INDEX('glossaryterms-export'!I:I,_xlpm.rowNum))),"Ready to Fix",""))</f>
        <v/>
      </c>
    </row>
    <row r="5078" spans="6:6">
      <c r="F5078" s="1" t="str" cm="1">
        <f t="array" ref="F5078">_xlfn.LET(_xlpm.rowNum,MATCH(E5078,'glossaryterms-export'!C:C,0),
IF(AND(NOT(ISBLANK(INDEX('glossaryterms-export'!H:H,_xlpm.rowNum))),ISBLANK(INDEX('glossaryterms-export'!I:I,_xlpm.rowNum))),"Ready to Fix",""))</f>
        <v/>
      </c>
    </row>
    <row r="5079" spans="6:6">
      <c r="F5079" s="1" t="str" cm="1">
        <f t="array" ref="F5079">_xlfn.LET(_xlpm.rowNum,MATCH(E5079,'glossaryterms-export'!C:C,0),
IF(AND(NOT(ISBLANK(INDEX('glossaryterms-export'!H:H,_xlpm.rowNum))),ISBLANK(INDEX('glossaryterms-export'!I:I,_xlpm.rowNum))),"Ready to Fix",""))</f>
        <v/>
      </c>
    </row>
    <row r="5080" spans="6:6">
      <c r="F5080" s="1" t="str" cm="1">
        <f t="array" ref="F5080">_xlfn.LET(_xlpm.rowNum,MATCH(E5080,'glossaryterms-export'!C:C,0),
IF(AND(NOT(ISBLANK(INDEX('glossaryterms-export'!H:H,_xlpm.rowNum))),ISBLANK(INDEX('glossaryterms-export'!I:I,_xlpm.rowNum))),"Ready to Fix",""))</f>
        <v/>
      </c>
    </row>
    <row r="5081" spans="6:6">
      <c r="F5081" s="1" t="str" cm="1">
        <f t="array" ref="F5081">_xlfn.LET(_xlpm.rowNum,MATCH(E5081,'glossaryterms-export'!C:C,0),
IF(AND(NOT(ISBLANK(INDEX('glossaryterms-export'!H:H,_xlpm.rowNum))),ISBLANK(INDEX('glossaryterms-export'!I:I,_xlpm.rowNum))),"Ready to Fix",""))</f>
        <v/>
      </c>
    </row>
    <row r="5082" spans="6:6">
      <c r="F5082" s="1" t="str" cm="1">
        <f t="array" ref="F5082">_xlfn.LET(_xlpm.rowNum,MATCH(E5082,'glossaryterms-export'!C:C,0),
IF(AND(NOT(ISBLANK(INDEX('glossaryterms-export'!H:H,_xlpm.rowNum))),ISBLANK(INDEX('glossaryterms-export'!I:I,_xlpm.rowNum))),"Ready to Fix",""))</f>
        <v/>
      </c>
    </row>
    <row r="5083" spans="6:6">
      <c r="F5083" s="1" t="str" cm="1">
        <f t="array" ref="F5083">_xlfn.LET(_xlpm.rowNum,MATCH(E5083,'glossaryterms-export'!C:C,0),
IF(AND(NOT(ISBLANK(INDEX('glossaryterms-export'!H:H,_xlpm.rowNum))),ISBLANK(INDEX('glossaryterms-export'!I:I,_xlpm.rowNum))),"Ready to Fix",""))</f>
        <v/>
      </c>
    </row>
    <row r="5084" spans="6:6">
      <c r="F5084" s="1" t="str" cm="1">
        <f t="array" ref="F5084">_xlfn.LET(_xlpm.rowNum,MATCH(E5084,'glossaryterms-export'!C:C,0),
IF(AND(NOT(ISBLANK(INDEX('glossaryterms-export'!H:H,_xlpm.rowNum))),ISBLANK(INDEX('glossaryterms-export'!I:I,_xlpm.rowNum))),"Ready to Fix",""))</f>
        <v/>
      </c>
    </row>
    <row r="5085" spans="6:6">
      <c r="F5085" s="1" t="str" cm="1">
        <f t="array" ref="F5085">_xlfn.LET(_xlpm.rowNum,MATCH(E5085,'glossaryterms-export'!C:C,0),
IF(AND(NOT(ISBLANK(INDEX('glossaryterms-export'!H:H,_xlpm.rowNum))),ISBLANK(INDEX('glossaryterms-export'!I:I,_xlpm.rowNum))),"Ready to Fix",""))</f>
        <v/>
      </c>
    </row>
    <row r="5086" spans="6:6">
      <c r="F5086" s="1" t="str" cm="1">
        <f t="array" ref="F5086">_xlfn.LET(_xlpm.rowNum,MATCH(E5086,'glossaryterms-export'!C:C,0),
IF(AND(NOT(ISBLANK(INDEX('glossaryterms-export'!H:H,_xlpm.rowNum))),ISBLANK(INDEX('glossaryterms-export'!I:I,_xlpm.rowNum))),"Ready to Fix",""))</f>
        <v/>
      </c>
    </row>
    <row r="5087" spans="6:6">
      <c r="F5087" s="1" t="str" cm="1">
        <f t="array" ref="F5087">_xlfn.LET(_xlpm.rowNum,MATCH(E5087,'glossaryterms-export'!C:C,0),
IF(AND(NOT(ISBLANK(INDEX('glossaryterms-export'!H:H,_xlpm.rowNum))),ISBLANK(INDEX('glossaryterms-export'!I:I,_xlpm.rowNum))),"Ready to Fix",""))</f>
        <v/>
      </c>
    </row>
    <row r="5088" spans="6:6">
      <c r="F5088" s="1" t="str" cm="1">
        <f t="array" ref="F5088">_xlfn.LET(_xlpm.rowNum,MATCH(E5088,'glossaryterms-export'!C:C,0),
IF(AND(NOT(ISBLANK(INDEX('glossaryterms-export'!H:H,_xlpm.rowNum))),ISBLANK(INDEX('glossaryterms-export'!I:I,_xlpm.rowNum))),"Ready to Fix",""))</f>
        <v/>
      </c>
    </row>
    <row r="5089" spans="6:6">
      <c r="F5089" s="1" t="str" cm="1">
        <f t="array" ref="F5089">_xlfn.LET(_xlpm.rowNum,MATCH(E5089,'glossaryterms-export'!C:C,0),
IF(AND(NOT(ISBLANK(INDEX('glossaryterms-export'!H:H,_xlpm.rowNum))),ISBLANK(INDEX('glossaryterms-export'!I:I,_xlpm.rowNum))),"Ready to Fix",""))</f>
        <v/>
      </c>
    </row>
    <row r="5090" spans="6:6">
      <c r="F5090" s="1" t="str" cm="1">
        <f t="array" ref="F5090">_xlfn.LET(_xlpm.rowNum,MATCH(E5090,'glossaryterms-export'!C:C,0),
IF(AND(NOT(ISBLANK(INDEX('glossaryterms-export'!H:H,_xlpm.rowNum))),ISBLANK(INDEX('glossaryterms-export'!I:I,_xlpm.rowNum))),"Ready to Fix",""))</f>
        <v/>
      </c>
    </row>
    <row r="5091" spans="6:6">
      <c r="F5091" s="1" t="str" cm="1">
        <f t="array" ref="F5091">_xlfn.LET(_xlpm.rowNum,MATCH(E5091,'glossaryterms-export'!C:C,0),
IF(AND(NOT(ISBLANK(INDEX('glossaryterms-export'!H:H,_xlpm.rowNum))),ISBLANK(INDEX('glossaryterms-export'!I:I,_xlpm.rowNum))),"Ready to Fix",""))</f>
        <v/>
      </c>
    </row>
    <row r="5092" spans="6:6">
      <c r="F5092" s="1" t="str" cm="1">
        <f t="array" ref="F5092">_xlfn.LET(_xlpm.rowNum,MATCH(E5092,'glossaryterms-export'!C:C,0),
IF(AND(NOT(ISBLANK(INDEX('glossaryterms-export'!H:H,_xlpm.rowNum))),ISBLANK(INDEX('glossaryterms-export'!I:I,_xlpm.rowNum))),"Ready to Fix",""))</f>
        <v/>
      </c>
    </row>
    <row r="5093" spans="6:6">
      <c r="F5093" s="1" t="str" cm="1">
        <f t="array" ref="F5093">_xlfn.LET(_xlpm.rowNum,MATCH(E5093,'glossaryterms-export'!C:C,0),
IF(AND(NOT(ISBLANK(INDEX('glossaryterms-export'!H:H,_xlpm.rowNum))),ISBLANK(INDEX('glossaryterms-export'!I:I,_xlpm.rowNum))),"Ready to Fix",""))</f>
        <v/>
      </c>
    </row>
    <row r="5094" spans="6:6">
      <c r="F5094" s="1" t="str" cm="1">
        <f t="array" ref="F5094">_xlfn.LET(_xlpm.rowNum,MATCH(E5094,'glossaryterms-export'!C:C,0),
IF(AND(NOT(ISBLANK(INDEX('glossaryterms-export'!H:H,_xlpm.rowNum))),ISBLANK(INDEX('glossaryterms-export'!I:I,_xlpm.rowNum))),"Ready to Fix",""))</f>
        <v/>
      </c>
    </row>
    <row r="5095" spans="6:6">
      <c r="F5095" s="1" t="str" cm="1">
        <f t="array" ref="F5095">_xlfn.LET(_xlpm.rowNum,MATCH(E5095,'glossaryterms-export'!C:C,0),
IF(AND(NOT(ISBLANK(INDEX('glossaryterms-export'!H:H,_xlpm.rowNum))),ISBLANK(INDEX('glossaryterms-export'!I:I,_xlpm.rowNum))),"Ready to Fix",""))</f>
        <v/>
      </c>
    </row>
    <row r="5096" spans="6:6">
      <c r="F5096" s="1" t="str" cm="1">
        <f t="array" ref="F5096">_xlfn.LET(_xlpm.rowNum,MATCH(E5096,'glossaryterms-export'!C:C,0),
IF(AND(NOT(ISBLANK(INDEX('glossaryterms-export'!H:H,_xlpm.rowNum))),ISBLANK(INDEX('glossaryterms-export'!I:I,_xlpm.rowNum))),"Ready to Fix",""))</f>
        <v/>
      </c>
    </row>
    <row r="5097" spans="6:6">
      <c r="F5097" s="1" t="str" cm="1">
        <f t="array" ref="F5097">_xlfn.LET(_xlpm.rowNum,MATCH(E5097,'glossaryterms-export'!C:C,0),
IF(AND(NOT(ISBLANK(INDEX('glossaryterms-export'!H:H,_xlpm.rowNum))),ISBLANK(INDEX('glossaryterms-export'!I:I,_xlpm.rowNum))),"Ready to Fix",""))</f>
        <v/>
      </c>
    </row>
    <row r="5098" spans="6:6">
      <c r="F5098" s="1" t="str" cm="1">
        <f t="array" ref="F5098">_xlfn.LET(_xlpm.rowNum,MATCH(E5098,'glossaryterms-export'!C:C,0),
IF(AND(NOT(ISBLANK(INDEX('glossaryterms-export'!H:H,_xlpm.rowNum))),ISBLANK(INDEX('glossaryterms-export'!I:I,_xlpm.rowNum))),"Ready to Fix",""))</f>
        <v/>
      </c>
    </row>
    <row r="5099" spans="6:6">
      <c r="F5099" s="1" t="str" cm="1">
        <f t="array" ref="F5099">_xlfn.LET(_xlpm.rowNum,MATCH(E5099,'glossaryterms-export'!C:C,0),
IF(AND(NOT(ISBLANK(INDEX('glossaryterms-export'!H:H,_xlpm.rowNum))),ISBLANK(INDEX('glossaryterms-export'!I:I,_xlpm.rowNum))),"Ready to Fix",""))</f>
        <v/>
      </c>
    </row>
    <row r="5100" spans="6:6">
      <c r="F5100" s="1" t="str" cm="1">
        <f t="array" ref="F5100">_xlfn.LET(_xlpm.rowNum,MATCH(E5100,'glossaryterms-export'!C:C,0),
IF(AND(NOT(ISBLANK(INDEX('glossaryterms-export'!H:H,_xlpm.rowNum))),ISBLANK(INDEX('glossaryterms-export'!I:I,_xlpm.rowNum))),"Ready to Fix",""))</f>
        <v/>
      </c>
    </row>
    <row r="5101" spans="6:6">
      <c r="F5101" s="1" t="str" cm="1">
        <f t="array" ref="F5101">_xlfn.LET(_xlpm.rowNum,MATCH(E5101,'glossaryterms-export'!C:C,0),
IF(AND(NOT(ISBLANK(INDEX('glossaryterms-export'!H:H,_xlpm.rowNum))),ISBLANK(INDEX('glossaryterms-export'!I:I,_xlpm.rowNum))),"Ready to Fix",""))</f>
        <v/>
      </c>
    </row>
    <row r="5102" spans="6:6">
      <c r="F5102" s="1" t="str" cm="1">
        <f t="array" ref="F5102">_xlfn.LET(_xlpm.rowNum,MATCH(E5102,'glossaryterms-export'!C:C,0),
IF(AND(NOT(ISBLANK(INDEX('glossaryterms-export'!H:H,_xlpm.rowNum))),ISBLANK(INDEX('glossaryterms-export'!I:I,_xlpm.rowNum))),"Ready to Fix",""))</f>
        <v/>
      </c>
    </row>
    <row r="5103" spans="6:6">
      <c r="F5103" s="1" t="str" cm="1">
        <f t="array" ref="F5103">_xlfn.LET(_xlpm.rowNum,MATCH(E5103,'glossaryterms-export'!C:C,0),
IF(AND(NOT(ISBLANK(INDEX('glossaryterms-export'!H:H,_xlpm.rowNum))),ISBLANK(INDEX('glossaryterms-export'!I:I,_xlpm.rowNum))),"Ready to Fix",""))</f>
        <v/>
      </c>
    </row>
    <row r="5104" spans="6:6">
      <c r="F5104" s="1" t="str" cm="1">
        <f t="array" ref="F5104">_xlfn.LET(_xlpm.rowNum,MATCH(E5104,'glossaryterms-export'!C:C,0),
IF(AND(NOT(ISBLANK(INDEX('glossaryterms-export'!H:H,_xlpm.rowNum))),ISBLANK(INDEX('glossaryterms-export'!I:I,_xlpm.rowNum))),"Ready to Fix",""))</f>
        <v/>
      </c>
    </row>
    <row r="5105" spans="6:6">
      <c r="F5105" s="1" t="str" cm="1">
        <f t="array" ref="F5105">_xlfn.LET(_xlpm.rowNum,MATCH(E5105,'glossaryterms-export'!C:C,0),
IF(AND(NOT(ISBLANK(INDEX('glossaryterms-export'!H:H,_xlpm.rowNum))),ISBLANK(INDEX('glossaryterms-export'!I:I,_xlpm.rowNum))),"Ready to Fix",""))</f>
        <v/>
      </c>
    </row>
    <row r="5106" spans="6:6">
      <c r="F5106" s="1" t="str" cm="1">
        <f t="array" ref="F5106">_xlfn.LET(_xlpm.rowNum,MATCH(E5106,'glossaryterms-export'!C:C,0),
IF(AND(NOT(ISBLANK(INDEX('glossaryterms-export'!H:H,_xlpm.rowNum))),ISBLANK(INDEX('glossaryterms-export'!I:I,_xlpm.rowNum))),"Ready to Fix",""))</f>
        <v/>
      </c>
    </row>
    <row r="5107" spans="6:6">
      <c r="F5107" s="1" t="str" cm="1">
        <f t="array" ref="F5107">_xlfn.LET(_xlpm.rowNum,MATCH(E5107,'glossaryterms-export'!C:C,0),
IF(AND(NOT(ISBLANK(INDEX('glossaryterms-export'!H:H,_xlpm.rowNum))),ISBLANK(INDEX('glossaryterms-export'!I:I,_xlpm.rowNum))),"Ready to Fix",""))</f>
        <v/>
      </c>
    </row>
    <row r="5108" spans="6:6">
      <c r="F5108" s="1" t="str" cm="1">
        <f t="array" ref="F5108">_xlfn.LET(_xlpm.rowNum,MATCH(E5108,'glossaryterms-export'!C:C,0),
IF(AND(NOT(ISBLANK(INDEX('glossaryterms-export'!H:H,_xlpm.rowNum))),ISBLANK(INDEX('glossaryterms-export'!I:I,_xlpm.rowNum))),"Ready to Fix",""))</f>
        <v/>
      </c>
    </row>
    <row r="5109" spans="6:6">
      <c r="F5109" s="1" t="str" cm="1">
        <f t="array" ref="F5109">_xlfn.LET(_xlpm.rowNum,MATCH(E5109,'glossaryterms-export'!C:C,0),
IF(AND(NOT(ISBLANK(INDEX('glossaryterms-export'!H:H,_xlpm.rowNum))),ISBLANK(INDEX('glossaryterms-export'!I:I,_xlpm.rowNum))),"Ready to Fix",""))</f>
        <v/>
      </c>
    </row>
    <row r="5110" spans="6:6">
      <c r="F5110" s="1" t="str" cm="1">
        <f t="array" ref="F5110">_xlfn.LET(_xlpm.rowNum,MATCH(E5110,'glossaryterms-export'!C:C,0),
IF(AND(NOT(ISBLANK(INDEX('glossaryterms-export'!H:H,_xlpm.rowNum))),ISBLANK(INDEX('glossaryterms-export'!I:I,_xlpm.rowNum))),"Ready to Fix",""))</f>
        <v/>
      </c>
    </row>
    <row r="5111" spans="6:6">
      <c r="F5111" s="1" t="str" cm="1">
        <f t="array" ref="F5111">_xlfn.LET(_xlpm.rowNum,MATCH(E5111,'glossaryterms-export'!C:C,0),
IF(AND(NOT(ISBLANK(INDEX('glossaryterms-export'!H:H,_xlpm.rowNum))),ISBLANK(INDEX('glossaryterms-export'!I:I,_xlpm.rowNum))),"Ready to Fix",""))</f>
        <v/>
      </c>
    </row>
    <row r="5112" spans="6:6">
      <c r="F5112" s="1" t="str" cm="1">
        <f t="array" ref="F5112">_xlfn.LET(_xlpm.rowNum,MATCH(E5112,'glossaryterms-export'!C:C,0),
IF(AND(NOT(ISBLANK(INDEX('glossaryterms-export'!H:H,_xlpm.rowNum))),ISBLANK(INDEX('glossaryterms-export'!I:I,_xlpm.rowNum))),"Ready to Fix",""))</f>
        <v/>
      </c>
    </row>
    <row r="5113" spans="6:6">
      <c r="F5113" s="1" t="str" cm="1">
        <f t="array" ref="F5113">_xlfn.LET(_xlpm.rowNum,MATCH(E5113,'glossaryterms-export'!C:C,0),
IF(AND(NOT(ISBLANK(INDEX('glossaryterms-export'!H:H,_xlpm.rowNum))),ISBLANK(INDEX('glossaryterms-export'!I:I,_xlpm.rowNum))),"Ready to Fix",""))</f>
        <v/>
      </c>
    </row>
    <row r="5114" spans="6:6">
      <c r="F5114" s="1" t="str" cm="1">
        <f t="array" ref="F5114">_xlfn.LET(_xlpm.rowNum,MATCH(E5114,'glossaryterms-export'!C:C,0),
IF(AND(NOT(ISBLANK(INDEX('glossaryterms-export'!H:H,_xlpm.rowNum))),ISBLANK(INDEX('glossaryterms-export'!I:I,_xlpm.rowNum))),"Ready to Fix",""))</f>
        <v/>
      </c>
    </row>
    <row r="5115" spans="6:6">
      <c r="F5115" s="1" t="str" cm="1">
        <f t="array" ref="F5115">_xlfn.LET(_xlpm.rowNum,MATCH(E5115,'glossaryterms-export'!C:C,0),
IF(AND(NOT(ISBLANK(INDEX('glossaryterms-export'!H:H,_xlpm.rowNum))),ISBLANK(INDEX('glossaryterms-export'!I:I,_xlpm.rowNum))),"Ready to Fix",""))</f>
        <v/>
      </c>
    </row>
    <row r="5116" spans="6:6">
      <c r="F5116" s="1" t="str" cm="1">
        <f t="array" ref="F5116">_xlfn.LET(_xlpm.rowNum,MATCH(E5116,'glossaryterms-export'!C:C,0),
IF(AND(NOT(ISBLANK(INDEX('glossaryterms-export'!H:H,_xlpm.rowNum))),ISBLANK(INDEX('glossaryterms-export'!I:I,_xlpm.rowNum))),"Ready to Fix",""))</f>
        <v/>
      </c>
    </row>
    <row r="5117" spans="6:6">
      <c r="F5117" s="1" t="str" cm="1">
        <f t="array" ref="F5117">_xlfn.LET(_xlpm.rowNum,MATCH(E5117,'glossaryterms-export'!C:C,0),
IF(AND(NOT(ISBLANK(INDEX('glossaryterms-export'!H:H,_xlpm.rowNum))),ISBLANK(INDEX('glossaryterms-export'!I:I,_xlpm.rowNum))),"Ready to Fix",""))</f>
        <v/>
      </c>
    </row>
    <row r="5118" spans="6:6">
      <c r="F5118" s="1" t="str" cm="1">
        <f t="array" ref="F5118">_xlfn.LET(_xlpm.rowNum,MATCH(E5118,'glossaryterms-export'!C:C,0),
IF(AND(NOT(ISBLANK(INDEX('glossaryterms-export'!H:H,_xlpm.rowNum))),ISBLANK(INDEX('glossaryterms-export'!I:I,_xlpm.rowNum))),"Ready to Fix",""))</f>
        <v/>
      </c>
    </row>
    <row r="5119" spans="6:6">
      <c r="F5119" s="1" t="str" cm="1">
        <f t="array" ref="F5119">_xlfn.LET(_xlpm.rowNum,MATCH(E5119,'glossaryterms-export'!C:C,0),
IF(AND(NOT(ISBLANK(INDEX('glossaryterms-export'!H:H,_xlpm.rowNum))),ISBLANK(INDEX('glossaryterms-export'!I:I,_xlpm.rowNum))),"Ready to Fix",""))</f>
        <v/>
      </c>
    </row>
    <row r="5120" spans="6:6">
      <c r="F5120" s="1" t="str" cm="1">
        <f t="array" ref="F5120">_xlfn.LET(_xlpm.rowNum,MATCH(E5120,'glossaryterms-export'!C:C,0),
IF(AND(NOT(ISBLANK(INDEX('glossaryterms-export'!H:H,_xlpm.rowNum))),ISBLANK(INDEX('glossaryterms-export'!I:I,_xlpm.rowNum))),"Ready to Fix",""))</f>
        <v/>
      </c>
    </row>
    <row r="5121" spans="6:6">
      <c r="F5121" s="1" t="str" cm="1">
        <f t="array" ref="F5121">_xlfn.LET(_xlpm.rowNum,MATCH(E5121,'glossaryterms-export'!C:C,0),
IF(AND(NOT(ISBLANK(INDEX('glossaryterms-export'!H:H,_xlpm.rowNum))),ISBLANK(INDEX('glossaryterms-export'!I:I,_xlpm.rowNum))),"Ready to Fix",""))</f>
        <v/>
      </c>
    </row>
    <row r="5122" spans="6:6">
      <c r="F5122" s="1" t="str" cm="1">
        <f t="array" ref="F5122">_xlfn.LET(_xlpm.rowNum,MATCH(E5122,'glossaryterms-export'!C:C,0),
IF(AND(NOT(ISBLANK(INDEX('glossaryterms-export'!H:H,_xlpm.rowNum))),ISBLANK(INDEX('glossaryterms-export'!I:I,_xlpm.rowNum))),"Ready to Fix",""))</f>
        <v/>
      </c>
    </row>
    <row r="5123" spans="6:6">
      <c r="F5123" s="1" t="str" cm="1">
        <f t="array" ref="F5123">_xlfn.LET(_xlpm.rowNum,MATCH(E5123,'glossaryterms-export'!C:C,0),
IF(AND(NOT(ISBLANK(INDEX('glossaryterms-export'!H:H,_xlpm.rowNum))),ISBLANK(INDEX('glossaryterms-export'!I:I,_xlpm.rowNum))),"Ready to Fix",""))</f>
        <v/>
      </c>
    </row>
    <row r="5124" spans="6:6">
      <c r="F5124" s="1" t="str" cm="1">
        <f t="array" ref="F5124">_xlfn.LET(_xlpm.rowNum,MATCH(E5124,'glossaryterms-export'!C:C,0),
IF(AND(NOT(ISBLANK(INDEX('glossaryterms-export'!H:H,_xlpm.rowNum))),ISBLANK(INDEX('glossaryterms-export'!I:I,_xlpm.rowNum))),"Ready to Fix",""))</f>
        <v/>
      </c>
    </row>
    <row r="5125" spans="6:6">
      <c r="F5125" s="1" t="str" cm="1">
        <f t="array" ref="F5125">_xlfn.LET(_xlpm.rowNum,MATCH(E5125,'glossaryterms-export'!C:C,0),
IF(AND(NOT(ISBLANK(INDEX('glossaryterms-export'!H:H,_xlpm.rowNum))),ISBLANK(INDEX('glossaryterms-export'!I:I,_xlpm.rowNum))),"Ready to Fix",""))</f>
        <v/>
      </c>
    </row>
    <row r="5126" spans="6:6">
      <c r="F5126" s="1" t="str" cm="1">
        <f t="array" ref="F5126">_xlfn.LET(_xlpm.rowNum,MATCH(E5126,'glossaryterms-export'!C:C,0),
IF(AND(NOT(ISBLANK(INDEX('glossaryterms-export'!H:H,_xlpm.rowNum))),ISBLANK(INDEX('glossaryterms-export'!I:I,_xlpm.rowNum))),"Ready to Fix",""))</f>
        <v/>
      </c>
    </row>
    <row r="5127" spans="6:6">
      <c r="F5127" s="1" t="str" cm="1">
        <f t="array" ref="F5127">_xlfn.LET(_xlpm.rowNum,MATCH(E5127,'glossaryterms-export'!C:C,0),
IF(AND(NOT(ISBLANK(INDEX('glossaryterms-export'!H:H,_xlpm.rowNum))),ISBLANK(INDEX('glossaryterms-export'!I:I,_xlpm.rowNum))),"Ready to Fix",""))</f>
        <v/>
      </c>
    </row>
    <row r="5128" spans="6:6">
      <c r="F5128" s="1" t="str" cm="1">
        <f t="array" ref="F5128">_xlfn.LET(_xlpm.rowNum,MATCH(E5128,'glossaryterms-export'!C:C,0),
IF(AND(NOT(ISBLANK(INDEX('glossaryterms-export'!H:H,_xlpm.rowNum))),ISBLANK(INDEX('glossaryterms-export'!I:I,_xlpm.rowNum))),"Ready to Fix",""))</f>
        <v/>
      </c>
    </row>
    <row r="5129" spans="6:6">
      <c r="F5129" s="1" t="str" cm="1">
        <f t="array" ref="F5129">_xlfn.LET(_xlpm.rowNum,MATCH(E5129,'glossaryterms-export'!C:C,0),
IF(AND(NOT(ISBLANK(INDEX('glossaryterms-export'!H:H,_xlpm.rowNum))),ISBLANK(INDEX('glossaryterms-export'!I:I,_xlpm.rowNum))),"Ready to Fix",""))</f>
        <v/>
      </c>
    </row>
    <row r="5130" spans="6:6">
      <c r="F5130" s="1" t="str" cm="1">
        <f t="array" ref="F5130">_xlfn.LET(_xlpm.rowNum,MATCH(E5130,'glossaryterms-export'!C:C,0),
IF(AND(NOT(ISBLANK(INDEX('glossaryterms-export'!H:H,_xlpm.rowNum))),ISBLANK(INDEX('glossaryterms-export'!I:I,_xlpm.rowNum))),"Ready to Fix",""))</f>
        <v/>
      </c>
    </row>
    <row r="5131" spans="6:6">
      <c r="F5131" s="1" t="str" cm="1">
        <f t="array" ref="F5131">_xlfn.LET(_xlpm.rowNum,MATCH(E5131,'glossaryterms-export'!C:C,0),
IF(AND(NOT(ISBLANK(INDEX('glossaryterms-export'!H:H,_xlpm.rowNum))),ISBLANK(INDEX('glossaryterms-export'!I:I,_xlpm.rowNum))),"Ready to Fix",""))</f>
        <v/>
      </c>
    </row>
    <row r="5132" spans="6:6">
      <c r="F5132" s="1" t="str" cm="1">
        <f t="array" ref="F5132">_xlfn.LET(_xlpm.rowNum,MATCH(E5132,'glossaryterms-export'!C:C,0),
IF(AND(NOT(ISBLANK(INDEX('glossaryterms-export'!H:H,_xlpm.rowNum))),ISBLANK(INDEX('glossaryterms-export'!I:I,_xlpm.rowNum))),"Ready to Fix",""))</f>
        <v/>
      </c>
    </row>
    <row r="5133" spans="6:6">
      <c r="F5133" s="1" t="str" cm="1">
        <f t="array" ref="F5133">_xlfn.LET(_xlpm.rowNum,MATCH(E5133,'glossaryterms-export'!C:C,0),
IF(AND(NOT(ISBLANK(INDEX('glossaryterms-export'!H:H,_xlpm.rowNum))),ISBLANK(INDEX('glossaryterms-export'!I:I,_xlpm.rowNum))),"Ready to Fix",""))</f>
        <v/>
      </c>
    </row>
    <row r="5134" spans="6:6">
      <c r="F5134" s="1" t="str" cm="1">
        <f t="array" ref="F5134">_xlfn.LET(_xlpm.rowNum,MATCH(E5134,'glossaryterms-export'!C:C,0),
IF(AND(NOT(ISBLANK(INDEX('glossaryterms-export'!H:H,_xlpm.rowNum))),ISBLANK(INDEX('glossaryterms-export'!I:I,_xlpm.rowNum))),"Ready to Fix",""))</f>
        <v/>
      </c>
    </row>
    <row r="5135" spans="6:6">
      <c r="F5135" s="1" t="str" cm="1">
        <f t="array" ref="F5135">_xlfn.LET(_xlpm.rowNum,MATCH(E5135,'glossaryterms-export'!C:C,0),
IF(AND(NOT(ISBLANK(INDEX('glossaryterms-export'!H:H,_xlpm.rowNum))),ISBLANK(INDEX('glossaryterms-export'!I:I,_xlpm.rowNum))),"Ready to Fix",""))</f>
        <v/>
      </c>
    </row>
    <row r="5136" spans="6:6">
      <c r="F5136" s="1" t="str" cm="1">
        <f t="array" ref="F5136">_xlfn.LET(_xlpm.rowNum,MATCH(E5136,'glossaryterms-export'!C:C,0),
IF(AND(NOT(ISBLANK(INDEX('glossaryterms-export'!H:H,_xlpm.rowNum))),ISBLANK(INDEX('glossaryterms-export'!I:I,_xlpm.rowNum))),"Ready to Fix",""))</f>
        <v/>
      </c>
    </row>
    <row r="5137" spans="6:6">
      <c r="F5137" s="1" t="str" cm="1">
        <f t="array" ref="F5137">_xlfn.LET(_xlpm.rowNum,MATCH(E5137,'glossaryterms-export'!C:C,0),
IF(AND(NOT(ISBLANK(INDEX('glossaryterms-export'!H:H,_xlpm.rowNum))),ISBLANK(INDEX('glossaryterms-export'!I:I,_xlpm.rowNum))),"Ready to Fix",""))</f>
        <v/>
      </c>
    </row>
    <row r="5138" spans="6:6">
      <c r="F5138" s="1" t="str" cm="1">
        <f t="array" ref="F5138">_xlfn.LET(_xlpm.rowNum,MATCH(E5138,'glossaryterms-export'!C:C,0),
IF(AND(NOT(ISBLANK(INDEX('glossaryterms-export'!H:H,_xlpm.rowNum))),ISBLANK(INDEX('glossaryterms-export'!I:I,_xlpm.rowNum))),"Ready to Fix",""))</f>
        <v/>
      </c>
    </row>
    <row r="5139" spans="6:6">
      <c r="F5139" s="1" t="str" cm="1">
        <f t="array" ref="F5139">_xlfn.LET(_xlpm.rowNum,MATCH(E5139,'glossaryterms-export'!C:C,0),
IF(AND(NOT(ISBLANK(INDEX('glossaryterms-export'!H:H,_xlpm.rowNum))),ISBLANK(INDEX('glossaryterms-export'!I:I,_xlpm.rowNum))),"Ready to Fix",""))</f>
        <v/>
      </c>
    </row>
    <row r="5140" spans="6:6">
      <c r="F5140" s="1" t="str" cm="1">
        <f t="array" ref="F5140">_xlfn.LET(_xlpm.rowNum,MATCH(E5140,'glossaryterms-export'!C:C,0),
IF(AND(NOT(ISBLANK(INDEX('glossaryterms-export'!H:H,_xlpm.rowNum))),ISBLANK(INDEX('glossaryterms-export'!I:I,_xlpm.rowNum))),"Ready to Fix",""))</f>
        <v/>
      </c>
    </row>
    <row r="5141" spans="6:6">
      <c r="F5141" s="1" t="str" cm="1">
        <f t="array" ref="F5141">_xlfn.LET(_xlpm.rowNum,MATCH(E5141,'glossaryterms-export'!C:C,0),
IF(AND(NOT(ISBLANK(INDEX('glossaryterms-export'!H:H,_xlpm.rowNum))),ISBLANK(INDEX('glossaryterms-export'!I:I,_xlpm.rowNum))),"Ready to Fix",""))</f>
        <v/>
      </c>
    </row>
    <row r="5142" spans="6:6">
      <c r="F5142" s="1" t="str" cm="1">
        <f t="array" ref="F5142">_xlfn.LET(_xlpm.rowNum,MATCH(E5142,'glossaryterms-export'!C:C,0),
IF(AND(NOT(ISBLANK(INDEX('glossaryterms-export'!H:H,_xlpm.rowNum))),ISBLANK(INDEX('glossaryterms-export'!I:I,_xlpm.rowNum))),"Ready to Fix",""))</f>
        <v/>
      </c>
    </row>
    <row r="5143" spans="6:6">
      <c r="F5143" s="1" t="str" cm="1">
        <f t="array" ref="F5143">_xlfn.LET(_xlpm.rowNum,MATCH(E5143,'glossaryterms-export'!C:C,0),
IF(AND(NOT(ISBLANK(INDEX('glossaryterms-export'!H:H,_xlpm.rowNum))),ISBLANK(INDEX('glossaryterms-export'!I:I,_xlpm.rowNum))),"Ready to Fix",""))</f>
        <v/>
      </c>
    </row>
    <row r="5144" spans="6:6">
      <c r="F5144" s="1" t="str" cm="1">
        <f t="array" ref="F5144">_xlfn.LET(_xlpm.rowNum,MATCH(E5144,'glossaryterms-export'!C:C,0),
IF(AND(NOT(ISBLANK(INDEX('glossaryterms-export'!H:H,_xlpm.rowNum))),ISBLANK(INDEX('glossaryterms-export'!I:I,_xlpm.rowNum))),"Ready to Fix",""))</f>
        <v/>
      </c>
    </row>
    <row r="5145" spans="6:6">
      <c r="F5145" s="1" t="str" cm="1">
        <f t="array" ref="F5145">_xlfn.LET(_xlpm.rowNum,MATCH(E5145,'glossaryterms-export'!C:C,0),
IF(AND(NOT(ISBLANK(INDEX('glossaryterms-export'!H:H,_xlpm.rowNum))),ISBLANK(INDEX('glossaryterms-export'!I:I,_xlpm.rowNum))),"Ready to Fix",""))</f>
        <v/>
      </c>
    </row>
    <row r="5146" spans="6:6">
      <c r="F5146" s="1" t="str" cm="1">
        <f t="array" ref="F5146">_xlfn.LET(_xlpm.rowNum,MATCH(E5146,'glossaryterms-export'!C:C,0),
IF(AND(NOT(ISBLANK(INDEX('glossaryterms-export'!H:H,_xlpm.rowNum))),ISBLANK(INDEX('glossaryterms-export'!I:I,_xlpm.rowNum))),"Ready to Fix",""))</f>
        <v/>
      </c>
    </row>
    <row r="5147" spans="6:6">
      <c r="F5147" s="1" t="str" cm="1">
        <f t="array" ref="F5147">_xlfn.LET(_xlpm.rowNum,MATCH(E5147,'glossaryterms-export'!C:C,0),
IF(AND(NOT(ISBLANK(INDEX('glossaryterms-export'!H:H,_xlpm.rowNum))),ISBLANK(INDEX('glossaryterms-export'!I:I,_xlpm.rowNum))),"Ready to Fix",""))</f>
        <v/>
      </c>
    </row>
    <row r="5148" spans="6:6">
      <c r="F5148" s="1" t="str" cm="1">
        <f t="array" ref="F5148">_xlfn.LET(_xlpm.rowNum,MATCH(E5148,'glossaryterms-export'!C:C,0),
IF(AND(NOT(ISBLANK(INDEX('glossaryterms-export'!H:H,_xlpm.rowNum))),ISBLANK(INDEX('glossaryterms-export'!I:I,_xlpm.rowNum))),"Ready to Fix",""))</f>
        <v/>
      </c>
    </row>
    <row r="5149" spans="6:6">
      <c r="F5149" s="1" t="str" cm="1">
        <f t="array" ref="F5149">_xlfn.LET(_xlpm.rowNum,MATCH(E5149,'glossaryterms-export'!C:C,0),
IF(AND(NOT(ISBLANK(INDEX('glossaryterms-export'!H:H,_xlpm.rowNum))),ISBLANK(INDEX('glossaryterms-export'!I:I,_xlpm.rowNum))),"Ready to Fix",""))</f>
        <v/>
      </c>
    </row>
    <row r="5150" spans="6:6">
      <c r="F5150" s="1" t="str" cm="1">
        <f t="array" ref="F5150">_xlfn.LET(_xlpm.rowNum,MATCH(E5150,'glossaryterms-export'!C:C,0),
IF(AND(NOT(ISBLANK(INDEX('glossaryterms-export'!H:H,_xlpm.rowNum))),ISBLANK(INDEX('glossaryterms-export'!I:I,_xlpm.rowNum))),"Ready to Fix",""))</f>
        <v/>
      </c>
    </row>
    <row r="5151" spans="6:6">
      <c r="F5151" s="1" t="str" cm="1">
        <f t="array" ref="F5151">_xlfn.LET(_xlpm.rowNum,MATCH(E5151,'glossaryterms-export'!C:C,0),
IF(AND(NOT(ISBLANK(INDEX('glossaryterms-export'!H:H,_xlpm.rowNum))),ISBLANK(INDEX('glossaryterms-export'!I:I,_xlpm.rowNum))),"Ready to Fix",""))</f>
        <v/>
      </c>
    </row>
    <row r="5152" spans="6:6">
      <c r="F5152" s="1" t="str" cm="1">
        <f t="array" ref="F5152">_xlfn.LET(_xlpm.rowNum,MATCH(E5152,'glossaryterms-export'!C:C,0),
IF(AND(NOT(ISBLANK(INDEX('glossaryterms-export'!H:H,_xlpm.rowNum))),ISBLANK(INDEX('glossaryterms-export'!I:I,_xlpm.rowNum))),"Ready to Fix",""))</f>
        <v/>
      </c>
    </row>
    <row r="5153" spans="6:6">
      <c r="F5153" s="1" t="str" cm="1">
        <f t="array" ref="F5153">_xlfn.LET(_xlpm.rowNum,MATCH(E5153,'glossaryterms-export'!C:C,0),
IF(AND(NOT(ISBLANK(INDEX('glossaryterms-export'!H:H,_xlpm.rowNum))),ISBLANK(INDEX('glossaryterms-export'!I:I,_xlpm.rowNum))),"Ready to Fix",""))</f>
        <v/>
      </c>
    </row>
    <row r="5154" spans="6:6">
      <c r="F5154" s="1" t="str" cm="1">
        <f t="array" ref="F5154">_xlfn.LET(_xlpm.rowNum,MATCH(E5154,'glossaryterms-export'!C:C,0),
IF(AND(NOT(ISBLANK(INDEX('glossaryterms-export'!H:H,_xlpm.rowNum))),ISBLANK(INDEX('glossaryterms-export'!I:I,_xlpm.rowNum))),"Ready to Fix",""))</f>
        <v/>
      </c>
    </row>
    <row r="5155" spans="6:6">
      <c r="F5155" s="1" t="str" cm="1">
        <f t="array" ref="F5155">_xlfn.LET(_xlpm.rowNum,MATCH(E5155,'glossaryterms-export'!C:C,0),
IF(AND(NOT(ISBLANK(INDEX('glossaryterms-export'!H:H,_xlpm.rowNum))),ISBLANK(INDEX('glossaryterms-export'!I:I,_xlpm.rowNum))),"Ready to Fix",""))</f>
        <v/>
      </c>
    </row>
    <row r="5156" spans="6:6">
      <c r="F5156" s="1" t="str" cm="1">
        <f t="array" ref="F5156">_xlfn.LET(_xlpm.rowNum,MATCH(E5156,'glossaryterms-export'!C:C,0),
IF(AND(NOT(ISBLANK(INDEX('glossaryterms-export'!H:H,_xlpm.rowNum))),ISBLANK(INDEX('glossaryterms-export'!I:I,_xlpm.rowNum))),"Ready to Fix",""))</f>
        <v/>
      </c>
    </row>
    <row r="5157" spans="6:6">
      <c r="F5157" s="1" t="str" cm="1">
        <f t="array" ref="F5157">_xlfn.LET(_xlpm.rowNum,MATCH(E5157,'glossaryterms-export'!C:C,0),
IF(AND(NOT(ISBLANK(INDEX('glossaryterms-export'!H:H,_xlpm.rowNum))),ISBLANK(INDEX('glossaryterms-export'!I:I,_xlpm.rowNum))),"Ready to Fix",""))</f>
        <v/>
      </c>
    </row>
    <row r="5158" spans="6:6">
      <c r="F5158" s="1" t="str" cm="1">
        <f t="array" ref="F5158">_xlfn.LET(_xlpm.rowNum,MATCH(E5158,'glossaryterms-export'!C:C,0),
IF(AND(NOT(ISBLANK(INDEX('glossaryterms-export'!H:H,_xlpm.rowNum))),ISBLANK(INDEX('glossaryterms-export'!I:I,_xlpm.rowNum))),"Ready to Fix",""))</f>
        <v/>
      </c>
    </row>
    <row r="5159" spans="6:6">
      <c r="F5159" s="1" t="str" cm="1">
        <f t="array" ref="F5159">_xlfn.LET(_xlpm.rowNum,MATCH(E5159,'glossaryterms-export'!C:C,0),
IF(AND(NOT(ISBLANK(INDEX('glossaryterms-export'!H:H,_xlpm.rowNum))),ISBLANK(INDEX('glossaryterms-export'!I:I,_xlpm.rowNum))),"Ready to Fix",""))</f>
        <v/>
      </c>
    </row>
    <row r="5160" spans="6:6">
      <c r="F5160" s="1" t="str" cm="1">
        <f t="array" ref="F5160">_xlfn.LET(_xlpm.rowNum,MATCH(E5160,'glossaryterms-export'!C:C,0),
IF(AND(NOT(ISBLANK(INDEX('glossaryterms-export'!H:H,_xlpm.rowNum))),ISBLANK(INDEX('glossaryterms-export'!I:I,_xlpm.rowNum))),"Ready to Fix",""))</f>
        <v/>
      </c>
    </row>
    <row r="5161" spans="6:6">
      <c r="F5161" s="1" t="str" cm="1">
        <f t="array" ref="F5161">_xlfn.LET(_xlpm.rowNum,MATCH(E5161,'glossaryterms-export'!C:C,0),
IF(AND(NOT(ISBLANK(INDEX('glossaryterms-export'!H:H,_xlpm.rowNum))),ISBLANK(INDEX('glossaryterms-export'!I:I,_xlpm.rowNum))),"Ready to Fix",""))</f>
        <v/>
      </c>
    </row>
    <row r="5162" spans="6:6">
      <c r="F5162" s="1" t="str" cm="1">
        <f t="array" ref="F5162">_xlfn.LET(_xlpm.rowNum,MATCH(E5162,'glossaryterms-export'!C:C,0),
IF(AND(NOT(ISBLANK(INDEX('glossaryterms-export'!H:H,_xlpm.rowNum))),ISBLANK(INDEX('glossaryterms-export'!I:I,_xlpm.rowNum))),"Ready to Fix",""))</f>
        <v/>
      </c>
    </row>
    <row r="5163" spans="6:6">
      <c r="F5163" s="1" t="str" cm="1">
        <f t="array" ref="F5163">_xlfn.LET(_xlpm.rowNum,MATCH(E5163,'glossaryterms-export'!C:C,0),
IF(AND(NOT(ISBLANK(INDEX('glossaryterms-export'!H:H,_xlpm.rowNum))),ISBLANK(INDEX('glossaryterms-export'!I:I,_xlpm.rowNum))),"Ready to Fix",""))</f>
        <v/>
      </c>
    </row>
    <row r="5164" spans="6:6">
      <c r="F5164" s="1" t="str" cm="1">
        <f t="array" ref="F5164">_xlfn.LET(_xlpm.rowNum,MATCH(E5164,'glossaryterms-export'!C:C,0),
IF(AND(NOT(ISBLANK(INDEX('glossaryterms-export'!H:H,_xlpm.rowNum))),ISBLANK(INDEX('glossaryterms-export'!I:I,_xlpm.rowNum))),"Ready to Fix",""))</f>
        <v/>
      </c>
    </row>
    <row r="5165" spans="6:6">
      <c r="F5165" s="1" t="str" cm="1">
        <f t="array" ref="F5165">_xlfn.LET(_xlpm.rowNum,MATCH(E5165,'glossaryterms-export'!C:C,0),
IF(AND(NOT(ISBLANK(INDEX('glossaryterms-export'!H:H,_xlpm.rowNum))),ISBLANK(INDEX('glossaryterms-export'!I:I,_xlpm.rowNum))),"Ready to Fix",""))</f>
        <v/>
      </c>
    </row>
    <row r="5166" spans="6:6">
      <c r="F5166" s="1" t="str" cm="1">
        <f t="array" ref="F5166">_xlfn.LET(_xlpm.rowNum,MATCH(E5166,'glossaryterms-export'!C:C,0),
IF(AND(NOT(ISBLANK(INDEX('glossaryterms-export'!H:H,_xlpm.rowNum))),ISBLANK(INDEX('glossaryterms-export'!I:I,_xlpm.rowNum))),"Ready to Fix",""))</f>
        <v/>
      </c>
    </row>
    <row r="5167" spans="6:6">
      <c r="F5167" s="1" t="str" cm="1">
        <f t="array" ref="F5167">_xlfn.LET(_xlpm.rowNum,MATCH(E5167,'glossaryterms-export'!C:C,0),
IF(AND(NOT(ISBLANK(INDEX('glossaryterms-export'!H:H,_xlpm.rowNum))),ISBLANK(INDEX('glossaryterms-export'!I:I,_xlpm.rowNum))),"Ready to Fix",""))</f>
        <v/>
      </c>
    </row>
    <row r="5168" spans="6:6">
      <c r="F5168" s="1" t="str" cm="1">
        <f t="array" ref="F5168">_xlfn.LET(_xlpm.rowNum,MATCH(E5168,'glossaryterms-export'!C:C,0),
IF(AND(NOT(ISBLANK(INDEX('glossaryterms-export'!H:H,_xlpm.rowNum))),ISBLANK(INDEX('glossaryterms-export'!I:I,_xlpm.rowNum))),"Ready to Fix",""))</f>
        <v/>
      </c>
    </row>
    <row r="5169" spans="6:6">
      <c r="F5169" s="1" t="str" cm="1">
        <f t="array" ref="F5169">_xlfn.LET(_xlpm.rowNum,MATCH(E5169,'glossaryterms-export'!C:C,0),
IF(AND(NOT(ISBLANK(INDEX('glossaryterms-export'!H:H,_xlpm.rowNum))),ISBLANK(INDEX('glossaryterms-export'!I:I,_xlpm.rowNum))),"Ready to Fix",""))</f>
        <v/>
      </c>
    </row>
    <row r="5170" spans="6:6">
      <c r="F5170" s="1" t="str" cm="1">
        <f t="array" ref="F5170">_xlfn.LET(_xlpm.rowNum,MATCH(E5170,'glossaryterms-export'!C:C,0),
IF(AND(NOT(ISBLANK(INDEX('glossaryterms-export'!H:H,_xlpm.rowNum))),ISBLANK(INDEX('glossaryterms-export'!I:I,_xlpm.rowNum))),"Ready to Fix",""))</f>
        <v/>
      </c>
    </row>
    <row r="5171" spans="6:6">
      <c r="F5171" s="1" t="str" cm="1">
        <f t="array" ref="F5171">_xlfn.LET(_xlpm.rowNum,MATCH(E5171,'glossaryterms-export'!C:C,0),
IF(AND(NOT(ISBLANK(INDEX('glossaryterms-export'!H:H,_xlpm.rowNum))),ISBLANK(INDEX('glossaryterms-export'!I:I,_xlpm.rowNum))),"Ready to Fix",""))</f>
        <v/>
      </c>
    </row>
    <row r="5172" spans="6:6">
      <c r="F5172" s="1" t="str" cm="1">
        <f t="array" ref="F5172">_xlfn.LET(_xlpm.rowNum,MATCH(E5172,'glossaryterms-export'!C:C,0),
IF(AND(NOT(ISBLANK(INDEX('glossaryterms-export'!H:H,_xlpm.rowNum))),ISBLANK(INDEX('glossaryterms-export'!I:I,_xlpm.rowNum))),"Ready to Fix",""))</f>
        <v/>
      </c>
    </row>
    <row r="5173" spans="6:6">
      <c r="F5173" s="1" t="str" cm="1">
        <f t="array" ref="F5173">_xlfn.LET(_xlpm.rowNum,MATCH(E5173,'glossaryterms-export'!C:C,0),
IF(AND(NOT(ISBLANK(INDEX('glossaryterms-export'!H:H,_xlpm.rowNum))),ISBLANK(INDEX('glossaryterms-export'!I:I,_xlpm.rowNum))),"Ready to Fix",""))</f>
        <v/>
      </c>
    </row>
    <row r="5174" spans="6:6">
      <c r="F5174" s="1" t="str" cm="1">
        <f t="array" ref="F5174">_xlfn.LET(_xlpm.rowNum,MATCH(E5174,'glossaryterms-export'!C:C,0),
IF(AND(NOT(ISBLANK(INDEX('glossaryterms-export'!H:H,_xlpm.rowNum))),ISBLANK(INDEX('glossaryterms-export'!I:I,_xlpm.rowNum))),"Ready to Fix",""))</f>
        <v/>
      </c>
    </row>
    <row r="5175" spans="6:6">
      <c r="F5175" s="1" t="str" cm="1">
        <f t="array" ref="F5175">_xlfn.LET(_xlpm.rowNum,MATCH(E5175,'glossaryterms-export'!C:C,0),
IF(AND(NOT(ISBLANK(INDEX('glossaryterms-export'!H:H,_xlpm.rowNum))),ISBLANK(INDEX('glossaryterms-export'!I:I,_xlpm.rowNum))),"Ready to Fix",""))</f>
        <v/>
      </c>
    </row>
    <row r="5176" spans="6:6">
      <c r="F5176" s="1" t="str" cm="1">
        <f t="array" ref="F5176">_xlfn.LET(_xlpm.rowNum,MATCH(E5176,'glossaryterms-export'!C:C,0),
IF(AND(NOT(ISBLANK(INDEX('glossaryterms-export'!H:H,_xlpm.rowNum))),ISBLANK(INDEX('glossaryterms-export'!I:I,_xlpm.rowNum))),"Ready to Fix",""))</f>
        <v/>
      </c>
    </row>
    <row r="5177" spans="6:6">
      <c r="F5177" s="1" t="str" cm="1">
        <f t="array" ref="F5177">_xlfn.LET(_xlpm.rowNum,MATCH(E5177,'glossaryterms-export'!C:C,0),
IF(AND(NOT(ISBLANK(INDEX('glossaryterms-export'!H:H,_xlpm.rowNum))),ISBLANK(INDEX('glossaryterms-export'!I:I,_xlpm.rowNum))),"Ready to Fix",""))</f>
        <v/>
      </c>
    </row>
    <row r="5178" spans="6:6">
      <c r="F5178" s="1" t="str" cm="1">
        <f t="array" ref="F5178">_xlfn.LET(_xlpm.rowNum,MATCH(E5178,'glossaryterms-export'!C:C,0),
IF(AND(NOT(ISBLANK(INDEX('glossaryterms-export'!H:H,_xlpm.rowNum))),ISBLANK(INDEX('glossaryterms-export'!I:I,_xlpm.rowNum))),"Ready to Fix",""))</f>
        <v/>
      </c>
    </row>
    <row r="5179" spans="6:6">
      <c r="F5179" s="1" t="str" cm="1">
        <f t="array" ref="F5179">_xlfn.LET(_xlpm.rowNum,MATCH(E5179,'glossaryterms-export'!C:C,0),
IF(AND(NOT(ISBLANK(INDEX('glossaryterms-export'!H:H,_xlpm.rowNum))),ISBLANK(INDEX('glossaryterms-export'!I:I,_xlpm.rowNum))),"Ready to Fix",""))</f>
        <v/>
      </c>
    </row>
    <row r="5180" spans="6:6">
      <c r="F5180" s="1" t="str" cm="1">
        <f t="array" ref="F5180">_xlfn.LET(_xlpm.rowNum,MATCH(E5180,'glossaryterms-export'!C:C,0),
IF(AND(NOT(ISBLANK(INDEX('glossaryterms-export'!H:H,_xlpm.rowNum))),ISBLANK(INDEX('glossaryterms-export'!I:I,_xlpm.rowNum))),"Ready to Fix",""))</f>
        <v/>
      </c>
    </row>
    <row r="5181" spans="6:6">
      <c r="F5181" s="1" t="str" cm="1">
        <f t="array" ref="F5181">_xlfn.LET(_xlpm.rowNum,MATCH(E5181,'glossaryterms-export'!C:C,0),
IF(AND(NOT(ISBLANK(INDEX('glossaryterms-export'!H:H,_xlpm.rowNum))),ISBLANK(INDEX('glossaryterms-export'!I:I,_xlpm.rowNum))),"Ready to Fix",""))</f>
        <v/>
      </c>
    </row>
    <row r="5182" spans="6:6">
      <c r="F5182" s="1" t="str" cm="1">
        <f t="array" ref="F5182">_xlfn.LET(_xlpm.rowNum,MATCH(E5182,'glossaryterms-export'!C:C,0),
IF(AND(NOT(ISBLANK(INDEX('glossaryterms-export'!H:H,_xlpm.rowNum))),ISBLANK(INDEX('glossaryterms-export'!I:I,_xlpm.rowNum))),"Ready to Fix",""))</f>
        <v/>
      </c>
    </row>
    <row r="5183" spans="6:6">
      <c r="F5183" s="1" t="str" cm="1">
        <f t="array" ref="F5183">_xlfn.LET(_xlpm.rowNum,MATCH(E5183,'glossaryterms-export'!C:C,0),
IF(AND(NOT(ISBLANK(INDEX('glossaryterms-export'!H:H,_xlpm.rowNum))),ISBLANK(INDEX('glossaryterms-export'!I:I,_xlpm.rowNum))),"Ready to Fix",""))</f>
        <v/>
      </c>
    </row>
    <row r="5184" spans="6:6">
      <c r="F5184" s="1" t="str" cm="1">
        <f t="array" ref="F5184">_xlfn.LET(_xlpm.rowNum,MATCH(E5184,'glossaryterms-export'!C:C,0),
IF(AND(NOT(ISBLANK(INDEX('glossaryterms-export'!H:H,_xlpm.rowNum))),ISBLANK(INDEX('glossaryterms-export'!I:I,_xlpm.rowNum))),"Ready to Fix",""))</f>
        <v/>
      </c>
    </row>
    <row r="5185" spans="6:6">
      <c r="F5185" s="1" t="str" cm="1">
        <f t="array" ref="F5185">_xlfn.LET(_xlpm.rowNum,MATCH(E5185,'glossaryterms-export'!C:C,0),
IF(AND(NOT(ISBLANK(INDEX('glossaryterms-export'!H:H,_xlpm.rowNum))),ISBLANK(INDEX('glossaryterms-export'!I:I,_xlpm.rowNum))),"Ready to Fix",""))</f>
        <v/>
      </c>
    </row>
    <row r="5186" spans="6:6">
      <c r="F5186" s="1" t="str" cm="1">
        <f t="array" ref="F5186">_xlfn.LET(_xlpm.rowNum,MATCH(E5186,'glossaryterms-export'!C:C,0),
IF(AND(NOT(ISBLANK(INDEX('glossaryterms-export'!H:H,_xlpm.rowNum))),ISBLANK(INDEX('glossaryterms-export'!I:I,_xlpm.rowNum))),"Ready to Fix",""))</f>
        <v/>
      </c>
    </row>
    <row r="5187" spans="6:6">
      <c r="F5187" s="1" t="str" cm="1">
        <f t="array" ref="F5187">_xlfn.LET(_xlpm.rowNum,MATCH(E5187,'glossaryterms-export'!C:C,0),
IF(AND(NOT(ISBLANK(INDEX('glossaryterms-export'!H:H,_xlpm.rowNum))),ISBLANK(INDEX('glossaryterms-export'!I:I,_xlpm.rowNum))),"Ready to Fix",""))</f>
        <v/>
      </c>
    </row>
    <row r="5188" spans="6:6">
      <c r="F5188" s="1" t="str" cm="1">
        <f t="array" ref="F5188">_xlfn.LET(_xlpm.rowNum,MATCH(E5188,'glossaryterms-export'!C:C,0),
IF(AND(NOT(ISBLANK(INDEX('glossaryterms-export'!H:H,_xlpm.rowNum))),ISBLANK(INDEX('glossaryterms-export'!I:I,_xlpm.rowNum))),"Ready to Fix",""))</f>
        <v/>
      </c>
    </row>
    <row r="5189" spans="6:6">
      <c r="F5189" s="1" t="str" cm="1">
        <f t="array" ref="F5189">_xlfn.LET(_xlpm.rowNum,MATCH(E5189,'glossaryterms-export'!C:C,0),
IF(AND(NOT(ISBLANK(INDEX('glossaryterms-export'!H:H,_xlpm.rowNum))),ISBLANK(INDEX('glossaryterms-export'!I:I,_xlpm.rowNum))),"Ready to Fix",""))</f>
        <v/>
      </c>
    </row>
    <row r="5190" spans="6:6">
      <c r="F5190" s="1" t="str" cm="1">
        <f t="array" ref="F5190">_xlfn.LET(_xlpm.rowNum,MATCH(E5190,'glossaryterms-export'!C:C,0),
IF(AND(NOT(ISBLANK(INDEX('glossaryterms-export'!H:H,_xlpm.rowNum))),ISBLANK(INDEX('glossaryterms-export'!I:I,_xlpm.rowNum))),"Ready to Fix",""))</f>
        <v/>
      </c>
    </row>
    <row r="5191" spans="6:6">
      <c r="F5191" s="1" t="str" cm="1">
        <f t="array" ref="F5191">_xlfn.LET(_xlpm.rowNum,MATCH(E5191,'glossaryterms-export'!C:C,0),
IF(AND(NOT(ISBLANK(INDEX('glossaryterms-export'!H:H,_xlpm.rowNum))),ISBLANK(INDEX('glossaryterms-export'!I:I,_xlpm.rowNum))),"Ready to Fix",""))</f>
        <v/>
      </c>
    </row>
    <row r="5192" spans="6:6">
      <c r="F5192" s="1" t="str" cm="1">
        <f t="array" ref="F5192">_xlfn.LET(_xlpm.rowNum,MATCH(E5192,'glossaryterms-export'!C:C,0),
IF(AND(NOT(ISBLANK(INDEX('glossaryterms-export'!H:H,_xlpm.rowNum))),ISBLANK(INDEX('glossaryterms-export'!I:I,_xlpm.rowNum))),"Ready to Fix",""))</f>
        <v/>
      </c>
    </row>
    <row r="5193" spans="6:6">
      <c r="F5193" s="1" t="str" cm="1">
        <f t="array" ref="F5193">_xlfn.LET(_xlpm.rowNum,MATCH(E5193,'glossaryterms-export'!C:C,0),
IF(AND(NOT(ISBLANK(INDEX('glossaryterms-export'!H:H,_xlpm.rowNum))),ISBLANK(INDEX('glossaryterms-export'!I:I,_xlpm.rowNum))),"Ready to Fix",""))</f>
        <v/>
      </c>
    </row>
    <row r="5194" spans="6:6">
      <c r="F5194" s="1" t="str" cm="1">
        <f t="array" ref="F5194">_xlfn.LET(_xlpm.rowNum,MATCH(E5194,'glossaryterms-export'!C:C,0),
IF(AND(NOT(ISBLANK(INDEX('glossaryterms-export'!H:H,_xlpm.rowNum))),ISBLANK(INDEX('glossaryterms-export'!I:I,_xlpm.rowNum))),"Ready to Fix",""))</f>
        <v/>
      </c>
    </row>
    <row r="5195" spans="6:6">
      <c r="F5195" s="1" t="str" cm="1">
        <f t="array" ref="F5195">_xlfn.LET(_xlpm.rowNum,MATCH(E5195,'glossaryterms-export'!C:C,0),
IF(AND(NOT(ISBLANK(INDEX('glossaryterms-export'!H:H,_xlpm.rowNum))),ISBLANK(INDEX('glossaryterms-export'!I:I,_xlpm.rowNum))),"Ready to Fix",""))</f>
        <v/>
      </c>
    </row>
    <row r="5196" spans="6:6">
      <c r="F5196" s="1" t="str" cm="1">
        <f t="array" ref="F5196">_xlfn.LET(_xlpm.rowNum,MATCH(E5196,'glossaryterms-export'!C:C,0),
IF(AND(NOT(ISBLANK(INDEX('glossaryterms-export'!H:H,_xlpm.rowNum))),ISBLANK(INDEX('glossaryterms-export'!I:I,_xlpm.rowNum))),"Ready to Fix",""))</f>
        <v/>
      </c>
    </row>
    <row r="5197" spans="6:6">
      <c r="F5197" s="1" t="str" cm="1">
        <f t="array" ref="F5197">_xlfn.LET(_xlpm.rowNum,MATCH(E5197,'glossaryterms-export'!C:C,0),
IF(AND(NOT(ISBLANK(INDEX('glossaryterms-export'!H:H,_xlpm.rowNum))),ISBLANK(INDEX('glossaryterms-export'!I:I,_xlpm.rowNum))),"Ready to Fix",""))</f>
        <v/>
      </c>
    </row>
    <row r="5198" spans="6:6">
      <c r="F5198" s="1" t="str" cm="1">
        <f t="array" ref="F5198">_xlfn.LET(_xlpm.rowNum,MATCH(E5198,'glossaryterms-export'!C:C,0),
IF(AND(NOT(ISBLANK(INDEX('glossaryterms-export'!H:H,_xlpm.rowNum))),ISBLANK(INDEX('glossaryterms-export'!I:I,_xlpm.rowNum))),"Ready to Fix",""))</f>
        <v/>
      </c>
    </row>
    <row r="5199" spans="6:6">
      <c r="F5199" s="1" t="str" cm="1">
        <f t="array" ref="F5199">_xlfn.LET(_xlpm.rowNum,MATCH(E5199,'glossaryterms-export'!C:C,0),
IF(AND(NOT(ISBLANK(INDEX('glossaryterms-export'!H:H,_xlpm.rowNum))),ISBLANK(INDEX('glossaryterms-export'!I:I,_xlpm.rowNum))),"Ready to Fix",""))</f>
        <v/>
      </c>
    </row>
    <row r="5200" spans="6:6">
      <c r="F5200" s="1" t="str" cm="1">
        <f t="array" ref="F5200">_xlfn.LET(_xlpm.rowNum,MATCH(E5200,'glossaryterms-export'!C:C,0),
IF(AND(NOT(ISBLANK(INDEX('glossaryterms-export'!H:H,_xlpm.rowNum))),ISBLANK(INDEX('glossaryterms-export'!I:I,_xlpm.rowNum))),"Ready to Fix",""))</f>
        <v/>
      </c>
    </row>
    <row r="5201" spans="6:6">
      <c r="F5201" s="1" t="str" cm="1">
        <f t="array" ref="F5201">_xlfn.LET(_xlpm.rowNum,MATCH(E5201,'glossaryterms-export'!C:C,0),
IF(AND(NOT(ISBLANK(INDEX('glossaryterms-export'!H:H,_xlpm.rowNum))),ISBLANK(INDEX('glossaryterms-export'!I:I,_xlpm.rowNum))),"Ready to Fix",""))</f>
        <v/>
      </c>
    </row>
    <row r="5202" spans="6:6">
      <c r="F5202" s="1" t="str" cm="1">
        <f t="array" ref="F5202">_xlfn.LET(_xlpm.rowNum,MATCH(E5202,'glossaryterms-export'!C:C,0),
IF(AND(NOT(ISBLANK(INDEX('glossaryterms-export'!H:H,_xlpm.rowNum))),ISBLANK(INDEX('glossaryterms-export'!I:I,_xlpm.rowNum))),"Ready to Fix",""))</f>
        <v/>
      </c>
    </row>
    <row r="5203" spans="6:6">
      <c r="F5203" s="1" t="str" cm="1">
        <f t="array" ref="F5203">_xlfn.LET(_xlpm.rowNum,MATCH(E5203,'glossaryterms-export'!C:C,0),
IF(AND(NOT(ISBLANK(INDEX('glossaryterms-export'!H:H,_xlpm.rowNum))),ISBLANK(INDEX('glossaryterms-export'!I:I,_xlpm.rowNum))),"Ready to Fix",""))</f>
        <v/>
      </c>
    </row>
    <row r="5204" spans="6:6">
      <c r="F5204" s="1" t="str" cm="1">
        <f t="array" ref="F5204">_xlfn.LET(_xlpm.rowNum,MATCH(E5204,'glossaryterms-export'!C:C,0),
IF(AND(NOT(ISBLANK(INDEX('glossaryterms-export'!H:H,_xlpm.rowNum))),ISBLANK(INDEX('glossaryterms-export'!I:I,_xlpm.rowNum))),"Ready to Fix",""))</f>
        <v/>
      </c>
    </row>
    <row r="5205" spans="6:6">
      <c r="F5205" s="1" t="str" cm="1">
        <f t="array" ref="F5205">_xlfn.LET(_xlpm.rowNum,MATCH(E5205,'glossaryterms-export'!C:C,0),
IF(AND(NOT(ISBLANK(INDEX('glossaryterms-export'!H:H,_xlpm.rowNum))),ISBLANK(INDEX('glossaryterms-export'!I:I,_xlpm.rowNum))),"Ready to Fix",""))</f>
        <v/>
      </c>
    </row>
    <row r="5206" spans="6:6">
      <c r="F5206" s="1" t="str" cm="1">
        <f t="array" ref="F5206">_xlfn.LET(_xlpm.rowNum,MATCH(E5206,'glossaryterms-export'!C:C,0),
IF(AND(NOT(ISBLANK(INDEX('glossaryterms-export'!H:H,_xlpm.rowNum))),ISBLANK(INDEX('glossaryterms-export'!I:I,_xlpm.rowNum))),"Ready to Fix",""))</f>
        <v/>
      </c>
    </row>
    <row r="5207" spans="6:6">
      <c r="F5207" s="1" t="str" cm="1">
        <f t="array" ref="F5207">_xlfn.LET(_xlpm.rowNum,MATCH(E5207,'glossaryterms-export'!C:C,0),
IF(AND(NOT(ISBLANK(INDEX('glossaryterms-export'!H:H,_xlpm.rowNum))),ISBLANK(INDEX('glossaryterms-export'!I:I,_xlpm.rowNum))),"Ready to Fix",""))</f>
        <v/>
      </c>
    </row>
    <row r="5208" spans="6:6">
      <c r="F5208" s="1" t="str" cm="1">
        <f t="array" ref="F5208">_xlfn.LET(_xlpm.rowNum,MATCH(E5208,'glossaryterms-export'!C:C,0),
IF(AND(NOT(ISBLANK(INDEX('glossaryterms-export'!H:H,_xlpm.rowNum))),ISBLANK(INDEX('glossaryterms-export'!I:I,_xlpm.rowNum))),"Ready to Fix",""))</f>
        <v/>
      </c>
    </row>
    <row r="5209" spans="6:6">
      <c r="F5209" s="1" t="str" cm="1">
        <f t="array" ref="F5209">_xlfn.LET(_xlpm.rowNum,MATCH(E5209,'glossaryterms-export'!C:C,0),
IF(AND(NOT(ISBLANK(INDEX('glossaryterms-export'!H:H,_xlpm.rowNum))),ISBLANK(INDEX('glossaryterms-export'!I:I,_xlpm.rowNum))),"Ready to Fix",""))</f>
        <v/>
      </c>
    </row>
    <row r="5210" spans="6:6">
      <c r="F5210" s="1" t="str" cm="1">
        <f t="array" ref="F5210">_xlfn.LET(_xlpm.rowNum,MATCH(E5210,'glossaryterms-export'!C:C,0),
IF(AND(NOT(ISBLANK(INDEX('glossaryterms-export'!H:H,_xlpm.rowNum))),ISBLANK(INDEX('glossaryterms-export'!I:I,_xlpm.rowNum))),"Ready to Fix",""))</f>
        <v/>
      </c>
    </row>
    <row r="5211" spans="6:6">
      <c r="F5211" s="1" t="str" cm="1">
        <f t="array" ref="F5211">_xlfn.LET(_xlpm.rowNum,MATCH(E5211,'glossaryterms-export'!C:C,0),
IF(AND(NOT(ISBLANK(INDEX('glossaryterms-export'!H:H,_xlpm.rowNum))),ISBLANK(INDEX('glossaryterms-export'!I:I,_xlpm.rowNum))),"Ready to Fix",""))</f>
        <v/>
      </c>
    </row>
    <row r="5212" spans="6:6">
      <c r="F5212" s="1" t="str" cm="1">
        <f t="array" ref="F5212">_xlfn.LET(_xlpm.rowNum,MATCH(E5212,'glossaryterms-export'!C:C,0),
IF(AND(NOT(ISBLANK(INDEX('glossaryterms-export'!H:H,_xlpm.rowNum))),ISBLANK(INDEX('glossaryterms-export'!I:I,_xlpm.rowNum))),"Ready to Fix",""))</f>
        <v/>
      </c>
    </row>
    <row r="5213" spans="6:6">
      <c r="F5213" s="1" t="str" cm="1">
        <f t="array" ref="F5213">_xlfn.LET(_xlpm.rowNum,MATCH(E5213,'glossaryterms-export'!C:C,0),
IF(AND(NOT(ISBLANK(INDEX('glossaryterms-export'!H:H,_xlpm.rowNum))),ISBLANK(INDEX('glossaryterms-export'!I:I,_xlpm.rowNum))),"Ready to Fix",""))</f>
        <v/>
      </c>
    </row>
    <row r="5214" spans="6:6">
      <c r="F5214" s="1" t="str" cm="1">
        <f t="array" ref="F5214">_xlfn.LET(_xlpm.rowNum,MATCH(E5214,'glossaryterms-export'!C:C,0),
IF(AND(NOT(ISBLANK(INDEX('glossaryterms-export'!H:H,_xlpm.rowNum))),ISBLANK(INDEX('glossaryterms-export'!I:I,_xlpm.rowNum))),"Ready to Fix",""))</f>
        <v/>
      </c>
    </row>
    <row r="5215" spans="6:6">
      <c r="F5215" s="1" t="str" cm="1">
        <f t="array" ref="F5215">_xlfn.LET(_xlpm.rowNum,MATCH(E5215,'glossaryterms-export'!C:C,0),
IF(AND(NOT(ISBLANK(INDEX('glossaryterms-export'!H:H,_xlpm.rowNum))),ISBLANK(INDEX('glossaryterms-export'!I:I,_xlpm.rowNum))),"Ready to Fix",""))</f>
        <v/>
      </c>
    </row>
    <row r="5216" spans="6:6">
      <c r="F5216" s="1" t="str" cm="1">
        <f t="array" ref="F5216">_xlfn.LET(_xlpm.rowNum,MATCH(E5216,'glossaryterms-export'!C:C,0),
IF(AND(NOT(ISBLANK(INDEX('glossaryterms-export'!H:H,_xlpm.rowNum))),ISBLANK(INDEX('glossaryterms-export'!I:I,_xlpm.rowNum))),"Ready to Fix",""))</f>
        <v/>
      </c>
    </row>
    <row r="5217" spans="6:6">
      <c r="F5217" s="1" t="str" cm="1">
        <f t="array" ref="F5217">_xlfn.LET(_xlpm.rowNum,MATCH(E5217,'glossaryterms-export'!C:C,0),
IF(AND(NOT(ISBLANK(INDEX('glossaryterms-export'!H:H,_xlpm.rowNum))),ISBLANK(INDEX('glossaryterms-export'!I:I,_xlpm.rowNum))),"Ready to Fix",""))</f>
        <v/>
      </c>
    </row>
    <row r="5218" spans="6:6">
      <c r="F5218" s="1" t="str" cm="1">
        <f t="array" ref="F5218">_xlfn.LET(_xlpm.rowNum,MATCH(E5218,'glossaryterms-export'!C:C,0),
IF(AND(NOT(ISBLANK(INDEX('glossaryterms-export'!H:H,_xlpm.rowNum))),ISBLANK(INDEX('glossaryterms-export'!I:I,_xlpm.rowNum))),"Ready to Fix",""))</f>
        <v/>
      </c>
    </row>
    <row r="5219" spans="6:6">
      <c r="F5219" s="1" t="str" cm="1">
        <f t="array" ref="F5219">_xlfn.LET(_xlpm.rowNum,MATCH(E5219,'glossaryterms-export'!C:C,0),
IF(AND(NOT(ISBLANK(INDEX('glossaryterms-export'!H:H,_xlpm.rowNum))),ISBLANK(INDEX('glossaryterms-export'!I:I,_xlpm.rowNum))),"Ready to Fix",""))</f>
        <v/>
      </c>
    </row>
    <row r="5220" spans="6:6">
      <c r="F5220" s="1" t="str" cm="1">
        <f t="array" ref="F5220">_xlfn.LET(_xlpm.rowNum,MATCH(E5220,'glossaryterms-export'!C:C,0),
IF(AND(NOT(ISBLANK(INDEX('glossaryterms-export'!H:H,_xlpm.rowNum))),ISBLANK(INDEX('glossaryterms-export'!I:I,_xlpm.rowNum))),"Ready to Fix",""))</f>
        <v/>
      </c>
    </row>
    <row r="5221" spans="6:6">
      <c r="F5221" s="1" t="str" cm="1">
        <f t="array" ref="F5221">_xlfn.LET(_xlpm.rowNum,MATCH(E5221,'glossaryterms-export'!C:C,0),
IF(AND(NOT(ISBLANK(INDEX('glossaryterms-export'!H:H,_xlpm.rowNum))),ISBLANK(INDEX('glossaryterms-export'!I:I,_xlpm.rowNum))),"Ready to Fix",""))</f>
        <v/>
      </c>
    </row>
    <row r="5222" spans="6:6">
      <c r="F5222" s="1" t="str" cm="1">
        <f t="array" ref="F5222">_xlfn.LET(_xlpm.rowNum,MATCH(E5222,'glossaryterms-export'!C:C,0),
IF(AND(NOT(ISBLANK(INDEX('glossaryterms-export'!H:H,_xlpm.rowNum))),ISBLANK(INDEX('glossaryterms-export'!I:I,_xlpm.rowNum))),"Ready to Fix",""))</f>
        <v/>
      </c>
    </row>
    <row r="5223" spans="6:6">
      <c r="F5223" s="1" t="str" cm="1">
        <f t="array" ref="F5223">_xlfn.LET(_xlpm.rowNum,MATCH(E5223,'glossaryterms-export'!C:C,0),
IF(AND(NOT(ISBLANK(INDEX('glossaryterms-export'!H:H,_xlpm.rowNum))),ISBLANK(INDEX('glossaryterms-export'!I:I,_xlpm.rowNum))),"Ready to Fix",""))</f>
        <v/>
      </c>
    </row>
    <row r="5224" spans="6:6">
      <c r="F5224" s="1" t="str" cm="1">
        <f t="array" ref="F5224">_xlfn.LET(_xlpm.rowNum,MATCH(E5224,'glossaryterms-export'!C:C,0),
IF(AND(NOT(ISBLANK(INDEX('glossaryterms-export'!H:H,_xlpm.rowNum))),ISBLANK(INDEX('glossaryterms-export'!I:I,_xlpm.rowNum))),"Ready to Fix",""))</f>
        <v/>
      </c>
    </row>
    <row r="5225" spans="6:6">
      <c r="F5225" s="1" t="str" cm="1">
        <f t="array" ref="F5225">_xlfn.LET(_xlpm.rowNum,MATCH(E5225,'glossaryterms-export'!C:C,0),
IF(AND(NOT(ISBLANK(INDEX('glossaryterms-export'!H:H,_xlpm.rowNum))),ISBLANK(INDEX('glossaryterms-export'!I:I,_xlpm.rowNum))),"Ready to Fix",""))</f>
        <v/>
      </c>
    </row>
    <row r="5226" spans="6:6">
      <c r="F5226" s="1" t="str" cm="1">
        <f t="array" ref="F5226">_xlfn.LET(_xlpm.rowNum,MATCH(E5226,'glossaryterms-export'!C:C,0),
IF(AND(NOT(ISBLANK(INDEX('glossaryterms-export'!H:H,_xlpm.rowNum))),ISBLANK(INDEX('glossaryterms-export'!I:I,_xlpm.rowNum))),"Ready to Fix",""))</f>
        <v/>
      </c>
    </row>
    <row r="5227" spans="6:6">
      <c r="F5227" s="1" t="str" cm="1">
        <f t="array" ref="F5227">_xlfn.LET(_xlpm.rowNum,MATCH(E5227,'glossaryterms-export'!C:C,0),
IF(AND(NOT(ISBLANK(INDEX('glossaryterms-export'!H:H,_xlpm.rowNum))),ISBLANK(INDEX('glossaryterms-export'!I:I,_xlpm.rowNum))),"Ready to Fix",""))</f>
        <v/>
      </c>
    </row>
    <row r="5228" spans="6:6">
      <c r="F5228" s="1" t="str" cm="1">
        <f t="array" ref="F5228">_xlfn.LET(_xlpm.rowNum,MATCH(E5228,'glossaryterms-export'!C:C,0),
IF(AND(NOT(ISBLANK(INDEX('glossaryterms-export'!H:H,_xlpm.rowNum))),ISBLANK(INDEX('glossaryterms-export'!I:I,_xlpm.rowNum))),"Ready to Fix",""))</f>
        <v/>
      </c>
    </row>
    <row r="5229" spans="6:6">
      <c r="F5229" s="1" t="str" cm="1">
        <f t="array" ref="F5229">_xlfn.LET(_xlpm.rowNum,MATCH(E5229,'glossaryterms-export'!C:C,0),
IF(AND(NOT(ISBLANK(INDEX('glossaryterms-export'!H:H,_xlpm.rowNum))),ISBLANK(INDEX('glossaryterms-export'!I:I,_xlpm.rowNum))),"Ready to Fix",""))</f>
        <v/>
      </c>
    </row>
    <row r="5230" spans="6:6">
      <c r="F5230" s="1" t="str" cm="1">
        <f t="array" ref="F5230">_xlfn.LET(_xlpm.rowNum,MATCH(E5230,'glossaryterms-export'!C:C,0),
IF(AND(NOT(ISBLANK(INDEX('glossaryterms-export'!H:H,_xlpm.rowNum))),ISBLANK(INDEX('glossaryterms-export'!I:I,_xlpm.rowNum))),"Ready to Fix",""))</f>
        <v/>
      </c>
    </row>
    <row r="5231" spans="6:6">
      <c r="F5231" s="1" t="str" cm="1">
        <f t="array" ref="F5231">_xlfn.LET(_xlpm.rowNum,MATCH(E5231,'glossaryterms-export'!C:C,0),
IF(AND(NOT(ISBLANK(INDEX('glossaryterms-export'!H:H,_xlpm.rowNum))),ISBLANK(INDEX('glossaryterms-export'!I:I,_xlpm.rowNum))),"Ready to Fix",""))</f>
        <v/>
      </c>
    </row>
    <row r="5232" spans="6:6">
      <c r="F5232" s="1" t="str" cm="1">
        <f t="array" ref="F5232">_xlfn.LET(_xlpm.rowNum,MATCH(E5232,'glossaryterms-export'!C:C,0),
IF(AND(NOT(ISBLANK(INDEX('glossaryterms-export'!H:H,_xlpm.rowNum))),ISBLANK(INDEX('glossaryterms-export'!I:I,_xlpm.rowNum))),"Ready to Fix",""))</f>
        <v/>
      </c>
    </row>
    <row r="5233" spans="6:6">
      <c r="F5233" s="1" t="str" cm="1">
        <f t="array" ref="F5233">_xlfn.LET(_xlpm.rowNum,MATCH(E5233,'glossaryterms-export'!C:C,0),
IF(AND(NOT(ISBLANK(INDEX('glossaryterms-export'!H:H,_xlpm.rowNum))),ISBLANK(INDEX('glossaryterms-export'!I:I,_xlpm.rowNum))),"Ready to Fix",""))</f>
        <v/>
      </c>
    </row>
    <row r="5234" spans="6:6">
      <c r="F5234" s="1" t="str" cm="1">
        <f t="array" ref="F5234">_xlfn.LET(_xlpm.rowNum,MATCH(E5234,'glossaryterms-export'!C:C,0),
IF(AND(NOT(ISBLANK(INDEX('glossaryterms-export'!H:H,_xlpm.rowNum))),ISBLANK(INDEX('glossaryterms-export'!I:I,_xlpm.rowNum))),"Ready to Fix",""))</f>
        <v/>
      </c>
    </row>
    <row r="5235" spans="6:6">
      <c r="F5235" s="1" t="str" cm="1">
        <f t="array" ref="F5235">_xlfn.LET(_xlpm.rowNum,MATCH(E5235,'glossaryterms-export'!C:C,0),
IF(AND(NOT(ISBLANK(INDEX('glossaryterms-export'!H:H,_xlpm.rowNum))),ISBLANK(INDEX('glossaryterms-export'!I:I,_xlpm.rowNum))),"Ready to Fix",""))</f>
        <v/>
      </c>
    </row>
    <row r="5236" spans="6:6">
      <c r="F5236" s="1" t="str" cm="1">
        <f t="array" ref="F5236">_xlfn.LET(_xlpm.rowNum,MATCH(E5236,'glossaryterms-export'!C:C,0),
IF(AND(NOT(ISBLANK(INDEX('glossaryterms-export'!H:H,_xlpm.rowNum))),ISBLANK(INDEX('glossaryterms-export'!I:I,_xlpm.rowNum))),"Ready to Fix",""))</f>
        <v/>
      </c>
    </row>
    <row r="5237" spans="6:6">
      <c r="F5237" s="1" t="str" cm="1">
        <f t="array" ref="F5237">_xlfn.LET(_xlpm.rowNum,MATCH(E5237,'glossaryterms-export'!C:C,0),
IF(AND(NOT(ISBLANK(INDEX('glossaryterms-export'!H:H,_xlpm.rowNum))),ISBLANK(INDEX('glossaryterms-export'!I:I,_xlpm.rowNum))),"Ready to Fix",""))</f>
        <v/>
      </c>
    </row>
    <row r="5238" spans="6:6">
      <c r="F5238" s="1" t="str" cm="1">
        <f t="array" ref="F5238">_xlfn.LET(_xlpm.rowNum,MATCH(E5238,'glossaryterms-export'!C:C,0),
IF(AND(NOT(ISBLANK(INDEX('glossaryterms-export'!H:H,_xlpm.rowNum))),ISBLANK(INDEX('glossaryterms-export'!I:I,_xlpm.rowNum))),"Ready to Fix",""))</f>
        <v/>
      </c>
    </row>
    <row r="5239" spans="6:6">
      <c r="F5239" s="1" t="str" cm="1">
        <f t="array" ref="F5239">_xlfn.LET(_xlpm.rowNum,MATCH(E5239,'glossaryterms-export'!C:C,0),
IF(AND(NOT(ISBLANK(INDEX('glossaryterms-export'!H:H,_xlpm.rowNum))),ISBLANK(INDEX('glossaryterms-export'!I:I,_xlpm.rowNum))),"Ready to Fix",""))</f>
        <v/>
      </c>
    </row>
    <row r="5240" spans="6:6">
      <c r="F5240" s="1" t="str" cm="1">
        <f t="array" ref="F5240">_xlfn.LET(_xlpm.rowNum,MATCH(E5240,'glossaryterms-export'!C:C,0),
IF(AND(NOT(ISBLANK(INDEX('glossaryterms-export'!H:H,_xlpm.rowNum))),ISBLANK(INDEX('glossaryterms-export'!I:I,_xlpm.rowNum))),"Ready to Fix",""))</f>
        <v/>
      </c>
    </row>
    <row r="5241" spans="6:6">
      <c r="F5241" s="1" t="str" cm="1">
        <f t="array" ref="F5241">_xlfn.LET(_xlpm.rowNum,MATCH(E5241,'glossaryterms-export'!C:C,0),
IF(AND(NOT(ISBLANK(INDEX('glossaryterms-export'!H:H,_xlpm.rowNum))),ISBLANK(INDEX('glossaryterms-export'!I:I,_xlpm.rowNum))),"Ready to Fix",""))</f>
        <v/>
      </c>
    </row>
    <row r="5242" spans="6:6">
      <c r="F5242" s="1" t="str" cm="1">
        <f t="array" ref="F5242">_xlfn.LET(_xlpm.rowNum,MATCH(E5242,'glossaryterms-export'!C:C,0),
IF(AND(NOT(ISBLANK(INDEX('glossaryterms-export'!H:H,_xlpm.rowNum))),ISBLANK(INDEX('glossaryterms-export'!I:I,_xlpm.rowNum))),"Ready to Fix",""))</f>
        <v/>
      </c>
    </row>
    <row r="5243" spans="6:6">
      <c r="F5243" s="1" t="str" cm="1">
        <f t="array" ref="F5243">_xlfn.LET(_xlpm.rowNum,MATCH(E5243,'glossaryterms-export'!C:C,0),
IF(AND(NOT(ISBLANK(INDEX('glossaryterms-export'!H:H,_xlpm.rowNum))),ISBLANK(INDEX('glossaryterms-export'!I:I,_xlpm.rowNum))),"Ready to Fix",""))</f>
        <v/>
      </c>
    </row>
    <row r="5244" spans="6:6">
      <c r="F5244" s="1" t="str" cm="1">
        <f t="array" ref="F5244">_xlfn.LET(_xlpm.rowNum,MATCH(E5244,'glossaryterms-export'!C:C,0),
IF(AND(NOT(ISBLANK(INDEX('glossaryterms-export'!H:H,_xlpm.rowNum))),ISBLANK(INDEX('glossaryterms-export'!I:I,_xlpm.rowNum))),"Ready to Fix",""))</f>
        <v/>
      </c>
    </row>
    <row r="5245" spans="6:6">
      <c r="F5245" s="1" t="str" cm="1">
        <f t="array" ref="F5245">_xlfn.LET(_xlpm.rowNum,MATCH(E5245,'glossaryterms-export'!C:C,0),
IF(AND(NOT(ISBLANK(INDEX('glossaryterms-export'!H:H,_xlpm.rowNum))),ISBLANK(INDEX('glossaryterms-export'!I:I,_xlpm.rowNum))),"Ready to Fix",""))</f>
        <v/>
      </c>
    </row>
    <row r="5246" spans="6:6">
      <c r="F5246" s="1" t="str" cm="1">
        <f t="array" ref="F5246">_xlfn.LET(_xlpm.rowNum,MATCH(E5246,'glossaryterms-export'!C:C,0),
IF(AND(NOT(ISBLANK(INDEX('glossaryterms-export'!H:H,_xlpm.rowNum))),ISBLANK(INDEX('glossaryterms-export'!I:I,_xlpm.rowNum))),"Ready to Fix",""))</f>
        <v/>
      </c>
    </row>
    <row r="5247" spans="6:6">
      <c r="F5247" s="1" t="str" cm="1">
        <f t="array" ref="F5247">_xlfn.LET(_xlpm.rowNum,MATCH(E5247,'glossaryterms-export'!C:C,0),
IF(AND(NOT(ISBLANK(INDEX('glossaryterms-export'!H:H,_xlpm.rowNum))),ISBLANK(INDEX('glossaryterms-export'!I:I,_xlpm.rowNum))),"Ready to Fix",""))</f>
        <v/>
      </c>
    </row>
    <row r="5248" spans="6:6">
      <c r="F5248" s="1" t="str" cm="1">
        <f t="array" ref="F5248">_xlfn.LET(_xlpm.rowNum,MATCH(E5248,'glossaryterms-export'!C:C,0),
IF(AND(NOT(ISBLANK(INDEX('glossaryterms-export'!H:H,_xlpm.rowNum))),ISBLANK(INDEX('glossaryterms-export'!I:I,_xlpm.rowNum))),"Ready to Fix",""))</f>
        <v/>
      </c>
    </row>
    <row r="5249" spans="6:6">
      <c r="F5249" s="1" t="str" cm="1">
        <f t="array" ref="F5249">_xlfn.LET(_xlpm.rowNum,MATCH(E5249,'glossaryterms-export'!C:C,0),
IF(AND(NOT(ISBLANK(INDEX('glossaryterms-export'!H:H,_xlpm.rowNum))),ISBLANK(INDEX('glossaryterms-export'!I:I,_xlpm.rowNum))),"Ready to Fix",""))</f>
        <v/>
      </c>
    </row>
    <row r="5250" spans="6:6">
      <c r="F5250" s="1" t="str" cm="1">
        <f t="array" ref="F5250">_xlfn.LET(_xlpm.rowNum,MATCH(E5250,'glossaryterms-export'!C:C,0),
IF(AND(NOT(ISBLANK(INDEX('glossaryterms-export'!H:H,_xlpm.rowNum))),ISBLANK(INDEX('glossaryterms-export'!I:I,_xlpm.rowNum))),"Ready to Fix",""))</f>
        <v/>
      </c>
    </row>
    <row r="5251" spans="6:6">
      <c r="F5251" s="1" t="str" cm="1">
        <f t="array" ref="F5251">_xlfn.LET(_xlpm.rowNum,MATCH(E5251,'glossaryterms-export'!C:C,0),
IF(AND(NOT(ISBLANK(INDEX('glossaryterms-export'!H:H,_xlpm.rowNum))),ISBLANK(INDEX('glossaryterms-export'!I:I,_xlpm.rowNum))),"Ready to Fix",""))</f>
        <v/>
      </c>
    </row>
    <row r="5252" spans="6:6">
      <c r="F5252" s="1" t="str" cm="1">
        <f t="array" ref="F5252">_xlfn.LET(_xlpm.rowNum,MATCH(E5252,'glossaryterms-export'!C:C,0),
IF(AND(NOT(ISBLANK(INDEX('glossaryterms-export'!H:H,_xlpm.rowNum))),ISBLANK(INDEX('glossaryterms-export'!I:I,_xlpm.rowNum))),"Ready to Fix",""))</f>
        <v/>
      </c>
    </row>
    <row r="5253" spans="6:6">
      <c r="F5253" s="1" t="str" cm="1">
        <f t="array" ref="F5253">_xlfn.LET(_xlpm.rowNum,MATCH(E5253,'glossaryterms-export'!C:C,0),
IF(AND(NOT(ISBLANK(INDEX('glossaryterms-export'!H:H,_xlpm.rowNum))),ISBLANK(INDEX('glossaryterms-export'!I:I,_xlpm.rowNum))),"Ready to Fix",""))</f>
        <v/>
      </c>
    </row>
    <row r="5254" spans="6:6">
      <c r="F5254" s="1" t="str" cm="1">
        <f t="array" ref="F5254">_xlfn.LET(_xlpm.rowNum,MATCH(E5254,'glossaryterms-export'!C:C,0),
IF(AND(NOT(ISBLANK(INDEX('glossaryterms-export'!H:H,_xlpm.rowNum))),ISBLANK(INDEX('glossaryterms-export'!I:I,_xlpm.rowNum))),"Ready to Fix",""))</f>
        <v/>
      </c>
    </row>
    <row r="5255" spans="6:6">
      <c r="F5255" s="1" t="str" cm="1">
        <f t="array" ref="F5255">_xlfn.LET(_xlpm.rowNum,MATCH(E5255,'glossaryterms-export'!C:C,0),
IF(AND(NOT(ISBLANK(INDEX('glossaryterms-export'!H:H,_xlpm.rowNum))),ISBLANK(INDEX('glossaryterms-export'!I:I,_xlpm.rowNum))),"Ready to Fix",""))</f>
        <v/>
      </c>
    </row>
    <row r="5256" spans="6:6">
      <c r="F5256" s="1" t="str" cm="1">
        <f t="array" ref="F5256">_xlfn.LET(_xlpm.rowNum,MATCH(E5256,'glossaryterms-export'!C:C,0),
IF(AND(NOT(ISBLANK(INDEX('glossaryterms-export'!H:H,_xlpm.rowNum))),ISBLANK(INDEX('glossaryterms-export'!I:I,_xlpm.rowNum))),"Ready to Fix",""))</f>
        <v/>
      </c>
    </row>
    <row r="5257" spans="6:6">
      <c r="F5257" s="1" t="str" cm="1">
        <f t="array" ref="F5257">_xlfn.LET(_xlpm.rowNum,MATCH(E5257,'glossaryterms-export'!C:C,0),
IF(AND(NOT(ISBLANK(INDEX('glossaryterms-export'!H:H,_xlpm.rowNum))),ISBLANK(INDEX('glossaryterms-export'!I:I,_xlpm.rowNum))),"Ready to Fix",""))</f>
        <v/>
      </c>
    </row>
    <row r="5258" spans="6:6">
      <c r="F5258" s="1" t="str" cm="1">
        <f t="array" ref="F5258">_xlfn.LET(_xlpm.rowNum,MATCH(E5258,'glossaryterms-export'!C:C,0),
IF(AND(NOT(ISBLANK(INDEX('glossaryterms-export'!H:H,_xlpm.rowNum))),ISBLANK(INDEX('glossaryterms-export'!I:I,_xlpm.rowNum))),"Ready to Fix",""))</f>
        <v/>
      </c>
    </row>
    <row r="5259" spans="6:6">
      <c r="F5259" s="1" t="str" cm="1">
        <f t="array" ref="F5259">_xlfn.LET(_xlpm.rowNum,MATCH(E5259,'glossaryterms-export'!C:C,0),
IF(AND(NOT(ISBLANK(INDEX('glossaryterms-export'!H:H,_xlpm.rowNum))),ISBLANK(INDEX('glossaryterms-export'!I:I,_xlpm.rowNum))),"Ready to Fix",""))</f>
        <v/>
      </c>
    </row>
    <row r="5260" spans="6:6">
      <c r="F5260" s="1" t="str" cm="1">
        <f t="array" ref="F5260">_xlfn.LET(_xlpm.rowNum,MATCH(E5260,'glossaryterms-export'!C:C,0),
IF(AND(NOT(ISBLANK(INDEX('glossaryterms-export'!H:H,_xlpm.rowNum))),ISBLANK(INDEX('glossaryterms-export'!I:I,_xlpm.rowNum))),"Ready to Fix",""))</f>
        <v/>
      </c>
    </row>
    <row r="5261" spans="6:6">
      <c r="F5261" s="1" t="str" cm="1">
        <f t="array" ref="F5261">_xlfn.LET(_xlpm.rowNum,MATCH(E5261,'glossaryterms-export'!C:C,0),
IF(AND(NOT(ISBLANK(INDEX('glossaryterms-export'!H:H,_xlpm.rowNum))),ISBLANK(INDEX('glossaryterms-export'!I:I,_xlpm.rowNum))),"Ready to Fix",""))</f>
        <v/>
      </c>
    </row>
    <row r="5262" spans="6:6">
      <c r="F5262" s="1" t="str" cm="1">
        <f t="array" ref="F5262">_xlfn.LET(_xlpm.rowNum,MATCH(E5262,'glossaryterms-export'!C:C,0),
IF(AND(NOT(ISBLANK(INDEX('glossaryterms-export'!H:H,_xlpm.rowNum))),ISBLANK(INDEX('glossaryterms-export'!I:I,_xlpm.rowNum))),"Ready to Fix",""))</f>
        <v/>
      </c>
    </row>
    <row r="5263" spans="6:6">
      <c r="F5263" s="1" t="str" cm="1">
        <f t="array" ref="F5263">_xlfn.LET(_xlpm.rowNum,MATCH(E5263,'glossaryterms-export'!C:C,0),
IF(AND(NOT(ISBLANK(INDEX('glossaryterms-export'!H:H,_xlpm.rowNum))),ISBLANK(INDEX('glossaryterms-export'!I:I,_xlpm.rowNum))),"Ready to Fix",""))</f>
        <v/>
      </c>
    </row>
    <row r="5264" spans="6:6">
      <c r="F5264" s="1" t="str" cm="1">
        <f t="array" ref="F5264">_xlfn.LET(_xlpm.rowNum,MATCH(E5264,'glossaryterms-export'!C:C,0),
IF(AND(NOT(ISBLANK(INDEX('glossaryterms-export'!H:H,_xlpm.rowNum))),ISBLANK(INDEX('glossaryterms-export'!I:I,_xlpm.rowNum))),"Ready to Fix",""))</f>
        <v/>
      </c>
    </row>
    <row r="5265" spans="6:6">
      <c r="F5265" s="1" t="str" cm="1">
        <f t="array" ref="F5265">_xlfn.LET(_xlpm.rowNum,MATCH(E5265,'glossaryterms-export'!C:C,0),
IF(AND(NOT(ISBLANK(INDEX('glossaryterms-export'!H:H,_xlpm.rowNum))),ISBLANK(INDEX('glossaryterms-export'!I:I,_xlpm.rowNum))),"Ready to Fix",""))</f>
        <v/>
      </c>
    </row>
    <row r="5266" spans="6:6">
      <c r="F5266" s="1" t="str" cm="1">
        <f t="array" ref="F5266">_xlfn.LET(_xlpm.rowNum,MATCH(E5266,'glossaryterms-export'!C:C,0),
IF(AND(NOT(ISBLANK(INDEX('glossaryterms-export'!H:H,_xlpm.rowNum))),ISBLANK(INDEX('glossaryterms-export'!I:I,_xlpm.rowNum))),"Ready to Fix",""))</f>
        <v/>
      </c>
    </row>
    <row r="5267" spans="6:6">
      <c r="F5267" s="1" t="str" cm="1">
        <f t="array" ref="F5267">_xlfn.LET(_xlpm.rowNum,MATCH(E5267,'glossaryterms-export'!C:C,0),
IF(AND(NOT(ISBLANK(INDEX('glossaryterms-export'!H:H,_xlpm.rowNum))),ISBLANK(INDEX('glossaryterms-export'!I:I,_xlpm.rowNum))),"Ready to Fix",""))</f>
        <v/>
      </c>
    </row>
    <row r="5268" spans="6:6">
      <c r="F5268" s="1" t="str" cm="1">
        <f t="array" ref="F5268">_xlfn.LET(_xlpm.rowNum,MATCH(E5268,'glossaryterms-export'!C:C,0),
IF(AND(NOT(ISBLANK(INDEX('glossaryterms-export'!H:H,_xlpm.rowNum))),ISBLANK(INDEX('glossaryterms-export'!I:I,_xlpm.rowNum))),"Ready to Fix",""))</f>
        <v/>
      </c>
    </row>
    <row r="5269" spans="6:6">
      <c r="F5269" s="1" t="str" cm="1">
        <f t="array" ref="F5269">_xlfn.LET(_xlpm.rowNum,MATCH(E5269,'glossaryterms-export'!C:C,0),
IF(AND(NOT(ISBLANK(INDEX('glossaryterms-export'!H:H,_xlpm.rowNum))),ISBLANK(INDEX('glossaryterms-export'!I:I,_xlpm.rowNum))),"Ready to Fix",""))</f>
        <v/>
      </c>
    </row>
    <row r="5270" spans="6:6">
      <c r="F5270" s="1" t="str" cm="1">
        <f t="array" ref="F5270">_xlfn.LET(_xlpm.rowNum,MATCH(E5270,'glossaryterms-export'!C:C,0),
IF(AND(NOT(ISBLANK(INDEX('glossaryterms-export'!H:H,_xlpm.rowNum))),ISBLANK(INDEX('glossaryterms-export'!I:I,_xlpm.rowNum))),"Ready to Fix",""))</f>
        <v/>
      </c>
    </row>
    <row r="5271" spans="6:6">
      <c r="F5271" s="1" t="str" cm="1">
        <f t="array" ref="F5271">_xlfn.LET(_xlpm.rowNum,MATCH(E5271,'glossaryterms-export'!C:C,0),
IF(AND(NOT(ISBLANK(INDEX('glossaryterms-export'!H:H,_xlpm.rowNum))),ISBLANK(INDEX('glossaryterms-export'!I:I,_xlpm.rowNum))),"Ready to Fix",""))</f>
        <v/>
      </c>
    </row>
    <row r="5272" spans="6:6">
      <c r="F5272" s="1" t="str" cm="1">
        <f t="array" ref="F5272">_xlfn.LET(_xlpm.rowNum,MATCH(E5272,'glossaryterms-export'!C:C,0),
IF(AND(NOT(ISBLANK(INDEX('glossaryterms-export'!H:H,_xlpm.rowNum))),ISBLANK(INDEX('glossaryterms-export'!I:I,_xlpm.rowNum))),"Ready to Fix",""))</f>
        <v/>
      </c>
    </row>
    <row r="5273" spans="6:6">
      <c r="F5273" s="1" t="str" cm="1">
        <f t="array" ref="F5273">_xlfn.LET(_xlpm.rowNum,MATCH(E5273,'glossaryterms-export'!C:C,0),
IF(AND(NOT(ISBLANK(INDEX('glossaryterms-export'!H:H,_xlpm.rowNum))),ISBLANK(INDEX('glossaryterms-export'!I:I,_xlpm.rowNum))),"Ready to Fix",""))</f>
        <v/>
      </c>
    </row>
    <row r="5274" spans="6:6">
      <c r="F5274" s="1" t="str" cm="1">
        <f t="array" ref="F5274">_xlfn.LET(_xlpm.rowNum,MATCH(E5274,'glossaryterms-export'!C:C,0),
IF(AND(NOT(ISBLANK(INDEX('glossaryterms-export'!H:H,_xlpm.rowNum))),ISBLANK(INDEX('glossaryterms-export'!I:I,_xlpm.rowNum))),"Ready to Fix",""))</f>
        <v/>
      </c>
    </row>
    <row r="5275" spans="6:6">
      <c r="F5275" s="1" t="str" cm="1">
        <f t="array" ref="F5275">_xlfn.LET(_xlpm.rowNum,MATCH(E5275,'glossaryterms-export'!C:C,0),
IF(AND(NOT(ISBLANK(INDEX('glossaryterms-export'!H:H,_xlpm.rowNum))),ISBLANK(INDEX('glossaryterms-export'!I:I,_xlpm.rowNum))),"Ready to Fix",""))</f>
        <v/>
      </c>
    </row>
    <row r="5276" spans="6:6">
      <c r="F5276" s="1" t="str" cm="1">
        <f t="array" ref="F5276">_xlfn.LET(_xlpm.rowNum,MATCH(E5276,'glossaryterms-export'!C:C,0),
IF(AND(NOT(ISBLANK(INDEX('glossaryterms-export'!H:H,_xlpm.rowNum))),ISBLANK(INDEX('glossaryterms-export'!I:I,_xlpm.rowNum))),"Ready to Fix",""))</f>
        <v/>
      </c>
    </row>
    <row r="5277" spans="6:6">
      <c r="F5277" s="1" t="str" cm="1">
        <f t="array" ref="F5277">_xlfn.LET(_xlpm.rowNum,MATCH(E5277,'glossaryterms-export'!C:C,0),
IF(AND(NOT(ISBLANK(INDEX('glossaryterms-export'!H:H,_xlpm.rowNum))),ISBLANK(INDEX('glossaryterms-export'!I:I,_xlpm.rowNum))),"Ready to Fix",""))</f>
        <v/>
      </c>
    </row>
    <row r="5278" spans="6:6">
      <c r="F5278" s="1" t="str" cm="1">
        <f t="array" ref="F5278">_xlfn.LET(_xlpm.rowNum,MATCH(E5278,'glossaryterms-export'!C:C,0),
IF(AND(NOT(ISBLANK(INDEX('glossaryterms-export'!H:H,_xlpm.rowNum))),ISBLANK(INDEX('glossaryterms-export'!I:I,_xlpm.rowNum))),"Ready to Fix",""))</f>
        <v/>
      </c>
    </row>
    <row r="5279" spans="6:6">
      <c r="F5279" s="1" t="str" cm="1">
        <f t="array" ref="F5279">_xlfn.LET(_xlpm.rowNum,MATCH(E5279,'glossaryterms-export'!C:C,0),
IF(AND(NOT(ISBLANK(INDEX('glossaryterms-export'!H:H,_xlpm.rowNum))),ISBLANK(INDEX('glossaryterms-export'!I:I,_xlpm.rowNum))),"Ready to Fix",""))</f>
        <v/>
      </c>
    </row>
    <row r="5280" spans="6:6">
      <c r="F5280" s="1" t="str" cm="1">
        <f t="array" ref="F5280">_xlfn.LET(_xlpm.rowNum,MATCH(E5280,'glossaryterms-export'!C:C,0),
IF(AND(NOT(ISBLANK(INDEX('glossaryterms-export'!H:H,_xlpm.rowNum))),ISBLANK(INDEX('glossaryterms-export'!I:I,_xlpm.rowNum))),"Ready to Fix",""))</f>
        <v/>
      </c>
    </row>
    <row r="5281" spans="6:6">
      <c r="F5281" s="1" t="str" cm="1">
        <f t="array" ref="F5281">_xlfn.LET(_xlpm.rowNum,MATCH(E5281,'glossaryterms-export'!C:C,0),
IF(AND(NOT(ISBLANK(INDEX('glossaryterms-export'!H:H,_xlpm.rowNum))),ISBLANK(INDEX('glossaryterms-export'!I:I,_xlpm.rowNum))),"Ready to Fix",""))</f>
        <v/>
      </c>
    </row>
    <row r="5282" spans="6:6">
      <c r="F5282" s="1" t="str" cm="1">
        <f t="array" ref="F5282">_xlfn.LET(_xlpm.rowNum,MATCH(E5282,'glossaryterms-export'!C:C,0),
IF(AND(NOT(ISBLANK(INDEX('glossaryterms-export'!H:H,_xlpm.rowNum))),ISBLANK(INDEX('glossaryterms-export'!I:I,_xlpm.rowNum))),"Ready to Fix",""))</f>
        <v/>
      </c>
    </row>
    <row r="5283" spans="6:6">
      <c r="F5283" s="1" t="str" cm="1">
        <f t="array" ref="F5283">_xlfn.LET(_xlpm.rowNum,MATCH(E5283,'glossaryterms-export'!C:C,0),
IF(AND(NOT(ISBLANK(INDEX('glossaryterms-export'!H:H,_xlpm.rowNum))),ISBLANK(INDEX('glossaryterms-export'!I:I,_xlpm.rowNum))),"Ready to Fix",""))</f>
        <v/>
      </c>
    </row>
    <row r="5284" spans="6:6">
      <c r="F5284" s="1" t="str" cm="1">
        <f t="array" ref="F5284">_xlfn.LET(_xlpm.rowNum,MATCH(E5284,'glossaryterms-export'!C:C,0),
IF(AND(NOT(ISBLANK(INDEX('glossaryterms-export'!H:H,_xlpm.rowNum))),ISBLANK(INDEX('glossaryterms-export'!I:I,_xlpm.rowNum))),"Ready to Fix",""))</f>
        <v/>
      </c>
    </row>
    <row r="5285" spans="6:6">
      <c r="F5285" s="1" t="str" cm="1">
        <f t="array" ref="F5285">_xlfn.LET(_xlpm.rowNum,MATCH(E5285,'glossaryterms-export'!C:C,0),
IF(AND(NOT(ISBLANK(INDEX('glossaryterms-export'!H:H,_xlpm.rowNum))),ISBLANK(INDEX('glossaryterms-export'!I:I,_xlpm.rowNum))),"Ready to Fix",""))</f>
        <v/>
      </c>
    </row>
    <row r="5286" spans="6:6">
      <c r="F5286" s="1" t="str" cm="1">
        <f t="array" ref="F5286">_xlfn.LET(_xlpm.rowNum,MATCH(E5286,'glossaryterms-export'!C:C,0),
IF(AND(NOT(ISBLANK(INDEX('glossaryterms-export'!H:H,_xlpm.rowNum))),ISBLANK(INDEX('glossaryterms-export'!I:I,_xlpm.rowNum))),"Ready to Fix",""))</f>
        <v/>
      </c>
    </row>
    <row r="5287" spans="6:6">
      <c r="F5287" s="1" t="str" cm="1">
        <f t="array" ref="F5287">_xlfn.LET(_xlpm.rowNum,MATCH(E5287,'glossaryterms-export'!C:C,0),
IF(AND(NOT(ISBLANK(INDEX('glossaryterms-export'!H:H,_xlpm.rowNum))),ISBLANK(INDEX('glossaryterms-export'!I:I,_xlpm.rowNum))),"Ready to Fix",""))</f>
        <v/>
      </c>
    </row>
    <row r="5288" spans="6:6">
      <c r="F5288" s="1" t="str" cm="1">
        <f t="array" ref="F5288">_xlfn.LET(_xlpm.rowNum,MATCH(E5288,'glossaryterms-export'!C:C,0),
IF(AND(NOT(ISBLANK(INDEX('glossaryterms-export'!H:H,_xlpm.rowNum))),ISBLANK(INDEX('glossaryterms-export'!I:I,_xlpm.rowNum))),"Ready to Fix",""))</f>
        <v/>
      </c>
    </row>
    <row r="5289" spans="6:6">
      <c r="F5289" s="1" t="str" cm="1">
        <f t="array" ref="F5289">_xlfn.LET(_xlpm.rowNum,MATCH(E5289,'glossaryterms-export'!C:C,0),
IF(AND(NOT(ISBLANK(INDEX('glossaryterms-export'!H:H,_xlpm.rowNum))),ISBLANK(INDEX('glossaryterms-export'!I:I,_xlpm.rowNum))),"Ready to Fix",""))</f>
        <v/>
      </c>
    </row>
    <row r="5290" spans="6:6">
      <c r="F5290" s="1" t="str" cm="1">
        <f t="array" ref="F5290">_xlfn.LET(_xlpm.rowNum,MATCH(E5290,'glossaryterms-export'!C:C,0),
IF(AND(NOT(ISBLANK(INDEX('glossaryterms-export'!H:H,_xlpm.rowNum))),ISBLANK(INDEX('glossaryterms-export'!I:I,_xlpm.rowNum))),"Ready to Fix",""))</f>
        <v/>
      </c>
    </row>
    <row r="5291" spans="6:6">
      <c r="F5291" s="1" t="str" cm="1">
        <f t="array" ref="F5291">_xlfn.LET(_xlpm.rowNum,MATCH(E5291,'glossaryterms-export'!C:C,0),
IF(AND(NOT(ISBLANK(INDEX('glossaryterms-export'!H:H,_xlpm.rowNum))),ISBLANK(INDEX('glossaryterms-export'!I:I,_xlpm.rowNum))),"Ready to Fix",""))</f>
        <v/>
      </c>
    </row>
    <row r="5292" spans="6:6">
      <c r="F5292" s="1" t="str" cm="1">
        <f t="array" ref="F5292">_xlfn.LET(_xlpm.rowNum,MATCH(E5292,'glossaryterms-export'!C:C,0),
IF(AND(NOT(ISBLANK(INDEX('glossaryterms-export'!H:H,_xlpm.rowNum))),ISBLANK(INDEX('glossaryterms-export'!I:I,_xlpm.rowNum))),"Ready to Fix",""))</f>
        <v/>
      </c>
    </row>
    <row r="5293" spans="6:6">
      <c r="F5293" s="1" t="str" cm="1">
        <f t="array" ref="F5293">_xlfn.LET(_xlpm.rowNum,MATCH(E5293,'glossaryterms-export'!C:C,0),
IF(AND(NOT(ISBLANK(INDEX('glossaryterms-export'!H:H,_xlpm.rowNum))),ISBLANK(INDEX('glossaryterms-export'!I:I,_xlpm.rowNum))),"Ready to Fix",""))</f>
        <v/>
      </c>
    </row>
    <row r="5294" spans="6:6">
      <c r="F5294" s="1" t="str" cm="1">
        <f t="array" ref="F5294">_xlfn.LET(_xlpm.rowNum,MATCH(E5294,'glossaryterms-export'!C:C,0),
IF(AND(NOT(ISBLANK(INDEX('glossaryterms-export'!H:H,_xlpm.rowNum))),ISBLANK(INDEX('glossaryterms-export'!I:I,_xlpm.rowNum))),"Ready to Fix",""))</f>
        <v/>
      </c>
    </row>
    <row r="5295" spans="6:6">
      <c r="F5295" s="1" t="str" cm="1">
        <f t="array" ref="F5295">_xlfn.LET(_xlpm.rowNum,MATCH(E5295,'glossaryterms-export'!C:C,0),
IF(AND(NOT(ISBLANK(INDEX('glossaryterms-export'!H:H,_xlpm.rowNum))),ISBLANK(INDEX('glossaryterms-export'!I:I,_xlpm.rowNum))),"Ready to Fix",""))</f>
        <v/>
      </c>
    </row>
    <row r="5296" spans="6:6">
      <c r="F5296" s="1" t="str" cm="1">
        <f t="array" ref="F5296">_xlfn.LET(_xlpm.rowNum,MATCH(E5296,'glossaryterms-export'!C:C,0),
IF(AND(NOT(ISBLANK(INDEX('glossaryterms-export'!H:H,_xlpm.rowNum))),ISBLANK(INDEX('glossaryterms-export'!I:I,_xlpm.rowNum))),"Ready to Fix",""))</f>
        <v/>
      </c>
    </row>
    <row r="5297" spans="6:6">
      <c r="F5297" s="1" t="str" cm="1">
        <f t="array" ref="F5297">_xlfn.LET(_xlpm.rowNum,MATCH(E5297,'glossaryterms-export'!C:C,0),
IF(AND(NOT(ISBLANK(INDEX('glossaryterms-export'!H:H,_xlpm.rowNum))),ISBLANK(INDEX('glossaryterms-export'!I:I,_xlpm.rowNum))),"Ready to Fix",""))</f>
        <v/>
      </c>
    </row>
    <row r="5298" spans="6:6">
      <c r="F5298" s="1" t="str" cm="1">
        <f t="array" ref="F5298">_xlfn.LET(_xlpm.rowNum,MATCH(E5298,'glossaryterms-export'!C:C,0),
IF(AND(NOT(ISBLANK(INDEX('glossaryterms-export'!H:H,_xlpm.rowNum))),ISBLANK(INDEX('glossaryterms-export'!I:I,_xlpm.rowNum))),"Ready to Fix",""))</f>
        <v/>
      </c>
    </row>
    <row r="5299" spans="6:6">
      <c r="F5299" s="1" t="str" cm="1">
        <f t="array" ref="F5299">_xlfn.LET(_xlpm.rowNum,MATCH(E5299,'glossaryterms-export'!C:C,0),
IF(AND(NOT(ISBLANK(INDEX('glossaryterms-export'!H:H,_xlpm.rowNum))),ISBLANK(INDEX('glossaryterms-export'!I:I,_xlpm.rowNum))),"Ready to Fix",""))</f>
        <v/>
      </c>
    </row>
    <row r="5300" spans="6:6">
      <c r="F5300" s="1" t="str" cm="1">
        <f t="array" ref="F5300">_xlfn.LET(_xlpm.rowNum,MATCH(E5300,'glossaryterms-export'!C:C,0),
IF(AND(NOT(ISBLANK(INDEX('glossaryterms-export'!H:H,_xlpm.rowNum))),ISBLANK(INDEX('glossaryterms-export'!I:I,_xlpm.rowNum))),"Ready to Fix",""))</f>
        <v/>
      </c>
    </row>
    <row r="5301" spans="6:6">
      <c r="F5301" s="1" t="str" cm="1">
        <f t="array" ref="F5301">_xlfn.LET(_xlpm.rowNum,MATCH(E5301,'glossaryterms-export'!C:C,0),
IF(AND(NOT(ISBLANK(INDEX('glossaryterms-export'!H:H,_xlpm.rowNum))),ISBLANK(INDEX('glossaryterms-export'!I:I,_xlpm.rowNum))),"Ready to Fix",""))</f>
        <v/>
      </c>
    </row>
    <row r="5302" spans="6:6">
      <c r="F5302" s="1" t="str" cm="1">
        <f t="array" ref="F5302">_xlfn.LET(_xlpm.rowNum,MATCH(E5302,'glossaryterms-export'!C:C,0),
IF(AND(NOT(ISBLANK(INDEX('glossaryterms-export'!H:H,_xlpm.rowNum))),ISBLANK(INDEX('glossaryterms-export'!I:I,_xlpm.rowNum))),"Ready to Fix",""))</f>
        <v/>
      </c>
    </row>
    <row r="5303" spans="6:6">
      <c r="F5303" s="1" t="str" cm="1">
        <f t="array" ref="F5303">_xlfn.LET(_xlpm.rowNum,MATCH(E5303,'glossaryterms-export'!C:C,0),
IF(AND(NOT(ISBLANK(INDEX('glossaryterms-export'!H:H,_xlpm.rowNum))),ISBLANK(INDEX('glossaryterms-export'!I:I,_xlpm.rowNum))),"Ready to Fix",""))</f>
        <v/>
      </c>
    </row>
    <row r="5304" spans="6:6">
      <c r="F5304" s="1" t="str" cm="1">
        <f t="array" ref="F5304">_xlfn.LET(_xlpm.rowNum,MATCH(E5304,'glossaryterms-export'!C:C,0),
IF(AND(NOT(ISBLANK(INDEX('glossaryterms-export'!H:H,_xlpm.rowNum))),ISBLANK(INDEX('glossaryterms-export'!I:I,_xlpm.rowNum))),"Ready to Fix",""))</f>
        <v/>
      </c>
    </row>
    <row r="5305" spans="6:6">
      <c r="F5305" s="1" t="str" cm="1">
        <f t="array" ref="F5305">_xlfn.LET(_xlpm.rowNum,MATCH(E5305,'glossaryterms-export'!C:C,0),
IF(AND(NOT(ISBLANK(INDEX('glossaryterms-export'!H:H,_xlpm.rowNum))),ISBLANK(INDEX('glossaryterms-export'!I:I,_xlpm.rowNum))),"Ready to Fix",""))</f>
        <v/>
      </c>
    </row>
    <row r="5306" spans="6:6">
      <c r="F5306" s="1" t="str" cm="1">
        <f t="array" ref="F5306">_xlfn.LET(_xlpm.rowNum,MATCH(E5306,'glossaryterms-export'!C:C,0),
IF(AND(NOT(ISBLANK(INDEX('glossaryterms-export'!H:H,_xlpm.rowNum))),ISBLANK(INDEX('glossaryterms-export'!I:I,_xlpm.rowNum))),"Ready to Fix",""))</f>
        <v/>
      </c>
    </row>
    <row r="5307" spans="6:6">
      <c r="F5307" s="1" t="str" cm="1">
        <f t="array" ref="F5307">_xlfn.LET(_xlpm.rowNum,MATCH(E5307,'glossaryterms-export'!C:C,0),
IF(AND(NOT(ISBLANK(INDEX('glossaryterms-export'!H:H,_xlpm.rowNum))),ISBLANK(INDEX('glossaryterms-export'!I:I,_xlpm.rowNum))),"Ready to Fix",""))</f>
        <v/>
      </c>
    </row>
    <row r="5308" spans="6:6">
      <c r="F5308" s="1" t="str" cm="1">
        <f t="array" ref="F5308">_xlfn.LET(_xlpm.rowNum,MATCH(E5308,'glossaryterms-export'!C:C,0),
IF(AND(NOT(ISBLANK(INDEX('glossaryterms-export'!H:H,_xlpm.rowNum))),ISBLANK(INDEX('glossaryterms-export'!I:I,_xlpm.rowNum))),"Ready to Fix",""))</f>
        <v/>
      </c>
    </row>
    <row r="5309" spans="6:6">
      <c r="F5309" s="1" t="str" cm="1">
        <f t="array" ref="F5309">_xlfn.LET(_xlpm.rowNum,MATCH(E5309,'glossaryterms-export'!C:C,0),
IF(AND(NOT(ISBLANK(INDEX('glossaryterms-export'!H:H,_xlpm.rowNum))),ISBLANK(INDEX('glossaryterms-export'!I:I,_xlpm.rowNum))),"Ready to Fix",""))</f>
        <v/>
      </c>
    </row>
    <row r="5310" spans="6:6">
      <c r="F5310" s="1" t="str" cm="1">
        <f t="array" ref="F5310">_xlfn.LET(_xlpm.rowNum,MATCH(E5310,'glossaryterms-export'!C:C,0),
IF(AND(NOT(ISBLANK(INDEX('glossaryterms-export'!H:H,_xlpm.rowNum))),ISBLANK(INDEX('glossaryterms-export'!I:I,_xlpm.rowNum))),"Ready to Fix",""))</f>
        <v/>
      </c>
    </row>
    <row r="5311" spans="6:6">
      <c r="F5311" s="1" t="str" cm="1">
        <f t="array" ref="F5311">_xlfn.LET(_xlpm.rowNum,MATCH(E5311,'glossaryterms-export'!C:C,0),
IF(AND(NOT(ISBLANK(INDEX('glossaryterms-export'!H:H,_xlpm.rowNum))),ISBLANK(INDEX('glossaryterms-export'!I:I,_xlpm.rowNum))),"Ready to Fix",""))</f>
        <v/>
      </c>
    </row>
    <row r="5312" spans="6:6">
      <c r="F5312" s="1" t="str" cm="1">
        <f t="array" ref="F5312">_xlfn.LET(_xlpm.rowNum,MATCH(E5312,'glossaryterms-export'!C:C,0),
IF(AND(NOT(ISBLANK(INDEX('glossaryterms-export'!H:H,_xlpm.rowNum))),ISBLANK(INDEX('glossaryterms-export'!I:I,_xlpm.rowNum))),"Ready to Fix",""))</f>
        <v/>
      </c>
    </row>
    <row r="5313" spans="6:6">
      <c r="F5313" s="1" t="str" cm="1">
        <f t="array" ref="F5313">_xlfn.LET(_xlpm.rowNum,MATCH(E5313,'glossaryterms-export'!C:C,0),
IF(AND(NOT(ISBLANK(INDEX('glossaryterms-export'!H:H,_xlpm.rowNum))),ISBLANK(INDEX('glossaryterms-export'!I:I,_xlpm.rowNum))),"Ready to Fix",""))</f>
        <v/>
      </c>
    </row>
    <row r="5314" spans="6:6">
      <c r="F5314" s="1" t="str" cm="1">
        <f t="array" ref="F5314">_xlfn.LET(_xlpm.rowNum,MATCH(E5314,'glossaryterms-export'!C:C,0),
IF(AND(NOT(ISBLANK(INDEX('glossaryterms-export'!H:H,_xlpm.rowNum))),ISBLANK(INDEX('glossaryterms-export'!I:I,_xlpm.rowNum))),"Ready to Fix",""))</f>
        <v/>
      </c>
    </row>
    <row r="5315" spans="6:6">
      <c r="F5315" s="1" t="str" cm="1">
        <f t="array" ref="F5315">_xlfn.LET(_xlpm.rowNum,MATCH(E5315,'glossaryterms-export'!C:C,0),
IF(AND(NOT(ISBLANK(INDEX('glossaryterms-export'!H:H,_xlpm.rowNum))),ISBLANK(INDEX('glossaryterms-export'!I:I,_xlpm.rowNum))),"Ready to Fix",""))</f>
        <v/>
      </c>
    </row>
    <row r="5316" spans="6:6">
      <c r="F5316" s="1" t="str" cm="1">
        <f t="array" ref="F5316">_xlfn.LET(_xlpm.rowNum,MATCH(E5316,'glossaryterms-export'!C:C,0),
IF(AND(NOT(ISBLANK(INDEX('glossaryterms-export'!H:H,_xlpm.rowNum))),ISBLANK(INDEX('glossaryterms-export'!I:I,_xlpm.rowNum))),"Ready to Fix",""))</f>
        <v/>
      </c>
    </row>
    <row r="5317" spans="6:6">
      <c r="F5317" s="1" t="str" cm="1">
        <f t="array" ref="F5317">_xlfn.LET(_xlpm.rowNum,MATCH(E5317,'glossaryterms-export'!C:C,0),
IF(AND(NOT(ISBLANK(INDEX('glossaryterms-export'!H:H,_xlpm.rowNum))),ISBLANK(INDEX('glossaryterms-export'!I:I,_xlpm.rowNum))),"Ready to Fix",""))</f>
        <v/>
      </c>
    </row>
    <row r="5318" spans="6:6">
      <c r="F5318" s="1" t="str" cm="1">
        <f t="array" ref="F5318">_xlfn.LET(_xlpm.rowNum,MATCH(E5318,'glossaryterms-export'!C:C,0),
IF(AND(NOT(ISBLANK(INDEX('glossaryterms-export'!H:H,_xlpm.rowNum))),ISBLANK(INDEX('glossaryterms-export'!I:I,_xlpm.rowNum))),"Ready to Fix",""))</f>
        <v/>
      </c>
    </row>
    <row r="5319" spans="6:6">
      <c r="F5319" s="1" t="str" cm="1">
        <f t="array" ref="F5319">_xlfn.LET(_xlpm.rowNum,MATCH(E5319,'glossaryterms-export'!C:C,0),
IF(AND(NOT(ISBLANK(INDEX('glossaryterms-export'!H:H,_xlpm.rowNum))),ISBLANK(INDEX('glossaryterms-export'!I:I,_xlpm.rowNum))),"Ready to Fix",""))</f>
        <v/>
      </c>
    </row>
    <row r="5320" spans="6:6">
      <c r="F5320" s="1" t="str" cm="1">
        <f t="array" ref="F5320">_xlfn.LET(_xlpm.rowNum,MATCH(E5320,'glossaryterms-export'!C:C,0),
IF(AND(NOT(ISBLANK(INDEX('glossaryterms-export'!H:H,_xlpm.rowNum))),ISBLANK(INDEX('glossaryterms-export'!I:I,_xlpm.rowNum))),"Ready to Fix",""))</f>
        <v/>
      </c>
    </row>
    <row r="5321" spans="6:6">
      <c r="F5321" s="1" t="str" cm="1">
        <f t="array" ref="F5321">_xlfn.LET(_xlpm.rowNum,MATCH(E5321,'glossaryterms-export'!C:C,0),
IF(AND(NOT(ISBLANK(INDEX('glossaryterms-export'!H:H,_xlpm.rowNum))),ISBLANK(INDEX('glossaryterms-export'!I:I,_xlpm.rowNum))),"Ready to Fix",""))</f>
        <v/>
      </c>
    </row>
    <row r="5322" spans="6:6">
      <c r="F5322" s="1" t="str" cm="1">
        <f t="array" ref="F5322">_xlfn.LET(_xlpm.rowNum,MATCH(E5322,'glossaryterms-export'!C:C,0),
IF(AND(NOT(ISBLANK(INDEX('glossaryterms-export'!H:H,_xlpm.rowNum))),ISBLANK(INDEX('glossaryterms-export'!I:I,_xlpm.rowNum))),"Ready to Fix",""))</f>
        <v/>
      </c>
    </row>
    <row r="5323" spans="6:6">
      <c r="F5323" s="1" t="str" cm="1">
        <f t="array" ref="F5323">_xlfn.LET(_xlpm.rowNum,MATCH(E5323,'glossaryterms-export'!C:C,0),
IF(AND(NOT(ISBLANK(INDEX('glossaryterms-export'!H:H,_xlpm.rowNum))),ISBLANK(INDEX('glossaryterms-export'!I:I,_xlpm.rowNum))),"Ready to Fix",""))</f>
        <v/>
      </c>
    </row>
    <row r="5324" spans="6:6">
      <c r="F5324" s="1" t="str" cm="1">
        <f t="array" ref="F5324">_xlfn.LET(_xlpm.rowNum,MATCH(E5324,'glossaryterms-export'!C:C,0),
IF(AND(NOT(ISBLANK(INDEX('glossaryterms-export'!H:H,_xlpm.rowNum))),ISBLANK(INDEX('glossaryterms-export'!I:I,_xlpm.rowNum))),"Ready to Fix",""))</f>
        <v/>
      </c>
    </row>
    <row r="5325" spans="6:6">
      <c r="F5325" s="1" t="str" cm="1">
        <f t="array" ref="F5325">_xlfn.LET(_xlpm.rowNum,MATCH(E5325,'glossaryterms-export'!C:C,0),
IF(AND(NOT(ISBLANK(INDEX('glossaryterms-export'!H:H,_xlpm.rowNum))),ISBLANK(INDEX('glossaryterms-export'!I:I,_xlpm.rowNum))),"Ready to Fix",""))</f>
        <v/>
      </c>
    </row>
    <row r="5326" spans="6:6">
      <c r="F5326" s="1" t="str" cm="1">
        <f t="array" ref="F5326">_xlfn.LET(_xlpm.rowNum,MATCH(E5326,'glossaryterms-export'!C:C,0),
IF(AND(NOT(ISBLANK(INDEX('glossaryterms-export'!H:H,_xlpm.rowNum))),ISBLANK(INDEX('glossaryterms-export'!I:I,_xlpm.rowNum))),"Ready to Fix",""))</f>
        <v/>
      </c>
    </row>
    <row r="5327" spans="6:6">
      <c r="F5327" s="1" t="str" cm="1">
        <f t="array" ref="F5327">_xlfn.LET(_xlpm.rowNum,MATCH(E5327,'glossaryterms-export'!C:C,0),
IF(AND(NOT(ISBLANK(INDEX('glossaryterms-export'!H:H,_xlpm.rowNum))),ISBLANK(INDEX('glossaryterms-export'!I:I,_xlpm.rowNum))),"Ready to Fix",""))</f>
        <v/>
      </c>
    </row>
    <row r="5328" spans="6:6">
      <c r="F5328" s="1" t="str" cm="1">
        <f t="array" ref="F5328">_xlfn.LET(_xlpm.rowNum,MATCH(E5328,'glossaryterms-export'!C:C,0),
IF(AND(NOT(ISBLANK(INDEX('glossaryterms-export'!H:H,_xlpm.rowNum))),ISBLANK(INDEX('glossaryterms-export'!I:I,_xlpm.rowNum))),"Ready to Fix",""))</f>
        <v/>
      </c>
    </row>
    <row r="5329" spans="6:6">
      <c r="F5329" s="1" t="str" cm="1">
        <f t="array" ref="F5329">_xlfn.LET(_xlpm.rowNum,MATCH(E5329,'glossaryterms-export'!C:C,0),
IF(AND(NOT(ISBLANK(INDEX('glossaryterms-export'!H:H,_xlpm.rowNum))),ISBLANK(INDEX('glossaryterms-export'!I:I,_xlpm.rowNum))),"Ready to Fix",""))</f>
        <v/>
      </c>
    </row>
    <row r="5330" spans="6:6">
      <c r="F5330" s="1" t="str" cm="1">
        <f t="array" ref="F5330">_xlfn.LET(_xlpm.rowNum,MATCH(E5330,'glossaryterms-export'!C:C,0),
IF(AND(NOT(ISBLANK(INDEX('glossaryterms-export'!H:H,_xlpm.rowNum))),ISBLANK(INDEX('glossaryterms-export'!I:I,_xlpm.rowNum))),"Ready to Fix",""))</f>
        <v/>
      </c>
    </row>
    <row r="5331" spans="6:6">
      <c r="F5331" s="1" t="str" cm="1">
        <f t="array" ref="F5331">_xlfn.LET(_xlpm.rowNum,MATCH(E5331,'glossaryterms-export'!C:C,0),
IF(AND(NOT(ISBLANK(INDEX('glossaryterms-export'!H:H,_xlpm.rowNum))),ISBLANK(INDEX('glossaryterms-export'!I:I,_xlpm.rowNum))),"Ready to Fix",""))</f>
        <v/>
      </c>
    </row>
    <row r="5332" spans="6:6">
      <c r="F5332" s="1" t="str" cm="1">
        <f t="array" ref="F5332">_xlfn.LET(_xlpm.rowNum,MATCH(E5332,'glossaryterms-export'!C:C,0),
IF(AND(NOT(ISBLANK(INDEX('glossaryterms-export'!H:H,_xlpm.rowNum))),ISBLANK(INDEX('glossaryterms-export'!I:I,_xlpm.rowNum))),"Ready to Fix",""))</f>
        <v/>
      </c>
    </row>
    <row r="5333" spans="6:6">
      <c r="F5333" s="1" t="str" cm="1">
        <f t="array" ref="F5333">_xlfn.LET(_xlpm.rowNum,MATCH(E5333,'glossaryterms-export'!C:C,0),
IF(AND(NOT(ISBLANK(INDEX('glossaryterms-export'!H:H,_xlpm.rowNum))),ISBLANK(INDEX('glossaryterms-export'!I:I,_xlpm.rowNum))),"Ready to Fix",""))</f>
        <v/>
      </c>
    </row>
    <row r="5334" spans="6:6">
      <c r="F5334" s="1" t="str" cm="1">
        <f t="array" ref="F5334">_xlfn.LET(_xlpm.rowNum,MATCH(E5334,'glossaryterms-export'!C:C,0),
IF(AND(NOT(ISBLANK(INDEX('glossaryterms-export'!H:H,_xlpm.rowNum))),ISBLANK(INDEX('glossaryterms-export'!I:I,_xlpm.rowNum))),"Ready to Fix",""))</f>
        <v/>
      </c>
    </row>
    <row r="5335" spans="6:6">
      <c r="F5335" s="1" t="str" cm="1">
        <f t="array" ref="F5335">_xlfn.LET(_xlpm.rowNum,MATCH(E5335,'glossaryterms-export'!C:C,0),
IF(AND(NOT(ISBLANK(INDEX('glossaryterms-export'!H:H,_xlpm.rowNum))),ISBLANK(INDEX('glossaryterms-export'!I:I,_xlpm.rowNum))),"Ready to Fix",""))</f>
        <v/>
      </c>
    </row>
    <row r="5336" spans="6:6">
      <c r="F5336" s="1" t="str" cm="1">
        <f t="array" ref="F5336">_xlfn.LET(_xlpm.rowNum,MATCH(E5336,'glossaryterms-export'!C:C,0),
IF(AND(NOT(ISBLANK(INDEX('glossaryterms-export'!H:H,_xlpm.rowNum))),ISBLANK(INDEX('glossaryterms-export'!I:I,_xlpm.rowNum))),"Ready to Fix",""))</f>
        <v/>
      </c>
    </row>
    <row r="5337" spans="6:6">
      <c r="F5337" s="1" t="str" cm="1">
        <f t="array" ref="F5337">_xlfn.LET(_xlpm.rowNum,MATCH(E5337,'glossaryterms-export'!C:C,0),
IF(AND(NOT(ISBLANK(INDEX('glossaryterms-export'!H:H,_xlpm.rowNum))),ISBLANK(INDEX('glossaryterms-export'!I:I,_xlpm.rowNum))),"Ready to Fix",""))</f>
        <v/>
      </c>
    </row>
    <row r="5338" spans="6:6">
      <c r="F5338" s="1" t="str" cm="1">
        <f t="array" ref="F5338">_xlfn.LET(_xlpm.rowNum,MATCH(E5338,'glossaryterms-export'!C:C,0),
IF(AND(NOT(ISBLANK(INDEX('glossaryterms-export'!H:H,_xlpm.rowNum))),ISBLANK(INDEX('glossaryterms-export'!I:I,_xlpm.rowNum))),"Ready to Fix",""))</f>
        <v/>
      </c>
    </row>
    <row r="5339" spans="6:6">
      <c r="F5339" s="1" t="str" cm="1">
        <f t="array" ref="F5339">_xlfn.LET(_xlpm.rowNum,MATCH(E5339,'glossaryterms-export'!C:C,0),
IF(AND(NOT(ISBLANK(INDEX('glossaryterms-export'!H:H,_xlpm.rowNum))),ISBLANK(INDEX('glossaryterms-export'!I:I,_xlpm.rowNum))),"Ready to Fix",""))</f>
        <v/>
      </c>
    </row>
    <row r="5340" spans="6:6">
      <c r="F5340" s="1" t="str" cm="1">
        <f t="array" ref="F5340">_xlfn.LET(_xlpm.rowNum,MATCH(E5340,'glossaryterms-export'!C:C,0),
IF(AND(NOT(ISBLANK(INDEX('glossaryterms-export'!H:H,_xlpm.rowNum))),ISBLANK(INDEX('glossaryterms-export'!I:I,_xlpm.rowNum))),"Ready to Fix",""))</f>
        <v/>
      </c>
    </row>
    <row r="5341" spans="6:6">
      <c r="F5341" s="1" t="str" cm="1">
        <f t="array" ref="F5341">_xlfn.LET(_xlpm.rowNum,MATCH(E5341,'glossaryterms-export'!C:C,0),
IF(AND(NOT(ISBLANK(INDEX('glossaryterms-export'!H:H,_xlpm.rowNum))),ISBLANK(INDEX('glossaryterms-export'!I:I,_xlpm.rowNum))),"Ready to Fix",""))</f>
        <v/>
      </c>
    </row>
    <row r="5342" spans="6:6">
      <c r="F5342" s="1" t="str" cm="1">
        <f t="array" ref="F5342">_xlfn.LET(_xlpm.rowNum,MATCH(E5342,'glossaryterms-export'!C:C,0),
IF(AND(NOT(ISBLANK(INDEX('glossaryterms-export'!H:H,_xlpm.rowNum))),ISBLANK(INDEX('glossaryterms-export'!I:I,_xlpm.rowNum))),"Ready to Fix",""))</f>
        <v/>
      </c>
    </row>
    <row r="5343" spans="6:6">
      <c r="F5343" s="1" t="str" cm="1">
        <f t="array" ref="F5343">_xlfn.LET(_xlpm.rowNum,MATCH(E5343,'glossaryterms-export'!C:C,0),
IF(AND(NOT(ISBLANK(INDEX('glossaryterms-export'!H:H,_xlpm.rowNum))),ISBLANK(INDEX('glossaryterms-export'!I:I,_xlpm.rowNum))),"Ready to Fix",""))</f>
        <v/>
      </c>
    </row>
    <row r="5344" spans="6:6">
      <c r="F5344" s="1" t="str" cm="1">
        <f t="array" ref="F5344">_xlfn.LET(_xlpm.rowNum,MATCH(E5344,'glossaryterms-export'!C:C,0),
IF(AND(NOT(ISBLANK(INDEX('glossaryterms-export'!H:H,_xlpm.rowNum))),ISBLANK(INDEX('glossaryterms-export'!I:I,_xlpm.rowNum))),"Ready to Fix",""))</f>
        <v/>
      </c>
    </row>
    <row r="5345" spans="6:6">
      <c r="F5345" s="1" t="str" cm="1">
        <f t="array" ref="F5345">_xlfn.LET(_xlpm.rowNum,MATCH(E5345,'glossaryterms-export'!C:C,0),
IF(AND(NOT(ISBLANK(INDEX('glossaryterms-export'!H:H,_xlpm.rowNum))),ISBLANK(INDEX('glossaryterms-export'!I:I,_xlpm.rowNum))),"Ready to Fix",""))</f>
        <v/>
      </c>
    </row>
    <row r="5346" spans="6:6">
      <c r="F5346" s="1" t="str" cm="1">
        <f t="array" ref="F5346">_xlfn.LET(_xlpm.rowNum,MATCH(E5346,'glossaryterms-export'!C:C,0),
IF(AND(NOT(ISBLANK(INDEX('glossaryterms-export'!H:H,_xlpm.rowNum))),ISBLANK(INDEX('glossaryterms-export'!I:I,_xlpm.rowNum))),"Ready to Fix",""))</f>
        <v/>
      </c>
    </row>
    <row r="5347" spans="6:6">
      <c r="F5347" s="1" t="str" cm="1">
        <f t="array" ref="F5347">_xlfn.LET(_xlpm.rowNum,MATCH(E5347,'glossaryterms-export'!C:C,0),
IF(AND(NOT(ISBLANK(INDEX('glossaryterms-export'!H:H,_xlpm.rowNum))),ISBLANK(INDEX('glossaryterms-export'!I:I,_xlpm.rowNum))),"Ready to Fix",""))</f>
        <v/>
      </c>
    </row>
    <row r="5348" spans="6:6">
      <c r="F5348" s="1" t="str" cm="1">
        <f t="array" ref="F5348">_xlfn.LET(_xlpm.rowNum,MATCH(E5348,'glossaryterms-export'!C:C,0),
IF(AND(NOT(ISBLANK(INDEX('glossaryterms-export'!H:H,_xlpm.rowNum))),ISBLANK(INDEX('glossaryterms-export'!I:I,_xlpm.rowNum))),"Ready to Fix",""))</f>
        <v/>
      </c>
    </row>
    <row r="5349" spans="6:6">
      <c r="F5349" s="1" t="str" cm="1">
        <f t="array" ref="F5349">_xlfn.LET(_xlpm.rowNum,MATCH(E5349,'glossaryterms-export'!C:C,0),
IF(AND(NOT(ISBLANK(INDEX('glossaryterms-export'!H:H,_xlpm.rowNum))),ISBLANK(INDEX('glossaryterms-export'!I:I,_xlpm.rowNum))),"Ready to Fix",""))</f>
        <v/>
      </c>
    </row>
    <row r="5350" spans="6:6">
      <c r="F5350" s="1" t="str" cm="1">
        <f t="array" ref="F5350">_xlfn.LET(_xlpm.rowNum,MATCH(E5350,'glossaryterms-export'!C:C,0),
IF(AND(NOT(ISBLANK(INDEX('glossaryterms-export'!H:H,_xlpm.rowNum))),ISBLANK(INDEX('glossaryterms-export'!I:I,_xlpm.rowNum))),"Ready to Fix",""))</f>
        <v/>
      </c>
    </row>
    <row r="5351" spans="6:6">
      <c r="F5351" s="1" t="str" cm="1">
        <f t="array" ref="F5351">_xlfn.LET(_xlpm.rowNum,MATCH(E5351,'glossaryterms-export'!C:C,0),
IF(AND(NOT(ISBLANK(INDEX('glossaryterms-export'!H:H,_xlpm.rowNum))),ISBLANK(INDEX('glossaryterms-export'!I:I,_xlpm.rowNum))),"Ready to Fix",""))</f>
        <v/>
      </c>
    </row>
    <row r="5352" spans="6:6">
      <c r="F5352" s="1" t="str" cm="1">
        <f t="array" ref="F5352">_xlfn.LET(_xlpm.rowNum,MATCH(E5352,'glossaryterms-export'!C:C,0),
IF(AND(NOT(ISBLANK(INDEX('glossaryterms-export'!H:H,_xlpm.rowNum))),ISBLANK(INDEX('glossaryterms-export'!I:I,_xlpm.rowNum))),"Ready to Fix",""))</f>
        <v/>
      </c>
    </row>
    <row r="5353" spans="6:6">
      <c r="F5353" s="1" t="str" cm="1">
        <f t="array" ref="F5353">_xlfn.LET(_xlpm.rowNum,MATCH(E5353,'glossaryterms-export'!C:C,0),
IF(AND(NOT(ISBLANK(INDEX('glossaryterms-export'!H:H,_xlpm.rowNum))),ISBLANK(INDEX('glossaryterms-export'!I:I,_xlpm.rowNum))),"Ready to Fix",""))</f>
        <v/>
      </c>
    </row>
    <row r="5354" spans="6:6">
      <c r="F5354" s="1" t="str" cm="1">
        <f t="array" ref="F5354">_xlfn.LET(_xlpm.rowNum,MATCH(E5354,'glossaryterms-export'!C:C,0),
IF(AND(NOT(ISBLANK(INDEX('glossaryterms-export'!H:H,_xlpm.rowNum))),ISBLANK(INDEX('glossaryterms-export'!I:I,_xlpm.rowNum))),"Ready to Fix",""))</f>
        <v/>
      </c>
    </row>
    <row r="5355" spans="6:6">
      <c r="F5355" s="1" t="str" cm="1">
        <f t="array" ref="F5355">_xlfn.LET(_xlpm.rowNum,MATCH(E5355,'glossaryterms-export'!C:C,0),
IF(AND(NOT(ISBLANK(INDEX('glossaryterms-export'!H:H,_xlpm.rowNum))),ISBLANK(INDEX('glossaryterms-export'!I:I,_xlpm.rowNum))),"Ready to Fix",""))</f>
        <v/>
      </c>
    </row>
    <row r="5356" spans="6:6">
      <c r="F5356" s="1" t="str" cm="1">
        <f t="array" ref="F5356">_xlfn.LET(_xlpm.rowNum,MATCH(E5356,'glossaryterms-export'!C:C,0),
IF(AND(NOT(ISBLANK(INDEX('glossaryterms-export'!H:H,_xlpm.rowNum))),ISBLANK(INDEX('glossaryterms-export'!I:I,_xlpm.rowNum))),"Ready to Fix",""))</f>
        <v/>
      </c>
    </row>
    <row r="5357" spans="6:6">
      <c r="F5357" s="1" t="str" cm="1">
        <f t="array" ref="F5357">_xlfn.LET(_xlpm.rowNum,MATCH(E5357,'glossaryterms-export'!C:C,0),
IF(AND(NOT(ISBLANK(INDEX('glossaryterms-export'!H:H,_xlpm.rowNum))),ISBLANK(INDEX('glossaryterms-export'!I:I,_xlpm.rowNum))),"Ready to Fix",""))</f>
        <v/>
      </c>
    </row>
    <row r="5358" spans="6:6">
      <c r="F5358" s="1" t="str" cm="1">
        <f t="array" ref="F5358">_xlfn.LET(_xlpm.rowNum,MATCH(E5358,'glossaryterms-export'!C:C,0),
IF(AND(NOT(ISBLANK(INDEX('glossaryterms-export'!H:H,_xlpm.rowNum))),ISBLANK(INDEX('glossaryterms-export'!I:I,_xlpm.rowNum))),"Ready to Fix",""))</f>
        <v/>
      </c>
    </row>
    <row r="5359" spans="6:6">
      <c r="F5359" s="1" t="str" cm="1">
        <f t="array" ref="F5359">_xlfn.LET(_xlpm.rowNum,MATCH(E5359,'glossaryterms-export'!C:C,0),
IF(AND(NOT(ISBLANK(INDEX('glossaryterms-export'!H:H,_xlpm.rowNum))),ISBLANK(INDEX('glossaryterms-export'!I:I,_xlpm.rowNum))),"Ready to Fix",""))</f>
        <v/>
      </c>
    </row>
    <row r="5360" spans="6:6">
      <c r="F5360" s="1" t="str" cm="1">
        <f t="array" ref="F5360">_xlfn.LET(_xlpm.rowNum,MATCH(E5360,'glossaryterms-export'!C:C,0),
IF(AND(NOT(ISBLANK(INDEX('glossaryterms-export'!H:H,_xlpm.rowNum))),ISBLANK(INDEX('glossaryterms-export'!I:I,_xlpm.rowNum))),"Ready to Fix",""))</f>
        <v/>
      </c>
    </row>
    <row r="5361" spans="6:6">
      <c r="F5361" s="1" t="str" cm="1">
        <f t="array" ref="F5361">_xlfn.LET(_xlpm.rowNum,MATCH(E5361,'glossaryterms-export'!C:C,0),
IF(AND(NOT(ISBLANK(INDEX('glossaryterms-export'!H:H,_xlpm.rowNum))),ISBLANK(INDEX('glossaryterms-export'!I:I,_xlpm.rowNum))),"Ready to Fix",""))</f>
        <v/>
      </c>
    </row>
    <row r="5362" spans="6:6">
      <c r="F5362" s="1" t="str" cm="1">
        <f t="array" ref="F5362">_xlfn.LET(_xlpm.rowNum,MATCH(E5362,'glossaryterms-export'!C:C,0),
IF(AND(NOT(ISBLANK(INDEX('glossaryterms-export'!H:H,_xlpm.rowNum))),ISBLANK(INDEX('glossaryterms-export'!I:I,_xlpm.rowNum))),"Ready to Fix",""))</f>
        <v/>
      </c>
    </row>
    <row r="5363" spans="6:6">
      <c r="F5363" s="1" t="str" cm="1">
        <f t="array" ref="F5363">_xlfn.LET(_xlpm.rowNum,MATCH(E5363,'glossaryterms-export'!C:C,0),
IF(AND(NOT(ISBLANK(INDEX('glossaryterms-export'!H:H,_xlpm.rowNum))),ISBLANK(INDEX('glossaryterms-export'!I:I,_xlpm.rowNum))),"Ready to Fix",""))</f>
        <v/>
      </c>
    </row>
    <row r="5364" spans="6:6">
      <c r="F5364" s="1" t="str" cm="1">
        <f t="array" ref="F5364">_xlfn.LET(_xlpm.rowNum,MATCH(E5364,'glossaryterms-export'!C:C,0),
IF(AND(NOT(ISBLANK(INDEX('glossaryterms-export'!H:H,_xlpm.rowNum))),ISBLANK(INDEX('glossaryterms-export'!I:I,_xlpm.rowNum))),"Ready to Fix",""))</f>
        <v/>
      </c>
    </row>
    <row r="5365" spans="6:6">
      <c r="F5365" s="1" t="str" cm="1">
        <f t="array" ref="F5365">_xlfn.LET(_xlpm.rowNum,MATCH(E5365,'glossaryterms-export'!C:C,0),
IF(AND(NOT(ISBLANK(INDEX('glossaryterms-export'!H:H,_xlpm.rowNum))),ISBLANK(INDEX('glossaryterms-export'!I:I,_xlpm.rowNum))),"Ready to Fix",""))</f>
        <v/>
      </c>
    </row>
    <row r="5366" spans="6:6">
      <c r="F5366" s="1" t="str" cm="1">
        <f t="array" ref="F5366">_xlfn.LET(_xlpm.rowNum,MATCH(E5366,'glossaryterms-export'!C:C,0),
IF(AND(NOT(ISBLANK(INDEX('glossaryterms-export'!H:H,_xlpm.rowNum))),ISBLANK(INDEX('glossaryterms-export'!I:I,_xlpm.rowNum))),"Ready to Fix",""))</f>
        <v/>
      </c>
    </row>
    <row r="5367" spans="6:6">
      <c r="F5367" s="1" t="str" cm="1">
        <f t="array" ref="F5367">_xlfn.LET(_xlpm.rowNum,MATCH(E5367,'glossaryterms-export'!C:C,0),
IF(AND(NOT(ISBLANK(INDEX('glossaryterms-export'!H:H,_xlpm.rowNum))),ISBLANK(INDEX('glossaryterms-export'!I:I,_xlpm.rowNum))),"Ready to Fix",""))</f>
        <v/>
      </c>
    </row>
    <row r="5368" spans="6:6">
      <c r="F5368" s="1" t="str" cm="1">
        <f t="array" ref="F5368">_xlfn.LET(_xlpm.rowNum,MATCH(E5368,'glossaryterms-export'!C:C,0),
IF(AND(NOT(ISBLANK(INDEX('glossaryterms-export'!H:H,_xlpm.rowNum))),ISBLANK(INDEX('glossaryterms-export'!I:I,_xlpm.rowNum))),"Ready to Fix",""))</f>
        <v/>
      </c>
    </row>
    <row r="5369" spans="6:6">
      <c r="F5369" s="1" t="str" cm="1">
        <f t="array" ref="F5369">_xlfn.LET(_xlpm.rowNum,MATCH(E5369,'glossaryterms-export'!C:C,0),
IF(AND(NOT(ISBLANK(INDEX('glossaryterms-export'!H:H,_xlpm.rowNum))),ISBLANK(INDEX('glossaryterms-export'!I:I,_xlpm.rowNum))),"Ready to Fix",""))</f>
        <v/>
      </c>
    </row>
    <row r="5370" spans="6:6">
      <c r="F5370" s="1" t="str" cm="1">
        <f t="array" ref="F5370">_xlfn.LET(_xlpm.rowNum,MATCH(E5370,'glossaryterms-export'!C:C,0),
IF(AND(NOT(ISBLANK(INDEX('glossaryterms-export'!H:H,_xlpm.rowNum))),ISBLANK(INDEX('glossaryterms-export'!I:I,_xlpm.rowNum))),"Ready to Fix",""))</f>
        <v/>
      </c>
    </row>
    <row r="5371" spans="6:6">
      <c r="F5371" s="1" t="str" cm="1">
        <f t="array" ref="F5371">_xlfn.LET(_xlpm.rowNum,MATCH(E5371,'glossaryterms-export'!C:C,0),
IF(AND(NOT(ISBLANK(INDEX('glossaryterms-export'!H:H,_xlpm.rowNum))),ISBLANK(INDEX('glossaryterms-export'!I:I,_xlpm.rowNum))),"Ready to Fix",""))</f>
        <v/>
      </c>
    </row>
    <row r="5372" spans="6:6">
      <c r="F5372" s="1" t="str" cm="1">
        <f t="array" ref="F5372">_xlfn.LET(_xlpm.rowNum,MATCH(E5372,'glossaryterms-export'!C:C,0),
IF(AND(NOT(ISBLANK(INDEX('glossaryterms-export'!H:H,_xlpm.rowNum))),ISBLANK(INDEX('glossaryterms-export'!I:I,_xlpm.rowNum))),"Ready to Fix",""))</f>
        <v/>
      </c>
    </row>
    <row r="5373" spans="6:6">
      <c r="F5373" s="1" t="str" cm="1">
        <f t="array" ref="F5373">_xlfn.LET(_xlpm.rowNum,MATCH(E5373,'glossaryterms-export'!C:C,0),
IF(AND(NOT(ISBLANK(INDEX('glossaryterms-export'!H:H,_xlpm.rowNum))),ISBLANK(INDEX('glossaryterms-export'!I:I,_xlpm.rowNum))),"Ready to Fix",""))</f>
        <v/>
      </c>
    </row>
    <row r="5374" spans="6:6">
      <c r="F5374" s="1" t="str" cm="1">
        <f t="array" ref="F5374">_xlfn.LET(_xlpm.rowNum,MATCH(E5374,'glossaryterms-export'!C:C,0),
IF(AND(NOT(ISBLANK(INDEX('glossaryterms-export'!H:H,_xlpm.rowNum))),ISBLANK(INDEX('glossaryterms-export'!I:I,_xlpm.rowNum))),"Ready to Fix",""))</f>
        <v/>
      </c>
    </row>
    <row r="5375" spans="6:6">
      <c r="F5375" s="1" t="str" cm="1">
        <f t="array" ref="F5375">_xlfn.LET(_xlpm.rowNum,MATCH(E5375,'glossaryterms-export'!C:C,0),
IF(AND(NOT(ISBLANK(INDEX('glossaryterms-export'!H:H,_xlpm.rowNum))),ISBLANK(INDEX('glossaryterms-export'!I:I,_xlpm.rowNum))),"Ready to Fix",""))</f>
        <v/>
      </c>
    </row>
    <row r="5376" spans="6:6">
      <c r="F5376" s="1" t="str" cm="1">
        <f t="array" ref="F5376">_xlfn.LET(_xlpm.rowNum,MATCH(E5376,'glossaryterms-export'!C:C,0),
IF(AND(NOT(ISBLANK(INDEX('glossaryterms-export'!H:H,_xlpm.rowNum))),ISBLANK(INDEX('glossaryterms-export'!I:I,_xlpm.rowNum))),"Ready to Fix",""))</f>
        <v/>
      </c>
    </row>
    <row r="5377" spans="6:6">
      <c r="F5377" s="1" t="str" cm="1">
        <f t="array" ref="F5377">_xlfn.LET(_xlpm.rowNum,MATCH(E5377,'glossaryterms-export'!C:C,0),
IF(AND(NOT(ISBLANK(INDEX('glossaryterms-export'!H:H,_xlpm.rowNum))),ISBLANK(INDEX('glossaryterms-export'!I:I,_xlpm.rowNum))),"Ready to Fix",""))</f>
        <v/>
      </c>
    </row>
    <row r="5378" spans="6:6">
      <c r="F5378" s="1" t="str" cm="1">
        <f t="array" ref="F5378">_xlfn.LET(_xlpm.rowNum,MATCH(E5378,'glossaryterms-export'!C:C,0),
IF(AND(NOT(ISBLANK(INDEX('glossaryterms-export'!H:H,_xlpm.rowNum))),ISBLANK(INDEX('glossaryterms-export'!I:I,_xlpm.rowNum))),"Ready to Fix",""))</f>
        <v/>
      </c>
    </row>
    <row r="5379" spans="6:6">
      <c r="F5379" s="1" t="str" cm="1">
        <f t="array" ref="F5379">_xlfn.LET(_xlpm.rowNum,MATCH(E5379,'glossaryterms-export'!C:C,0),
IF(AND(NOT(ISBLANK(INDEX('glossaryterms-export'!H:H,_xlpm.rowNum))),ISBLANK(INDEX('glossaryterms-export'!I:I,_xlpm.rowNum))),"Ready to Fix",""))</f>
        <v/>
      </c>
    </row>
    <row r="5380" spans="6:6">
      <c r="F5380" s="1" t="str" cm="1">
        <f t="array" ref="F5380">_xlfn.LET(_xlpm.rowNum,MATCH(E5380,'glossaryterms-export'!C:C,0),
IF(AND(NOT(ISBLANK(INDEX('glossaryterms-export'!H:H,_xlpm.rowNum))),ISBLANK(INDEX('glossaryterms-export'!I:I,_xlpm.rowNum))),"Ready to Fix",""))</f>
        <v/>
      </c>
    </row>
    <row r="5381" spans="6:6">
      <c r="F5381" s="1" t="str" cm="1">
        <f t="array" ref="F5381">_xlfn.LET(_xlpm.rowNum,MATCH(E5381,'glossaryterms-export'!C:C,0),
IF(AND(NOT(ISBLANK(INDEX('glossaryterms-export'!H:H,_xlpm.rowNum))),ISBLANK(INDEX('glossaryterms-export'!I:I,_xlpm.rowNum))),"Ready to Fix",""))</f>
        <v/>
      </c>
    </row>
    <row r="5382" spans="6:6">
      <c r="F5382" s="1" t="str" cm="1">
        <f t="array" ref="F5382">_xlfn.LET(_xlpm.rowNum,MATCH(E5382,'glossaryterms-export'!C:C,0),
IF(AND(NOT(ISBLANK(INDEX('glossaryterms-export'!H:H,_xlpm.rowNum))),ISBLANK(INDEX('glossaryterms-export'!I:I,_xlpm.rowNum))),"Ready to Fix",""))</f>
        <v/>
      </c>
    </row>
    <row r="5383" spans="6:6">
      <c r="F5383" s="1" t="str" cm="1">
        <f t="array" ref="F5383">_xlfn.LET(_xlpm.rowNum,MATCH(E5383,'glossaryterms-export'!C:C,0),
IF(AND(NOT(ISBLANK(INDEX('glossaryterms-export'!H:H,_xlpm.rowNum))),ISBLANK(INDEX('glossaryterms-export'!I:I,_xlpm.rowNum))),"Ready to Fix",""))</f>
        <v/>
      </c>
    </row>
    <row r="5384" spans="6:6">
      <c r="F5384" s="1" t="str" cm="1">
        <f t="array" ref="F5384">_xlfn.LET(_xlpm.rowNum,MATCH(E5384,'glossaryterms-export'!C:C,0),
IF(AND(NOT(ISBLANK(INDEX('glossaryterms-export'!H:H,_xlpm.rowNum))),ISBLANK(INDEX('glossaryterms-export'!I:I,_xlpm.rowNum))),"Ready to Fix",""))</f>
        <v/>
      </c>
    </row>
    <row r="5385" spans="6:6">
      <c r="F5385" s="1" t="str" cm="1">
        <f t="array" ref="F5385">_xlfn.LET(_xlpm.rowNum,MATCH(E5385,'glossaryterms-export'!C:C,0),
IF(AND(NOT(ISBLANK(INDEX('glossaryterms-export'!H:H,_xlpm.rowNum))),ISBLANK(INDEX('glossaryterms-export'!I:I,_xlpm.rowNum))),"Ready to Fix",""))</f>
        <v/>
      </c>
    </row>
    <row r="5386" spans="6:6">
      <c r="F5386" s="1" t="str" cm="1">
        <f t="array" ref="F5386">_xlfn.LET(_xlpm.rowNum,MATCH(E5386,'glossaryterms-export'!C:C,0),
IF(AND(NOT(ISBLANK(INDEX('glossaryterms-export'!H:H,_xlpm.rowNum))),ISBLANK(INDEX('glossaryterms-export'!I:I,_xlpm.rowNum))),"Ready to Fix",""))</f>
        <v/>
      </c>
    </row>
    <row r="5387" spans="6:6">
      <c r="F5387" s="1" t="str" cm="1">
        <f t="array" ref="F5387">_xlfn.LET(_xlpm.rowNum,MATCH(E5387,'glossaryterms-export'!C:C,0),
IF(AND(NOT(ISBLANK(INDEX('glossaryterms-export'!H:H,_xlpm.rowNum))),ISBLANK(INDEX('glossaryterms-export'!I:I,_xlpm.rowNum))),"Ready to Fix",""))</f>
        <v/>
      </c>
    </row>
    <row r="5388" spans="6:6">
      <c r="F5388" s="1" t="str" cm="1">
        <f t="array" ref="F5388">_xlfn.LET(_xlpm.rowNum,MATCH(E5388,'glossaryterms-export'!C:C,0),
IF(AND(NOT(ISBLANK(INDEX('glossaryterms-export'!H:H,_xlpm.rowNum))),ISBLANK(INDEX('glossaryterms-export'!I:I,_xlpm.rowNum))),"Ready to Fix",""))</f>
        <v/>
      </c>
    </row>
    <row r="5389" spans="6:6">
      <c r="F5389" s="1" t="str" cm="1">
        <f t="array" ref="F5389">_xlfn.LET(_xlpm.rowNum,MATCH(E5389,'glossaryterms-export'!C:C,0),
IF(AND(NOT(ISBLANK(INDEX('glossaryterms-export'!H:H,_xlpm.rowNum))),ISBLANK(INDEX('glossaryterms-export'!I:I,_xlpm.rowNum))),"Ready to Fix",""))</f>
        <v/>
      </c>
    </row>
    <row r="5390" spans="6:6">
      <c r="F5390" s="1" t="str" cm="1">
        <f t="array" ref="F5390">_xlfn.LET(_xlpm.rowNum,MATCH(E5390,'glossaryterms-export'!C:C,0),
IF(AND(NOT(ISBLANK(INDEX('glossaryterms-export'!H:H,_xlpm.rowNum))),ISBLANK(INDEX('glossaryterms-export'!I:I,_xlpm.rowNum))),"Ready to Fix",""))</f>
        <v/>
      </c>
    </row>
    <row r="5391" spans="6:6">
      <c r="F5391" s="1" t="str" cm="1">
        <f t="array" ref="F5391">_xlfn.LET(_xlpm.rowNum,MATCH(E5391,'glossaryterms-export'!C:C,0),
IF(AND(NOT(ISBLANK(INDEX('glossaryterms-export'!H:H,_xlpm.rowNum))),ISBLANK(INDEX('glossaryterms-export'!I:I,_xlpm.rowNum))),"Ready to Fix",""))</f>
        <v/>
      </c>
    </row>
    <row r="5392" spans="6:6">
      <c r="F5392" s="1" t="str" cm="1">
        <f t="array" ref="F5392">_xlfn.LET(_xlpm.rowNum,MATCH(E5392,'glossaryterms-export'!C:C,0),
IF(AND(NOT(ISBLANK(INDEX('glossaryterms-export'!H:H,_xlpm.rowNum))),ISBLANK(INDEX('glossaryterms-export'!I:I,_xlpm.rowNum))),"Ready to Fix",""))</f>
        <v/>
      </c>
    </row>
    <row r="5393" spans="6:6">
      <c r="F5393" s="1" t="str" cm="1">
        <f t="array" ref="F5393">_xlfn.LET(_xlpm.rowNum,MATCH(E5393,'glossaryterms-export'!C:C,0),
IF(AND(NOT(ISBLANK(INDEX('glossaryterms-export'!H:H,_xlpm.rowNum))),ISBLANK(INDEX('glossaryterms-export'!I:I,_xlpm.rowNum))),"Ready to Fix",""))</f>
        <v/>
      </c>
    </row>
    <row r="5394" spans="6:6">
      <c r="F5394" s="1" t="str" cm="1">
        <f t="array" ref="F5394">_xlfn.LET(_xlpm.rowNum,MATCH(E5394,'glossaryterms-export'!C:C,0),
IF(AND(NOT(ISBLANK(INDEX('glossaryterms-export'!H:H,_xlpm.rowNum))),ISBLANK(INDEX('glossaryterms-export'!I:I,_xlpm.rowNum))),"Ready to Fix",""))</f>
        <v/>
      </c>
    </row>
    <row r="5395" spans="6:6">
      <c r="F5395" s="1" t="str" cm="1">
        <f t="array" ref="F5395">_xlfn.LET(_xlpm.rowNum,MATCH(E5395,'glossaryterms-export'!C:C,0),
IF(AND(NOT(ISBLANK(INDEX('glossaryterms-export'!H:H,_xlpm.rowNum))),ISBLANK(INDEX('glossaryterms-export'!I:I,_xlpm.rowNum))),"Ready to Fix",""))</f>
        <v/>
      </c>
    </row>
    <row r="5396" spans="6:6">
      <c r="F5396" s="1" t="str" cm="1">
        <f t="array" ref="F5396">_xlfn.LET(_xlpm.rowNum,MATCH(E5396,'glossaryterms-export'!C:C,0),
IF(AND(NOT(ISBLANK(INDEX('glossaryterms-export'!H:H,_xlpm.rowNum))),ISBLANK(INDEX('glossaryterms-export'!I:I,_xlpm.rowNum))),"Ready to Fix",""))</f>
        <v/>
      </c>
    </row>
    <row r="5397" spans="6:6">
      <c r="F5397" s="1" t="str" cm="1">
        <f t="array" ref="F5397">_xlfn.LET(_xlpm.rowNum,MATCH(E5397,'glossaryterms-export'!C:C,0),
IF(AND(NOT(ISBLANK(INDEX('glossaryterms-export'!H:H,_xlpm.rowNum))),ISBLANK(INDEX('glossaryterms-export'!I:I,_xlpm.rowNum))),"Ready to Fix",""))</f>
        <v/>
      </c>
    </row>
    <row r="5398" spans="6:6">
      <c r="F5398" s="1" t="str" cm="1">
        <f t="array" ref="F5398">_xlfn.LET(_xlpm.rowNum,MATCH(E5398,'glossaryterms-export'!C:C,0),
IF(AND(NOT(ISBLANK(INDEX('glossaryterms-export'!H:H,_xlpm.rowNum))),ISBLANK(INDEX('glossaryterms-export'!I:I,_xlpm.rowNum))),"Ready to Fix",""))</f>
        <v/>
      </c>
    </row>
    <row r="5399" spans="6:6">
      <c r="F5399" s="1" t="str" cm="1">
        <f t="array" ref="F5399">_xlfn.LET(_xlpm.rowNum,MATCH(E5399,'glossaryterms-export'!C:C,0),
IF(AND(NOT(ISBLANK(INDEX('glossaryterms-export'!H:H,_xlpm.rowNum))),ISBLANK(INDEX('glossaryterms-export'!I:I,_xlpm.rowNum))),"Ready to Fix",""))</f>
        <v/>
      </c>
    </row>
    <row r="5400" spans="6:6">
      <c r="F5400" s="1" t="str" cm="1">
        <f t="array" ref="F5400">_xlfn.LET(_xlpm.rowNum,MATCH(E5400,'glossaryterms-export'!C:C,0),
IF(AND(NOT(ISBLANK(INDEX('glossaryterms-export'!H:H,_xlpm.rowNum))),ISBLANK(INDEX('glossaryterms-export'!I:I,_xlpm.rowNum))),"Ready to Fix",""))</f>
        <v/>
      </c>
    </row>
    <row r="5401" spans="6:6">
      <c r="F5401" s="1" t="str" cm="1">
        <f t="array" ref="F5401">_xlfn.LET(_xlpm.rowNum,MATCH(E5401,'glossaryterms-export'!C:C,0),
IF(AND(NOT(ISBLANK(INDEX('glossaryterms-export'!H:H,_xlpm.rowNum))),ISBLANK(INDEX('glossaryterms-export'!I:I,_xlpm.rowNum))),"Ready to Fix",""))</f>
        <v/>
      </c>
    </row>
    <row r="5402" spans="6:6">
      <c r="F5402" s="1" t="str" cm="1">
        <f t="array" ref="F5402">_xlfn.LET(_xlpm.rowNum,MATCH(E5402,'glossaryterms-export'!C:C,0),
IF(AND(NOT(ISBLANK(INDEX('glossaryterms-export'!H:H,_xlpm.rowNum))),ISBLANK(INDEX('glossaryterms-export'!I:I,_xlpm.rowNum))),"Ready to Fix",""))</f>
        <v/>
      </c>
    </row>
    <row r="5403" spans="6:6">
      <c r="F5403" s="1" t="str" cm="1">
        <f t="array" ref="F5403">_xlfn.LET(_xlpm.rowNum,MATCH(E5403,'glossaryterms-export'!C:C,0),
IF(AND(NOT(ISBLANK(INDEX('glossaryterms-export'!H:H,_xlpm.rowNum))),ISBLANK(INDEX('glossaryterms-export'!I:I,_xlpm.rowNum))),"Ready to Fix",""))</f>
        <v/>
      </c>
    </row>
    <row r="5404" spans="6:6">
      <c r="F5404" s="1" t="str" cm="1">
        <f t="array" ref="F5404">_xlfn.LET(_xlpm.rowNum,MATCH(E5404,'glossaryterms-export'!C:C,0),
IF(AND(NOT(ISBLANK(INDEX('glossaryterms-export'!H:H,_xlpm.rowNum))),ISBLANK(INDEX('glossaryterms-export'!I:I,_xlpm.rowNum))),"Ready to Fix",""))</f>
        <v/>
      </c>
    </row>
    <row r="5405" spans="6:6">
      <c r="F5405" s="1" t="str" cm="1">
        <f t="array" ref="F5405">_xlfn.LET(_xlpm.rowNum,MATCH(E5405,'glossaryterms-export'!C:C,0),
IF(AND(NOT(ISBLANK(INDEX('glossaryterms-export'!H:H,_xlpm.rowNum))),ISBLANK(INDEX('glossaryterms-export'!I:I,_xlpm.rowNum))),"Ready to Fix",""))</f>
        <v/>
      </c>
    </row>
    <row r="5406" spans="6:6">
      <c r="F5406" s="1" t="str" cm="1">
        <f t="array" ref="F5406">_xlfn.LET(_xlpm.rowNum,MATCH(E5406,'glossaryterms-export'!C:C,0),
IF(AND(NOT(ISBLANK(INDEX('glossaryterms-export'!H:H,_xlpm.rowNum))),ISBLANK(INDEX('glossaryterms-export'!I:I,_xlpm.rowNum))),"Ready to Fix",""))</f>
        <v/>
      </c>
    </row>
    <row r="5407" spans="6:6">
      <c r="F5407" s="1" t="str" cm="1">
        <f t="array" ref="F5407">_xlfn.LET(_xlpm.rowNum,MATCH(E5407,'glossaryterms-export'!C:C,0),
IF(AND(NOT(ISBLANK(INDEX('glossaryterms-export'!H:H,_xlpm.rowNum))),ISBLANK(INDEX('glossaryterms-export'!I:I,_xlpm.rowNum))),"Ready to Fix",""))</f>
        <v/>
      </c>
    </row>
    <row r="5408" spans="6:6">
      <c r="F5408" s="1" t="str" cm="1">
        <f t="array" ref="F5408">_xlfn.LET(_xlpm.rowNum,MATCH(E5408,'glossaryterms-export'!C:C,0),
IF(AND(NOT(ISBLANK(INDEX('glossaryterms-export'!H:H,_xlpm.rowNum))),ISBLANK(INDEX('glossaryterms-export'!I:I,_xlpm.rowNum))),"Ready to Fix",""))</f>
        <v/>
      </c>
    </row>
    <row r="5409" spans="6:6">
      <c r="F5409" s="1" t="str" cm="1">
        <f t="array" ref="F5409">_xlfn.LET(_xlpm.rowNum,MATCH(E5409,'glossaryterms-export'!C:C,0),
IF(AND(NOT(ISBLANK(INDEX('glossaryterms-export'!H:H,_xlpm.rowNum))),ISBLANK(INDEX('glossaryterms-export'!I:I,_xlpm.rowNum))),"Ready to Fix",""))</f>
        <v/>
      </c>
    </row>
    <row r="5410" spans="6:6">
      <c r="F5410" s="1" t="str" cm="1">
        <f t="array" ref="F5410">_xlfn.LET(_xlpm.rowNum,MATCH(E5410,'glossaryterms-export'!C:C,0),
IF(AND(NOT(ISBLANK(INDEX('glossaryterms-export'!H:H,_xlpm.rowNum))),ISBLANK(INDEX('glossaryterms-export'!I:I,_xlpm.rowNum))),"Ready to Fix",""))</f>
        <v/>
      </c>
    </row>
    <row r="5411" spans="6:6">
      <c r="F5411" s="1" t="str" cm="1">
        <f t="array" ref="F5411">_xlfn.LET(_xlpm.rowNum,MATCH(E5411,'glossaryterms-export'!C:C,0),
IF(AND(NOT(ISBLANK(INDEX('glossaryterms-export'!H:H,_xlpm.rowNum))),ISBLANK(INDEX('glossaryterms-export'!I:I,_xlpm.rowNum))),"Ready to Fix",""))</f>
        <v/>
      </c>
    </row>
    <row r="5412" spans="6:6">
      <c r="F5412" s="1" t="str" cm="1">
        <f t="array" ref="F5412">_xlfn.LET(_xlpm.rowNum,MATCH(E5412,'glossaryterms-export'!C:C,0),
IF(AND(NOT(ISBLANK(INDEX('glossaryterms-export'!H:H,_xlpm.rowNum))),ISBLANK(INDEX('glossaryterms-export'!I:I,_xlpm.rowNum))),"Ready to Fix",""))</f>
        <v/>
      </c>
    </row>
    <row r="5413" spans="6:6">
      <c r="F5413" s="1" t="str" cm="1">
        <f t="array" ref="F5413">_xlfn.LET(_xlpm.rowNum,MATCH(E5413,'glossaryterms-export'!C:C,0),
IF(AND(NOT(ISBLANK(INDEX('glossaryterms-export'!H:H,_xlpm.rowNum))),ISBLANK(INDEX('glossaryterms-export'!I:I,_xlpm.rowNum))),"Ready to Fix",""))</f>
        <v/>
      </c>
    </row>
    <row r="5414" spans="6:6">
      <c r="F5414" s="1" t="str" cm="1">
        <f t="array" ref="F5414">_xlfn.LET(_xlpm.rowNum,MATCH(E5414,'glossaryterms-export'!C:C,0),
IF(AND(NOT(ISBLANK(INDEX('glossaryterms-export'!H:H,_xlpm.rowNum))),ISBLANK(INDEX('glossaryterms-export'!I:I,_xlpm.rowNum))),"Ready to Fix",""))</f>
        <v/>
      </c>
    </row>
    <row r="5415" spans="6:6">
      <c r="F5415" s="1" t="str" cm="1">
        <f t="array" ref="F5415">_xlfn.LET(_xlpm.rowNum,MATCH(E5415,'glossaryterms-export'!C:C,0),
IF(AND(NOT(ISBLANK(INDEX('glossaryterms-export'!H:H,_xlpm.rowNum))),ISBLANK(INDEX('glossaryterms-export'!I:I,_xlpm.rowNum))),"Ready to Fix",""))</f>
        <v/>
      </c>
    </row>
    <row r="5416" spans="6:6">
      <c r="F5416" s="1" t="str" cm="1">
        <f t="array" ref="F5416">_xlfn.LET(_xlpm.rowNum,MATCH(E5416,'glossaryterms-export'!C:C,0),
IF(AND(NOT(ISBLANK(INDEX('glossaryterms-export'!H:H,_xlpm.rowNum))),ISBLANK(INDEX('glossaryterms-export'!I:I,_xlpm.rowNum))),"Ready to Fix",""))</f>
        <v/>
      </c>
    </row>
    <row r="5417" spans="6:6">
      <c r="F5417" s="1" t="str" cm="1">
        <f t="array" ref="F5417">_xlfn.LET(_xlpm.rowNum,MATCH(E5417,'glossaryterms-export'!C:C,0),
IF(AND(NOT(ISBLANK(INDEX('glossaryterms-export'!H:H,_xlpm.rowNum))),ISBLANK(INDEX('glossaryterms-export'!I:I,_xlpm.rowNum))),"Ready to Fix",""))</f>
        <v/>
      </c>
    </row>
    <row r="5418" spans="6:6">
      <c r="F5418" s="1" t="str" cm="1">
        <f t="array" ref="F5418">_xlfn.LET(_xlpm.rowNum,MATCH(E5418,'glossaryterms-export'!C:C,0),
IF(AND(NOT(ISBLANK(INDEX('glossaryterms-export'!H:H,_xlpm.rowNum))),ISBLANK(INDEX('glossaryterms-export'!I:I,_xlpm.rowNum))),"Ready to Fix",""))</f>
        <v/>
      </c>
    </row>
    <row r="5419" spans="6:6">
      <c r="F5419" s="1" t="str" cm="1">
        <f t="array" ref="F5419">_xlfn.LET(_xlpm.rowNum,MATCH(E5419,'glossaryterms-export'!C:C,0),
IF(AND(NOT(ISBLANK(INDEX('glossaryterms-export'!H:H,_xlpm.rowNum))),ISBLANK(INDEX('glossaryterms-export'!I:I,_xlpm.rowNum))),"Ready to Fix",""))</f>
        <v/>
      </c>
    </row>
    <row r="5420" spans="6:6">
      <c r="F5420" s="1" t="str" cm="1">
        <f t="array" ref="F5420">_xlfn.LET(_xlpm.rowNum,MATCH(E5420,'glossaryterms-export'!C:C,0),
IF(AND(NOT(ISBLANK(INDEX('glossaryterms-export'!H:H,_xlpm.rowNum))),ISBLANK(INDEX('glossaryterms-export'!I:I,_xlpm.rowNum))),"Ready to Fix",""))</f>
        <v/>
      </c>
    </row>
    <row r="5421" spans="6:6">
      <c r="F5421" s="1" t="str" cm="1">
        <f t="array" ref="F5421">_xlfn.LET(_xlpm.rowNum,MATCH(E5421,'glossaryterms-export'!C:C,0),
IF(AND(NOT(ISBLANK(INDEX('glossaryterms-export'!H:H,_xlpm.rowNum))),ISBLANK(INDEX('glossaryterms-export'!I:I,_xlpm.rowNum))),"Ready to Fix",""))</f>
        <v/>
      </c>
    </row>
    <row r="5422" spans="6:6">
      <c r="F5422" s="1" t="str" cm="1">
        <f t="array" ref="F5422">_xlfn.LET(_xlpm.rowNum,MATCH(E5422,'glossaryterms-export'!C:C,0),
IF(AND(NOT(ISBLANK(INDEX('glossaryterms-export'!H:H,_xlpm.rowNum))),ISBLANK(INDEX('glossaryterms-export'!I:I,_xlpm.rowNum))),"Ready to Fix",""))</f>
        <v/>
      </c>
    </row>
    <row r="5423" spans="6:6">
      <c r="F5423" s="1" t="str" cm="1">
        <f t="array" ref="F5423">_xlfn.LET(_xlpm.rowNum,MATCH(E5423,'glossaryterms-export'!C:C,0),
IF(AND(NOT(ISBLANK(INDEX('glossaryterms-export'!H:H,_xlpm.rowNum))),ISBLANK(INDEX('glossaryterms-export'!I:I,_xlpm.rowNum))),"Ready to Fix",""))</f>
        <v/>
      </c>
    </row>
    <row r="5424" spans="6:6">
      <c r="F5424" s="1" t="str" cm="1">
        <f t="array" ref="F5424">_xlfn.LET(_xlpm.rowNum,MATCH(E5424,'glossaryterms-export'!C:C,0),
IF(AND(NOT(ISBLANK(INDEX('glossaryterms-export'!H:H,_xlpm.rowNum))),ISBLANK(INDEX('glossaryterms-export'!I:I,_xlpm.rowNum))),"Ready to Fix",""))</f>
        <v/>
      </c>
    </row>
    <row r="5425" spans="6:6">
      <c r="F5425" s="1" t="str" cm="1">
        <f t="array" ref="F5425">_xlfn.LET(_xlpm.rowNum,MATCH(E5425,'glossaryterms-export'!C:C,0),
IF(AND(NOT(ISBLANK(INDEX('glossaryterms-export'!H:H,_xlpm.rowNum))),ISBLANK(INDEX('glossaryterms-export'!I:I,_xlpm.rowNum))),"Ready to Fix",""))</f>
        <v/>
      </c>
    </row>
    <row r="5426" spans="6:6">
      <c r="F5426" s="1" t="str" cm="1">
        <f t="array" ref="F5426">_xlfn.LET(_xlpm.rowNum,MATCH(E5426,'glossaryterms-export'!C:C,0),
IF(AND(NOT(ISBLANK(INDEX('glossaryterms-export'!H:H,_xlpm.rowNum))),ISBLANK(INDEX('glossaryterms-export'!I:I,_xlpm.rowNum))),"Ready to Fix",""))</f>
        <v/>
      </c>
    </row>
    <row r="5427" spans="6:6">
      <c r="F5427" s="1" t="str" cm="1">
        <f t="array" ref="F5427">_xlfn.LET(_xlpm.rowNum,MATCH(E5427,'glossaryterms-export'!C:C,0),
IF(AND(NOT(ISBLANK(INDEX('glossaryterms-export'!H:H,_xlpm.rowNum))),ISBLANK(INDEX('glossaryterms-export'!I:I,_xlpm.rowNum))),"Ready to Fix",""))</f>
        <v/>
      </c>
    </row>
    <row r="5428" spans="6:6">
      <c r="F5428" s="1" t="str" cm="1">
        <f t="array" ref="F5428">_xlfn.LET(_xlpm.rowNum,MATCH(E5428,'glossaryterms-export'!C:C,0),
IF(AND(NOT(ISBLANK(INDEX('glossaryterms-export'!H:H,_xlpm.rowNum))),ISBLANK(INDEX('glossaryterms-export'!I:I,_xlpm.rowNum))),"Ready to Fix",""))</f>
        <v/>
      </c>
    </row>
    <row r="5429" spans="6:6">
      <c r="F5429" s="1" t="str" cm="1">
        <f t="array" ref="F5429">_xlfn.LET(_xlpm.rowNum,MATCH(E5429,'glossaryterms-export'!C:C,0),
IF(AND(NOT(ISBLANK(INDEX('glossaryterms-export'!H:H,_xlpm.rowNum))),ISBLANK(INDEX('glossaryterms-export'!I:I,_xlpm.rowNum))),"Ready to Fix",""))</f>
        <v/>
      </c>
    </row>
    <row r="5430" spans="6:6">
      <c r="F5430" s="1" t="str" cm="1">
        <f t="array" ref="F5430">_xlfn.LET(_xlpm.rowNum,MATCH(E5430,'glossaryterms-export'!C:C,0),
IF(AND(NOT(ISBLANK(INDEX('glossaryterms-export'!H:H,_xlpm.rowNum))),ISBLANK(INDEX('glossaryterms-export'!I:I,_xlpm.rowNum))),"Ready to Fix",""))</f>
        <v/>
      </c>
    </row>
    <row r="5431" spans="6:6">
      <c r="F5431" s="1" t="str" cm="1">
        <f t="array" ref="F5431">_xlfn.LET(_xlpm.rowNum,MATCH(E5431,'glossaryterms-export'!C:C,0),
IF(AND(NOT(ISBLANK(INDEX('glossaryterms-export'!H:H,_xlpm.rowNum))),ISBLANK(INDEX('glossaryterms-export'!I:I,_xlpm.rowNum))),"Ready to Fix",""))</f>
        <v/>
      </c>
    </row>
    <row r="5432" spans="6:6">
      <c r="F5432" s="1" t="str" cm="1">
        <f t="array" ref="F5432">_xlfn.LET(_xlpm.rowNum,MATCH(E5432,'glossaryterms-export'!C:C,0),
IF(AND(NOT(ISBLANK(INDEX('glossaryterms-export'!H:H,_xlpm.rowNum))),ISBLANK(INDEX('glossaryterms-export'!I:I,_xlpm.rowNum))),"Ready to Fix",""))</f>
        <v/>
      </c>
    </row>
    <row r="5433" spans="6:6">
      <c r="F5433" s="1" t="str" cm="1">
        <f t="array" ref="F5433">_xlfn.LET(_xlpm.rowNum,MATCH(E5433,'glossaryterms-export'!C:C,0),
IF(AND(NOT(ISBLANK(INDEX('glossaryterms-export'!H:H,_xlpm.rowNum))),ISBLANK(INDEX('glossaryterms-export'!I:I,_xlpm.rowNum))),"Ready to Fix",""))</f>
        <v/>
      </c>
    </row>
    <row r="5434" spans="6:6">
      <c r="F5434" s="1" t="str" cm="1">
        <f t="array" ref="F5434">_xlfn.LET(_xlpm.rowNum,MATCH(E5434,'glossaryterms-export'!C:C,0),
IF(AND(NOT(ISBLANK(INDEX('glossaryterms-export'!H:H,_xlpm.rowNum))),ISBLANK(INDEX('glossaryterms-export'!I:I,_xlpm.rowNum))),"Ready to Fix",""))</f>
        <v/>
      </c>
    </row>
    <row r="5435" spans="6:6">
      <c r="F5435" s="1" t="str" cm="1">
        <f t="array" ref="F5435">_xlfn.LET(_xlpm.rowNum,MATCH(E5435,'glossaryterms-export'!C:C,0),
IF(AND(NOT(ISBLANK(INDEX('glossaryterms-export'!H:H,_xlpm.rowNum))),ISBLANK(INDEX('glossaryterms-export'!I:I,_xlpm.rowNum))),"Ready to Fix",""))</f>
        <v/>
      </c>
    </row>
    <row r="5436" spans="6:6">
      <c r="F5436" s="1" t="str" cm="1">
        <f t="array" ref="F5436">_xlfn.LET(_xlpm.rowNum,MATCH(E5436,'glossaryterms-export'!C:C,0),
IF(AND(NOT(ISBLANK(INDEX('glossaryterms-export'!H:H,_xlpm.rowNum))),ISBLANK(INDEX('glossaryterms-export'!I:I,_xlpm.rowNum))),"Ready to Fix",""))</f>
        <v/>
      </c>
    </row>
    <row r="5437" spans="6:6">
      <c r="F5437" s="1" t="str" cm="1">
        <f t="array" ref="F5437">_xlfn.LET(_xlpm.rowNum,MATCH(E5437,'glossaryterms-export'!C:C,0),
IF(AND(NOT(ISBLANK(INDEX('glossaryterms-export'!H:H,_xlpm.rowNum))),ISBLANK(INDEX('glossaryterms-export'!I:I,_xlpm.rowNum))),"Ready to Fix",""))</f>
        <v/>
      </c>
    </row>
    <row r="5438" spans="6:6">
      <c r="F5438" s="1" t="str" cm="1">
        <f t="array" ref="F5438">_xlfn.LET(_xlpm.rowNum,MATCH(E5438,'glossaryterms-export'!C:C,0),
IF(AND(NOT(ISBLANK(INDEX('glossaryterms-export'!H:H,_xlpm.rowNum))),ISBLANK(INDEX('glossaryterms-export'!I:I,_xlpm.rowNum))),"Ready to Fix",""))</f>
        <v/>
      </c>
    </row>
    <row r="5439" spans="6:6">
      <c r="F5439" s="1" t="str" cm="1">
        <f t="array" ref="F5439">_xlfn.LET(_xlpm.rowNum,MATCH(E5439,'glossaryterms-export'!C:C,0),
IF(AND(NOT(ISBLANK(INDEX('glossaryterms-export'!H:H,_xlpm.rowNum))),ISBLANK(INDEX('glossaryterms-export'!I:I,_xlpm.rowNum))),"Ready to Fix",""))</f>
        <v/>
      </c>
    </row>
    <row r="5440" spans="6:6">
      <c r="F5440" s="1" t="str" cm="1">
        <f t="array" ref="F5440">_xlfn.LET(_xlpm.rowNum,MATCH(E5440,'glossaryterms-export'!C:C,0),
IF(AND(NOT(ISBLANK(INDEX('glossaryterms-export'!H:H,_xlpm.rowNum))),ISBLANK(INDEX('glossaryterms-export'!I:I,_xlpm.rowNum))),"Ready to Fix",""))</f>
        <v/>
      </c>
    </row>
    <row r="5441" spans="6:6">
      <c r="F5441" s="1" t="str" cm="1">
        <f t="array" ref="F5441">_xlfn.LET(_xlpm.rowNum,MATCH(E5441,'glossaryterms-export'!C:C,0),
IF(AND(NOT(ISBLANK(INDEX('glossaryterms-export'!H:H,_xlpm.rowNum))),ISBLANK(INDEX('glossaryterms-export'!I:I,_xlpm.rowNum))),"Ready to Fix",""))</f>
        <v/>
      </c>
    </row>
    <row r="5442" spans="6:6">
      <c r="F5442" s="1" t="str" cm="1">
        <f t="array" ref="F5442">_xlfn.LET(_xlpm.rowNum,MATCH(E5442,'glossaryterms-export'!C:C,0),
IF(AND(NOT(ISBLANK(INDEX('glossaryterms-export'!H:H,_xlpm.rowNum))),ISBLANK(INDEX('glossaryterms-export'!I:I,_xlpm.rowNum))),"Ready to Fix",""))</f>
        <v/>
      </c>
    </row>
    <row r="5443" spans="6:6">
      <c r="F5443" s="1" t="str" cm="1">
        <f t="array" ref="F5443">_xlfn.LET(_xlpm.rowNum,MATCH(E5443,'glossaryterms-export'!C:C,0),
IF(AND(NOT(ISBLANK(INDEX('glossaryterms-export'!H:H,_xlpm.rowNum))),ISBLANK(INDEX('glossaryterms-export'!I:I,_xlpm.rowNum))),"Ready to Fix",""))</f>
        <v/>
      </c>
    </row>
    <row r="5444" spans="6:6">
      <c r="F5444" s="1" t="str" cm="1">
        <f t="array" ref="F5444">_xlfn.LET(_xlpm.rowNum,MATCH(E5444,'glossaryterms-export'!C:C,0),
IF(AND(NOT(ISBLANK(INDEX('glossaryterms-export'!H:H,_xlpm.rowNum))),ISBLANK(INDEX('glossaryterms-export'!I:I,_xlpm.rowNum))),"Ready to Fix",""))</f>
        <v/>
      </c>
    </row>
    <row r="5445" spans="6:6">
      <c r="F5445" s="1" t="str" cm="1">
        <f t="array" ref="F5445">_xlfn.LET(_xlpm.rowNum,MATCH(E5445,'glossaryterms-export'!C:C,0),
IF(AND(NOT(ISBLANK(INDEX('glossaryterms-export'!H:H,_xlpm.rowNum))),ISBLANK(INDEX('glossaryterms-export'!I:I,_xlpm.rowNum))),"Ready to Fix",""))</f>
        <v/>
      </c>
    </row>
    <row r="5446" spans="6:6">
      <c r="F5446" s="1" t="str" cm="1">
        <f t="array" ref="F5446">_xlfn.LET(_xlpm.rowNum,MATCH(E5446,'glossaryterms-export'!C:C,0),
IF(AND(NOT(ISBLANK(INDEX('glossaryterms-export'!H:H,_xlpm.rowNum))),ISBLANK(INDEX('glossaryterms-export'!I:I,_xlpm.rowNum))),"Ready to Fix",""))</f>
        <v/>
      </c>
    </row>
    <row r="5447" spans="6:6">
      <c r="F5447" s="1" t="str" cm="1">
        <f t="array" ref="F5447">_xlfn.LET(_xlpm.rowNum,MATCH(E5447,'glossaryterms-export'!C:C,0),
IF(AND(NOT(ISBLANK(INDEX('glossaryterms-export'!H:H,_xlpm.rowNum))),ISBLANK(INDEX('glossaryterms-export'!I:I,_xlpm.rowNum))),"Ready to Fix",""))</f>
        <v/>
      </c>
    </row>
    <row r="5448" spans="6:6">
      <c r="F5448" s="1" t="str" cm="1">
        <f t="array" ref="F5448">_xlfn.LET(_xlpm.rowNum,MATCH(E5448,'glossaryterms-export'!C:C,0),
IF(AND(NOT(ISBLANK(INDEX('glossaryterms-export'!H:H,_xlpm.rowNum))),ISBLANK(INDEX('glossaryterms-export'!I:I,_xlpm.rowNum))),"Ready to Fix",""))</f>
        <v/>
      </c>
    </row>
    <row r="5449" spans="6:6">
      <c r="F5449" s="1" t="str" cm="1">
        <f t="array" ref="F5449">_xlfn.LET(_xlpm.rowNum,MATCH(E5449,'glossaryterms-export'!C:C,0),
IF(AND(NOT(ISBLANK(INDEX('glossaryterms-export'!H:H,_xlpm.rowNum))),ISBLANK(INDEX('glossaryterms-export'!I:I,_xlpm.rowNum))),"Ready to Fix",""))</f>
        <v/>
      </c>
    </row>
    <row r="5450" spans="6:6">
      <c r="F5450" s="1" t="str" cm="1">
        <f t="array" ref="F5450">_xlfn.LET(_xlpm.rowNum,MATCH(E5450,'glossaryterms-export'!C:C,0),
IF(AND(NOT(ISBLANK(INDEX('glossaryterms-export'!H:H,_xlpm.rowNum))),ISBLANK(INDEX('glossaryterms-export'!I:I,_xlpm.rowNum))),"Ready to Fix",""))</f>
        <v/>
      </c>
    </row>
    <row r="5451" spans="6:6">
      <c r="F5451" s="1" t="str" cm="1">
        <f t="array" ref="F5451">_xlfn.LET(_xlpm.rowNum,MATCH(E5451,'glossaryterms-export'!C:C,0),
IF(AND(NOT(ISBLANK(INDEX('glossaryterms-export'!H:H,_xlpm.rowNum))),ISBLANK(INDEX('glossaryterms-export'!I:I,_xlpm.rowNum))),"Ready to Fix",""))</f>
        <v/>
      </c>
    </row>
    <row r="5452" spans="6:6">
      <c r="F5452" s="1" t="str" cm="1">
        <f t="array" ref="F5452">_xlfn.LET(_xlpm.rowNum,MATCH(E5452,'glossaryterms-export'!C:C,0),
IF(AND(NOT(ISBLANK(INDEX('glossaryterms-export'!H:H,_xlpm.rowNum))),ISBLANK(INDEX('glossaryterms-export'!I:I,_xlpm.rowNum))),"Ready to Fix",""))</f>
        <v/>
      </c>
    </row>
    <row r="5453" spans="6:6">
      <c r="F5453" s="1" t="str" cm="1">
        <f t="array" ref="F5453">_xlfn.LET(_xlpm.rowNum,MATCH(E5453,'glossaryterms-export'!C:C,0),
IF(AND(NOT(ISBLANK(INDEX('glossaryterms-export'!H:H,_xlpm.rowNum))),ISBLANK(INDEX('glossaryterms-export'!I:I,_xlpm.rowNum))),"Ready to Fix",""))</f>
        <v/>
      </c>
    </row>
    <row r="5454" spans="6:6">
      <c r="F5454" s="1" t="str" cm="1">
        <f t="array" ref="F5454">_xlfn.LET(_xlpm.rowNum,MATCH(E5454,'glossaryterms-export'!C:C,0),
IF(AND(NOT(ISBLANK(INDEX('glossaryterms-export'!H:H,_xlpm.rowNum))),ISBLANK(INDEX('glossaryterms-export'!I:I,_xlpm.rowNum))),"Ready to Fix",""))</f>
        <v/>
      </c>
    </row>
    <row r="5455" spans="6:6">
      <c r="F5455" s="1" t="str" cm="1">
        <f t="array" ref="F5455">_xlfn.LET(_xlpm.rowNum,MATCH(E5455,'glossaryterms-export'!C:C,0),
IF(AND(NOT(ISBLANK(INDEX('glossaryterms-export'!H:H,_xlpm.rowNum))),ISBLANK(INDEX('glossaryterms-export'!I:I,_xlpm.rowNum))),"Ready to Fix",""))</f>
        <v/>
      </c>
    </row>
    <row r="5456" spans="6:6">
      <c r="F5456" s="1" t="str" cm="1">
        <f t="array" ref="F5456">_xlfn.LET(_xlpm.rowNum,MATCH(E5456,'glossaryterms-export'!C:C,0),
IF(AND(NOT(ISBLANK(INDEX('glossaryterms-export'!H:H,_xlpm.rowNum))),ISBLANK(INDEX('glossaryterms-export'!I:I,_xlpm.rowNum))),"Ready to Fix",""))</f>
        <v/>
      </c>
    </row>
    <row r="5457" spans="6:6">
      <c r="F5457" s="1" t="str" cm="1">
        <f t="array" ref="F5457">_xlfn.LET(_xlpm.rowNum,MATCH(E5457,'glossaryterms-export'!C:C,0),
IF(AND(NOT(ISBLANK(INDEX('glossaryterms-export'!H:H,_xlpm.rowNum))),ISBLANK(INDEX('glossaryterms-export'!I:I,_xlpm.rowNum))),"Ready to Fix",""))</f>
        <v/>
      </c>
    </row>
    <row r="5458" spans="6:6">
      <c r="F5458" s="1" t="str" cm="1">
        <f t="array" ref="F5458">_xlfn.LET(_xlpm.rowNum,MATCH(E5458,'glossaryterms-export'!C:C,0),
IF(AND(NOT(ISBLANK(INDEX('glossaryterms-export'!H:H,_xlpm.rowNum))),ISBLANK(INDEX('glossaryterms-export'!I:I,_xlpm.rowNum))),"Ready to Fix",""))</f>
        <v/>
      </c>
    </row>
    <row r="5459" spans="6:6">
      <c r="F5459" s="1" t="str" cm="1">
        <f t="array" ref="F5459">_xlfn.LET(_xlpm.rowNum,MATCH(E5459,'glossaryterms-export'!C:C,0),
IF(AND(NOT(ISBLANK(INDEX('glossaryterms-export'!H:H,_xlpm.rowNum))),ISBLANK(INDEX('glossaryterms-export'!I:I,_xlpm.rowNum))),"Ready to Fix",""))</f>
        <v/>
      </c>
    </row>
    <row r="5460" spans="6:6">
      <c r="F5460" s="1" t="str" cm="1">
        <f t="array" ref="F5460">_xlfn.LET(_xlpm.rowNum,MATCH(E5460,'glossaryterms-export'!C:C,0),
IF(AND(NOT(ISBLANK(INDEX('glossaryterms-export'!H:H,_xlpm.rowNum))),ISBLANK(INDEX('glossaryterms-export'!I:I,_xlpm.rowNum))),"Ready to Fix",""))</f>
        <v/>
      </c>
    </row>
    <row r="5461" spans="6:6">
      <c r="F5461" s="1" t="str" cm="1">
        <f t="array" ref="F5461">_xlfn.LET(_xlpm.rowNum,MATCH(E5461,'glossaryterms-export'!C:C,0),
IF(AND(NOT(ISBLANK(INDEX('glossaryterms-export'!H:H,_xlpm.rowNum))),ISBLANK(INDEX('glossaryterms-export'!I:I,_xlpm.rowNum))),"Ready to Fix",""))</f>
        <v/>
      </c>
    </row>
    <row r="5462" spans="6:6">
      <c r="F5462" s="1" t="str" cm="1">
        <f t="array" ref="F5462">_xlfn.LET(_xlpm.rowNum,MATCH(E5462,'glossaryterms-export'!C:C,0),
IF(AND(NOT(ISBLANK(INDEX('glossaryterms-export'!H:H,_xlpm.rowNum))),ISBLANK(INDEX('glossaryterms-export'!I:I,_xlpm.rowNum))),"Ready to Fix",""))</f>
        <v/>
      </c>
    </row>
    <row r="5463" spans="6:6">
      <c r="F5463" s="1" t="str" cm="1">
        <f t="array" ref="F5463">_xlfn.LET(_xlpm.rowNum,MATCH(E5463,'glossaryterms-export'!C:C,0),
IF(AND(NOT(ISBLANK(INDEX('glossaryterms-export'!H:H,_xlpm.rowNum))),ISBLANK(INDEX('glossaryterms-export'!I:I,_xlpm.rowNum))),"Ready to Fix",""))</f>
        <v/>
      </c>
    </row>
    <row r="5464" spans="6:6">
      <c r="F5464" s="1" t="str" cm="1">
        <f t="array" ref="F5464">_xlfn.LET(_xlpm.rowNum,MATCH(E5464,'glossaryterms-export'!C:C,0),
IF(AND(NOT(ISBLANK(INDEX('glossaryterms-export'!H:H,_xlpm.rowNum))),ISBLANK(INDEX('glossaryterms-export'!I:I,_xlpm.rowNum))),"Ready to Fix",""))</f>
        <v/>
      </c>
    </row>
    <row r="5465" spans="6:6">
      <c r="F5465" s="1" t="str" cm="1">
        <f t="array" ref="F5465">_xlfn.LET(_xlpm.rowNum,MATCH(E5465,'glossaryterms-export'!C:C,0),
IF(AND(NOT(ISBLANK(INDEX('glossaryterms-export'!H:H,_xlpm.rowNum))),ISBLANK(INDEX('glossaryterms-export'!I:I,_xlpm.rowNum))),"Ready to Fix",""))</f>
        <v/>
      </c>
    </row>
    <row r="5466" spans="6:6">
      <c r="F5466" s="1" t="str" cm="1">
        <f t="array" ref="F5466">_xlfn.LET(_xlpm.rowNum,MATCH(E5466,'glossaryterms-export'!C:C,0),
IF(AND(NOT(ISBLANK(INDEX('glossaryterms-export'!H:H,_xlpm.rowNum))),ISBLANK(INDEX('glossaryterms-export'!I:I,_xlpm.rowNum))),"Ready to Fix",""))</f>
        <v/>
      </c>
    </row>
    <row r="5467" spans="6:6">
      <c r="F5467" s="1" t="str" cm="1">
        <f t="array" ref="F5467">_xlfn.LET(_xlpm.rowNum,MATCH(E5467,'glossaryterms-export'!C:C,0),
IF(AND(NOT(ISBLANK(INDEX('glossaryterms-export'!H:H,_xlpm.rowNum))),ISBLANK(INDEX('glossaryterms-export'!I:I,_xlpm.rowNum))),"Ready to Fix",""))</f>
        <v/>
      </c>
    </row>
    <row r="5468" spans="6:6">
      <c r="F5468" s="1" t="str" cm="1">
        <f t="array" ref="F5468">_xlfn.LET(_xlpm.rowNum,MATCH(E5468,'glossaryterms-export'!C:C,0),
IF(AND(NOT(ISBLANK(INDEX('glossaryterms-export'!H:H,_xlpm.rowNum))),ISBLANK(INDEX('glossaryterms-export'!I:I,_xlpm.rowNum))),"Ready to Fix",""))</f>
        <v/>
      </c>
    </row>
    <row r="5469" spans="6:6">
      <c r="F5469" s="1" t="str" cm="1">
        <f t="array" ref="F5469">_xlfn.LET(_xlpm.rowNum,MATCH(E5469,'glossaryterms-export'!C:C,0),
IF(AND(NOT(ISBLANK(INDEX('glossaryterms-export'!H:H,_xlpm.rowNum))),ISBLANK(INDEX('glossaryterms-export'!I:I,_xlpm.rowNum))),"Ready to Fix",""))</f>
        <v/>
      </c>
    </row>
    <row r="5470" spans="6:6">
      <c r="F5470" s="1" t="str" cm="1">
        <f t="array" ref="F5470">_xlfn.LET(_xlpm.rowNum,MATCH(E5470,'glossaryterms-export'!C:C,0),
IF(AND(NOT(ISBLANK(INDEX('glossaryterms-export'!H:H,_xlpm.rowNum))),ISBLANK(INDEX('glossaryterms-export'!I:I,_xlpm.rowNum))),"Ready to Fix",""))</f>
        <v/>
      </c>
    </row>
    <row r="5471" spans="6:6">
      <c r="F5471" s="1" t="str" cm="1">
        <f t="array" ref="F5471">_xlfn.LET(_xlpm.rowNum,MATCH(E5471,'glossaryterms-export'!C:C,0),
IF(AND(NOT(ISBLANK(INDEX('glossaryterms-export'!H:H,_xlpm.rowNum))),ISBLANK(INDEX('glossaryterms-export'!I:I,_xlpm.rowNum))),"Ready to Fix",""))</f>
        <v/>
      </c>
    </row>
    <row r="5472" spans="6:6">
      <c r="F5472" s="1" t="str" cm="1">
        <f t="array" ref="F5472">_xlfn.LET(_xlpm.rowNum,MATCH(E5472,'glossaryterms-export'!C:C,0),
IF(AND(NOT(ISBLANK(INDEX('glossaryterms-export'!H:H,_xlpm.rowNum))),ISBLANK(INDEX('glossaryterms-export'!I:I,_xlpm.rowNum))),"Ready to Fix",""))</f>
        <v/>
      </c>
    </row>
    <row r="5473" spans="6:6">
      <c r="F5473" s="1" t="str" cm="1">
        <f t="array" ref="F5473">_xlfn.LET(_xlpm.rowNum,MATCH(E5473,'glossaryterms-export'!C:C,0),
IF(AND(NOT(ISBLANK(INDEX('glossaryterms-export'!H:H,_xlpm.rowNum))),ISBLANK(INDEX('glossaryterms-export'!I:I,_xlpm.rowNum))),"Ready to Fix",""))</f>
        <v/>
      </c>
    </row>
    <row r="5474" spans="6:6">
      <c r="F5474" s="1" t="str" cm="1">
        <f t="array" ref="F5474">_xlfn.LET(_xlpm.rowNum,MATCH(E5474,'glossaryterms-export'!C:C,0),
IF(AND(NOT(ISBLANK(INDEX('glossaryterms-export'!H:H,_xlpm.rowNum))),ISBLANK(INDEX('glossaryterms-export'!I:I,_xlpm.rowNum))),"Ready to Fix",""))</f>
        <v/>
      </c>
    </row>
    <row r="5475" spans="6:6">
      <c r="F5475" s="1" t="str" cm="1">
        <f t="array" ref="F5475">_xlfn.LET(_xlpm.rowNum,MATCH(E5475,'glossaryterms-export'!C:C,0),
IF(AND(NOT(ISBLANK(INDEX('glossaryterms-export'!H:H,_xlpm.rowNum))),ISBLANK(INDEX('glossaryterms-export'!I:I,_xlpm.rowNum))),"Ready to Fix",""))</f>
        <v/>
      </c>
    </row>
    <row r="5476" spans="6:6">
      <c r="F5476" s="1" t="str" cm="1">
        <f t="array" ref="F5476">_xlfn.LET(_xlpm.rowNum,MATCH(E5476,'glossaryterms-export'!C:C,0),
IF(AND(NOT(ISBLANK(INDEX('glossaryterms-export'!H:H,_xlpm.rowNum))),ISBLANK(INDEX('glossaryterms-export'!I:I,_xlpm.rowNum))),"Ready to Fix",""))</f>
        <v/>
      </c>
    </row>
    <row r="5477" spans="6:6">
      <c r="F5477" s="1" t="str" cm="1">
        <f t="array" ref="F5477">_xlfn.LET(_xlpm.rowNum,MATCH(E5477,'glossaryterms-export'!C:C,0),
IF(AND(NOT(ISBLANK(INDEX('glossaryterms-export'!H:H,_xlpm.rowNum))),ISBLANK(INDEX('glossaryterms-export'!I:I,_xlpm.rowNum))),"Ready to Fix",""))</f>
        <v/>
      </c>
    </row>
    <row r="5478" spans="6:6">
      <c r="F5478" s="1" t="str" cm="1">
        <f t="array" ref="F5478">_xlfn.LET(_xlpm.rowNum,MATCH(E5478,'glossaryterms-export'!C:C,0),
IF(AND(NOT(ISBLANK(INDEX('glossaryterms-export'!H:H,_xlpm.rowNum))),ISBLANK(INDEX('glossaryterms-export'!I:I,_xlpm.rowNum))),"Ready to Fix",""))</f>
        <v/>
      </c>
    </row>
    <row r="5479" spans="6:6">
      <c r="F5479" s="1" t="str" cm="1">
        <f t="array" ref="F5479">_xlfn.LET(_xlpm.rowNum,MATCH(E5479,'glossaryterms-export'!C:C,0),
IF(AND(NOT(ISBLANK(INDEX('glossaryterms-export'!H:H,_xlpm.rowNum))),ISBLANK(INDEX('glossaryterms-export'!I:I,_xlpm.rowNum))),"Ready to Fix",""))</f>
        <v/>
      </c>
    </row>
    <row r="5480" spans="6:6">
      <c r="F5480" s="1" t="str" cm="1">
        <f t="array" ref="F5480">_xlfn.LET(_xlpm.rowNum,MATCH(E5480,'glossaryterms-export'!C:C,0),
IF(AND(NOT(ISBLANK(INDEX('glossaryterms-export'!H:H,_xlpm.rowNum))),ISBLANK(INDEX('glossaryterms-export'!I:I,_xlpm.rowNum))),"Ready to Fix",""))</f>
        <v/>
      </c>
    </row>
    <row r="5481" spans="6:6">
      <c r="F5481" s="1" t="str" cm="1">
        <f t="array" ref="F5481">_xlfn.LET(_xlpm.rowNum,MATCH(E5481,'glossaryterms-export'!C:C,0),
IF(AND(NOT(ISBLANK(INDEX('glossaryterms-export'!H:H,_xlpm.rowNum))),ISBLANK(INDEX('glossaryterms-export'!I:I,_xlpm.rowNum))),"Ready to Fix",""))</f>
        <v/>
      </c>
    </row>
    <row r="5482" spans="6:6">
      <c r="F5482" s="1" t="str" cm="1">
        <f t="array" ref="F5482">_xlfn.LET(_xlpm.rowNum,MATCH(E5482,'glossaryterms-export'!C:C,0),
IF(AND(NOT(ISBLANK(INDEX('glossaryterms-export'!H:H,_xlpm.rowNum))),ISBLANK(INDEX('glossaryterms-export'!I:I,_xlpm.rowNum))),"Ready to Fix",""))</f>
        <v/>
      </c>
    </row>
    <row r="5483" spans="6:6">
      <c r="F5483" s="1" t="str" cm="1">
        <f t="array" ref="F5483">_xlfn.LET(_xlpm.rowNum,MATCH(E5483,'glossaryterms-export'!C:C,0),
IF(AND(NOT(ISBLANK(INDEX('glossaryterms-export'!H:H,_xlpm.rowNum))),ISBLANK(INDEX('glossaryterms-export'!I:I,_xlpm.rowNum))),"Ready to Fix",""))</f>
        <v/>
      </c>
    </row>
    <row r="5484" spans="6:6">
      <c r="F5484" s="1" t="str" cm="1">
        <f t="array" ref="F5484">_xlfn.LET(_xlpm.rowNum,MATCH(E5484,'glossaryterms-export'!C:C,0),
IF(AND(NOT(ISBLANK(INDEX('glossaryterms-export'!H:H,_xlpm.rowNum))),ISBLANK(INDEX('glossaryterms-export'!I:I,_xlpm.rowNum))),"Ready to Fix",""))</f>
        <v/>
      </c>
    </row>
    <row r="5485" spans="6:6">
      <c r="F5485" s="1" t="str" cm="1">
        <f t="array" ref="F5485">_xlfn.LET(_xlpm.rowNum,MATCH(E5485,'glossaryterms-export'!C:C,0),
IF(AND(NOT(ISBLANK(INDEX('glossaryterms-export'!H:H,_xlpm.rowNum))),ISBLANK(INDEX('glossaryterms-export'!I:I,_xlpm.rowNum))),"Ready to Fix",""))</f>
        <v/>
      </c>
    </row>
    <row r="5486" spans="6:6">
      <c r="F5486" s="1" t="str" cm="1">
        <f t="array" ref="F5486">_xlfn.LET(_xlpm.rowNum,MATCH(E5486,'glossaryterms-export'!C:C,0),
IF(AND(NOT(ISBLANK(INDEX('glossaryterms-export'!H:H,_xlpm.rowNum))),ISBLANK(INDEX('glossaryterms-export'!I:I,_xlpm.rowNum))),"Ready to Fix",""))</f>
        <v/>
      </c>
    </row>
    <row r="5487" spans="6:6">
      <c r="F5487" s="1" t="str" cm="1">
        <f t="array" ref="F5487">_xlfn.LET(_xlpm.rowNum,MATCH(E5487,'glossaryterms-export'!C:C,0),
IF(AND(NOT(ISBLANK(INDEX('glossaryterms-export'!H:H,_xlpm.rowNum))),ISBLANK(INDEX('glossaryterms-export'!I:I,_xlpm.rowNum))),"Ready to Fix",""))</f>
        <v/>
      </c>
    </row>
    <row r="5488" spans="6:6">
      <c r="F5488" s="1" t="str" cm="1">
        <f t="array" ref="F5488">_xlfn.LET(_xlpm.rowNum,MATCH(E5488,'glossaryterms-export'!C:C,0),
IF(AND(NOT(ISBLANK(INDEX('glossaryterms-export'!H:H,_xlpm.rowNum))),ISBLANK(INDEX('glossaryterms-export'!I:I,_xlpm.rowNum))),"Ready to Fix",""))</f>
        <v/>
      </c>
    </row>
    <row r="5489" spans="6:6">
      <c r="F5489" s="1" t="str" cm="1">
        <f t="array" ref="F5489">_xlfn.LET(_xlpm.rowNum,MATCH(E5489,'glossaryterms-export'!C:C,0),
IF(AND(NOT(ISBLANK(INDEX('glossaryterms-export'!H:H,_xlpm.rowNum))),ISBLANK(INDEX('glossaryterms-export'!I:I,_xlpm.rowNum))),"Ready to Fix",""))</f>
        <v/>
      </c>
    </row>
    <row r="5490" spans="6:6">
      <c r="F5490" s="1" t="str" cm="1">
        <f t="array" ref="F5490">_xlfn.LET(_xlpm.rowNum,MATCH(E5490,'glossaryterms-export'!C:C,0),
IF(AND(NOT(ISBLANK(INDEX('glossaryterms-export'!H:H,_xlpm.rowNum))),ISBLANK(INDEX('glossaryterms-export'!I:I,_xlpm.rowNum))),"Ready to Fix",""))</f>
        <v/>
      </c>
    </row>
    <row r="5491" spans="6:6">
      <c r="F5491" s="1" t="str" cm="1">
        <f t="array" ref="F5491">_xlfn.LET(_xlpm.rowNum,MATCH(E5491,'glossaryterms-export'!C:C,0),
IF(AND(NOT(ISBLANK(INDEX('glossaryterms-export'!H:H,_xlpm.rowNum))),ISBLANK(INDEX('glossaryterms-export'!I:I,_xlpm.rowNum))),"Ready to Fix",""))</f>
        <v/>
      </c>
    </row>
    <row r="5492" spans="6:6">
      <c r="F5492" s="1" t="str" cm="1">
        <f t="array" ref="F5492">_xlfn.LET(_xlpm.rowNum,MATCH(E5492,'glossaryterms-export'!C:C,0),
IF(AND(NOT(ISBLANK(INDEX('glossaryterms-export'!H:H,_xlpm.rowNum))),ISBLANK(INDEX('glossaryterms-export'!I:I,_xlpm.rowNum))),"Ready to Fix",""))</f>
        <v/>
      </c>
    </row>
    <row r="5493" spans="6:6">
      <c r="F5493" s="1" t="str" cm="1">
        <f t="array" ref="F5493">_xlfn.LET(_xlpm.rowNum,MATCH(E5493,'glossaryterms-export'!C:C,0),
IF(AND(NOT(ISBLANK(INDEX('glossaryterms-export'!H:H,_xlpm.rowNum))),ISBLANK(INDEX('glossaryterms-export'!I:I,_xlpm.rowNum))),"Ready to Fix",""))</f>
        <v/>
      </c>
    </row>
    <row r="5494" spans="6:6">
      <c r="F5494" s="1" t="str" cm="1">
        <f t="array" ref="F5494">_xlfn.LET(_xlpm.rowNum,MATCH(E5494,'glossaryterms-export'!C:C,0),
IF(AND(NOT(ISBLANK(INDEX('glossaryterms-export'!H:H,_xlpm.rowNum))),ISBLANK(INDEX('glossaryterms-export'!I:I,_xlpm.rowNum))),"Ready to Fix",""))</f>
        <v/>
      </c>
    </row>
    <row r="5495" spans="6:6">
      <c r="F5495" s="1" t="str" cm="1">
        <f t="array" ref="F5495">_xlfn.LET(_xlpm.rowNum,MATCH(E5495,'glossaryterms-export'!C:C,0),
IF(AND(NOT(ISBLANK(INDEX('glossaryterms-export'!H:H,_xlpm.rowNum))),ISBLANK(INDEX('glossaryterms-export'!I:I,_xlpm.rowNum))),"Ready to Fix",""))</f>
        <v/>
      </c>
    </row>
    <row r="5496" spans="6:6">
      <c r="F5496" s="1" t="str" cm="1">
        <f t="array" ref="F5496">_xlfn.LET(_xlpm.rowNum,MATCH(E5496,'glossaryterms-export'!C:C,0),
IF(AND(NOT(ISBLANK(INDEX('glossaryterms-export'!H:H,_xlpm.rowNum))),ISBLANK(INDEX('glossaryterms-export'!I:I,_xlpm.rowNum))),"Ready to Fix",""))</f>
        <v/>
      </c>
    </row>
    <row r="5497" spans="6:6">
      <c r="F5497" s="1" t="str" cm="1">
        <f t="array" ref="F5497">_xlfn.LET(_xlpm.rowNum,MATCH(E5497,'glossaryterms-export'!C:C,0),
IF(AND(NOT(ISBLANK(INDEX('glossaryterms-export'!H:H,_xlpm.rowNum))),ISBLANK(INDEX('glossaryterms-export'!I:I,_xlpm.rowNum))),"Ready to Fix",""))</f>
        <v/>
      </c>
    </row>
    <row r="5498" spans="6:6">
      <c r="F5498" s="1" t="str" cm="1">
        <f t="array" ref="F5498">_xlfn.LET(_xlpm.rowNum,MATCH(E5498,'glossaryterms-export'!C:C,0),
IF(AND(NOT(ISBLANK(INDEX('glossaryterms-export'!H:H,_xlpm.rowNum))),ISBLANK(INDEX('glossaryterms-export'!I:I,_xlpm.rowNum))),"Ready to Fix",""))</f>
        <v/>
      </c>
    </row>
    <row r="5499" spans="6:6">
      <c r="F5499" s="1" t="str" cm="1">
        <f t="array" ref="F5499">_xlfn.LET(_xlpm.rowNum,MATCH(E5499,'glossaryterms-export'!C:C,0),
IF(AND(NOT(ISBLANK(INDEX('glossaryterms-export'!H:H,_xlpm.rowNum))),ISBLANK(INDEX('glossaryterms-export'!I:I,_xlpm.rowNum))),"Ready to Fix",""))</f>
        <v/>
      </c>
    </row>
    <row r="5500" spans="6:6">
      <c r="F5500" s="1" t="str" cm="1">
        <f t="array" ref="F5500">_xlfn.LET(_xlpm.rowNum,MATCH(E5500,'glossaryterms-export'!C:C,0),
IF(AND(NOT(ISBLANK(INDEX('glossaryterms-export'!H:H,_xlpm.rowNum))),ISBLANK(INDEX('glossaryterms-export'!I:I,_xlpm.rowNum))),"Ready to Fix",""))</f>
        <v/>
      </c>
    </row>
    <row r="5501" spans="6:6">
      <c r="F5501" s="1" t="str" cm="1">
        <f t="array" ref="F5501">_xlfn.LET(_xlpm.rowNum,MATCH(E5501,'glossaryterms-export'!C:C,0),
IF(AND(NOT(ISBLANK(INDEX('glossaryterms-export'!H:H,_xlpm.rowNum))),ISBLANK(INDEX('glossaryterms-export'!I:I,_xlpm.rowNum))),"Ready to Fix",""))</f>
        <v/>
      </c>
    </row>
    <row r="5502" spans="6:6">
      <c r="F5502" s="1" t="str" cm="1">
        <f t="array" ref="F5502">_xlfn.LET(_xlpm.rowNum,MATCH(E5502,'glossaryterms-export'!C:C,0),
IF(AND(NOT(ISBLANK(INDEX('glossaryterms-export'!H:H,_xlpm.rowNum))),ISBLANK(INDEX('glossaryterms-export'!I:I,_xlpm.rowNum))),"Ready to Fix",""))</f>
        <v/>
      </c>
    </row>
    <row r="5503" spans="6:6">
      <c r="F5503" s="1" t="str" cm="1">
        <f t="array" ref="F5503">_xlfn.LET(_xlpm.rowNum,MATCH(E5503,'glossaryterms-export'!C:C,0),
IF(AND(NOT(ISBLANK(INDEX('glossaryterms-export'!H:H,_xlpm.rowNum))),ISBLANK(INDEX('glossaryterms-export'!I:I,_xlpm.rowNum))),"Ready to Fix",""))</f>
        <v/>
      </c>
    </row>
    <row r="5504" spans="6:6">
      <c r="F5504" s="1" t="str" cm="1">
        <f t="array" ref="F5504">_xlfn.LET(_xlpm.rowNum,MATCH(E5504,'glossaryterms-export'!C:C,0),
IF(AND(NOT(ISBLANK(INDEX('glossaryterms-export'!H:H,_xlpm.rowNum))),ISBLANK(INDEX('glossaryterms-export'!I:I,_xlpm.rowNum))),"Ready to Fix",""))</f>
        <v/>
      </c>
    </row>
    <row r="5505" spans="6:6">
      <c r="F5505" s="1" t="str" cm="1">
        <f t="array" ref="F5505">_xlfn.LET(_xlpm.rowNum,MATCH(E5505,'glossaryterms-export'!C:C,0),
IF(AND(NOT(ISBLANK(INDEX('glossaryterms-export'!H:H,_xlpm.rowNum))),ISBLANK(INDEX('glossaryterms-export'!I:I,_xlpm.rowNum))),"Ready to Fix",""))</f>
        <v/>
      </c>
    </row>
    <row r="5506" spans="6:6">
      <c r="F5506" s="1" t="str" cm="1">
        <f t="array" ref="F5506">_xlfn.LET(_xlpm.rowNum,MATCH(E5506,'glossaryterms-export'!C:C,0),
IF(AND(NOT(ISBLANK(INDEX('glossaryterms-export'!H:H,_xlpm.rowNum))),ISBLANK(INDEX('glossaryterms-export'!I:I,_xlpm.rowNum))),"Ready to Fix",""))</f>
        <v/>
      </c>
    </row>
    <row r="5507" spans="6:6">
      <c r="F5507" s="1" t="str" cm="1">
        <f t="array" ref="F5507">_xlfn.LET(_xlpm.rowNum,MATCH(E5507,'glossaryterms-export'!C:C,0),
IF(AND(NOT(ISBLANK(INDEX('glossaryterms-export'!H:H,_xlpm.rowNum))),ISBLANK(INDEX('glossaryterms-export'!I:I,_xlpm.rowNum))),"Ready to Fix",""))</f>
        <v/>
      </c>
    </row>
    <row r="5508" spans="6:6">
      <c r="F5508" s="1" t="str" cm="1">
        <f t="array" ref="F5508">_xlfn.LET(_xlpm.rowNum,MATCH(E5508,'glossaryterms-export'!C:C,0),
IF(AND(NOT(ISBLANK(INDEX('glossaryterms-export'!H:H,_xlpm.rowNum))),ISBLANK(INDEX('glossaryterms-export'!I:I,_xlpm.rowNum))),"Ready to Fix",""))</f>
        <v/>
      </c>
    </row>
    <row r="5509" spans="6:6">
      <c r="F5509" s="1" t="str" cm="1">
        <f t="array" ref="F5509">_xlfn.LET(_xlpm.rowNum,MATCH(E5509,'glossaryterms-export'!C:C,0),
IF(AND(NOT(ISBLANK(INDEX('glossaryterms-export'!H:H,_xlpm.rowNum))),ISBLANK(INDEX('glossaryterms-export'!I:I,_xlpm.rowNum))),"Ready to Fix",""))</f>
        <v/>
      </c>
    </row>
    <row r="5510" spans="6:6">
      <c r="F5510" s="1" t="str" cm="1">
        <f t="array" ref="F5510">_xlfn.LET(_xlpm.rowNum,MATCH(E5510,'glossaryterms-export'!C:C,0),
IF(AND(NOT(ISBLANK(INDEX('glossaryterms-export'!H:H,_xlpm.rowNum))),ISBLANK(INDEX('glossaryterms-export'!I:I,_xlpm.rowNum))),"Ready to Fix",""))</f>
        <v/>
      </c>
    </row>
    <row r="5511" spans="6:6">
      <c r="F5511" s="1" t="str" cm="1">
        <f t="array" ref="F5511">_xlfn.LET(_xlpm.rowNum,MATCH(E5511,'glossaryterms-export'!C:C,0),
IF(AND(NOT(ISBLANK(INDEX('glossaryterms-export'!H:H,_xlpm.rowNum))),ISBLANK(INDEX('glossaryterms-export'!I:I,_xlpm.rowNum))),"Ready to Fix",""))</f>
        <v/>
      </c>
    </row>
    <row r="5512" spans="6:6">
      <c r="F5512" s="1" t="str" cm="1">
        <f t="array" ref="F5512">_xlfn.LET(_xlpm.rowNum,MATCH(E5512,'glossaryterms-export'!C:C,0),
IF(AND(NOT(ISBLANK(INDEX('glossaryterms-export'!H:H,_xlpm.rowNum))),ISBLANK(INDEX('glossaryterms-export'!I:I,_xlpm.rowNum))),"Ready to Fix",""))</f>
        <v/>
      </c>
    </row>
    <row r="5513" spans="6:6">
      <c r="F5513" s="1" t="str" cm="1">
        <f t="array" ref="F5513">_xlfn.LET(_xlpm.rowNum,MATCH(E5513,'glossaryterms-export'!C:C,0),
IF(AND(NOT(ISBLANK(INDEX('glossaryterms-export'!H:H,_xlpm.rowNum))),ISBLANK(INDEX('glossaryterms-export'!I:I,_xlpm.rowNum))),"Ready to Fix",""))</f>
        <v/>
      </c>
    </row>
    <row r="5514" spans="6:6">
      <c r="F5514" s="1" t="str" cm="1">
        <f t="array" ref="F5514">_xlfn.LET(_xlpm.rowNum,MATCH(E5514,'glossaryterms-export'!C:C,0),
IF(AND(NOT(ISBLANK(INDEX('glossaryterms-export'!H:H,_xlpm.rowNum))),ISBLANK(INDEX('glossaryterms-export'!I:I,_xlpm.rowNum))),"Ready to Fix",""))</f>
        <v/>
      </c>
    </row>
    <row r="5515" spans="6:6">
      <c r="F5515" s="1" t="str" cm="1">
        <f t="array" ref="F5515">_xlfn.LET(_xlpm.rowNum,MATCH(E5515,'glossaryterms-export'!C:C,0),
IF(AND(NOT(ISBLANK(INDEX('glossaryterms-export'!H:H,_xlpm.rowNum))),ISBLANK(INDEX('glossaryterms-export'!I:I,_xlpm.rowNum))),"Ready to Fix",""))</f>
        <v/>
      </c>
    </row>
    <row r="5516" spans="6:6">
      <c r="F5516" s="1" t="str" cm="1">
        <f t="array" ref="F5516">_xlfn.LET(_xlpm.rowNum,MATCH(E5516,'glossaryterms-export'!C:C,0),
IF(AND(NOT(ISBLANK(INDEX('glossaryterms-export'!H:H,_xlpm.rowNum))),ISBLANK(INDEX('glossaryterms-export'!I:I,_xlpm.rowNum))),"Ready to Fix",""))</f>
        <v/>
      </c>
    </row>
    <row r="5517" spans="6:6">
      <c r="F5517" s="1" t="str" cm="1">
        <f t="array" ref="F5517">_xlfn.LET(_xlpm.rowNum,MATCH(E5517,'glossaryterms-export'!C:C,0),
IF(AND(NOT(ISBLANK(INDEX('glossaryterms-export'!H:H,_xlpm.rowNum))),ISBLANK(INDEX('glossaryterms-export'!I:I,_xlpm.rowNum))),"Ready to Fix",""))</f>
        <v/>
      </c>
    </row>
    <row r="5518" spans="6:6">
      <c r="F5518" s="1" t="str" cm="1">
        <f t="array" ref="F5518">_xlfn.LET(_xlpm.rowNum,MATCH(E5518,'glossaryterms-export'!C:C,0),
IF(AND(NOT(ISBLANK(INDEX('glossaryterms-export'!H:H,_xlpm.rowNum))),ISBLANK(INDEX('glossaryterms-export'!I:I,_xlpm.rowNum))),"Ready to Fix",""))</f>
        <v/>
      </c>
    </row>
    <row r="5519" spans="6:6">
      <c r="F5519" s="1" t="str" cm="1">
        <f t="array" ref="F5519">_xlfn.LET(_xlpm.rowNum,MATCH(E5519,'glossaryterms-export'!C:C,0),
IF(AND(NOT(ISBLANK(INDEX('glossaryterms-export'!H:H,_xlpm.rowNum))),ISBLANK(INDEX('glossaryterms-export'!I:I,_xlpm.rowNum))),"Ready to Fix",""))</f>
        <v/>
      </c>
    </row>
    <row r="5520" spans="6:6">
      <c r="F5520" s="1" t="str" cm="1">
        <f t="array" ref="F5520">_xlfn.LET(_xlpm.rowNum,MATCH(E5520,'glossaryterms-export'!C:C,0),
IF(AND(NOT(ISBLANK(INDEX('glossaryterms-export'!H:H,_xlpm.rowNum))),ISBLANK(INDEX('glossaryterms-export'!I:I,_xlpm.rowNum))),"Ready to Fix",""))</f>
        <v/>
      </c>
    </row>
    <row r="5521" spans="6:6">
      <c r="F5521" s="1" t="str" cm="1">
        <f t="array" ref="F5521">_xlfn.LET(_xlpm.rowNum,MATCH(E5521,'glossaryterms-export'!C:C,0),
IF(AND(NOT(ISBLANK(INDEX('glossaryterms-export'!H:H,_xlpm.rowNum))),ISBLANK(INDEX('glossaryterms-export'!I:I,_xlpm.rowNum))),"Ready to Fix",""))</f>
        <v/>
      </c>
    </row>
    <row r="5522" spans="6:6">
      <c r="F5522" s="1" t="str" cm="1">
        <f t="array" ref="F5522">_xlfn.LET(_xlpm.rowNum,MATCH(E5522,'glossaryterms-export'!C:C,0),
IF(AND(NOT(ISBLANK(INDEX('glossaryterms-export'!H:H,_xlpm.rowNum))),ISBLANK(INDEX('glossaryterms-export'!I:I,_xlpm.rowNum))),"Ready to Fix",""))</f>
        <v/>
      </c>
    </row>
    <row r="5523" spans="6:6">
      <c r="F5523" s="1" t="str" cm="1">
        <f t="array" ref="F5523">_xlfn.LET(_xlpm.rowNum,MATCH(E5523,'glossaryterms-export'!C:C,0),
IF(AND(NOT(ISBLANK(INDEX('glossaryterms-export'!H:H,_xlpm.rowNum))),ISBLANK(INDEX('glossaryterms-export'!I:I,_xlpm.rowNum))),"Ready to Fix",""))</f>
        <v/>
      </c>
    </row>
    <row r="5524" spans="6:6">
      <c r="F5524" s="1" t="str" cm="1">
        <f t="array" ref="F5524">_xlfn.LET(_xlpm.rowNum,MATCH(E5524,'glossaryterms-export'!C:C,0),
IF(AND(NOT(ISBLANK(INDEX('glossaryterms-export'!H:H,_xlpm.rowNum))),ISBLANK(INDEX('glossaryterms-export'!I:I,_xlpm.rowNum))),"Ready to Fix",""))</f>
        <v/>
      </c>
    </row>
    <row r="5525" spans="6:6">
      <c r="F5525" s="1" t="str" cm="1">
        <f t="array" ref="F5525">_xlfn.LET(_xlpm.rowNum,MATCH(E5525,'glossaryterms-export'!C:C,0),
IF(AND(NOT(ISBLANK(INDEX('glossaryterms-export'!H:H,_xlpm.rowNum))),ISBLANK(INDEX('glossaryterms-export'!I:I,_xlpm.rowNum))),"Ready to Fix",""))</f>
        <v/>
      </c>
    </row>
    <row r="5526" spans="6:6">
      <c r="F5526" s="1" t="str" cm="1">
        <f t="array" ref="F5526">_xlfn.LET(_xlpm.rowNum,MATCH(E5526,'glossaryterms-export'!C:C,0),
IF(AND(NOT(ISBLANK(INDEX('glossaryterms-export'!H:H,_xlpm.rowNum))),ISBLANK(INDEX('glossaryterms-export'!I:I,_xlpm.rowNum))),"Ready to Fix",""))</f>
        <v/>
      </c>
    </row>
    <row r="5527" spans="6:6">
      <c r="F5527" s="1" t="str" cm="1">
        <f t="array" ref="F5527">_xlfn.LET(_xlpm.rowNum,MATCH(E5527,'glossaryterms-export'!C:C,0),
IF(AND(NOT(ISBLANK(INDEX('glossaryterms-export'!H:H,_xlpm.rowNum))),ISBLANK(INDEX('glossaryterms-export'!I:I,_xlpm.rowNum))),"Ready to Fix",""))</f>
        <v/>
      </c>
    </row>
    <row r="5528" spans="6:6">
      <c r="F5528" s="1" t="str" cm="1">
        <f t="array" ref="F5528">_xlfn.LET(_xlpm.rowNum,MATCH(E5528,'glossaryterms-export'!C:C,0),
IF(AND(NOT(ISBLANK(INDEX('glossaryterms-export'!H:H,_xlpm.rowNum))),ISBLANK(INDEX('glossaryterms-export'!I:I,_xlpm.rowNum))),"Ready to Fix",""))</f>
        <v/>
      </c>
    </row>
    <row r="5529" spans="6:6">
      <c r="F5529" s="1" t="str" cm="1">
        <f t="array" ref="F5529">_xlfn.LET(_xlpm.rowNum,MATCH(E5529,'glossaryterms-export'!C:C,0),
IF(AND(NOT(ISBLANK(INDEX('glossaryterms-export'!H:H,_xlpm.rowNum))),ISBLANK(INDEX('glossaryterms-export'!I:I,_xlpm.rowNum))),"Ready to Fix",""))</f>
        <v/>
      </c>
    </row>
    <row r="5530" spans="6:6">
      <c r="F5530" s="1" t="str" cm="1">
        <f t="array" ref="F5530">_xlfn.LET(_xlpm.rowNum,MATCH(E5530,'glossaryterms-export'!C:C,0),
IF(AND(NOT(ISBLANK(INDEX('glossaryterms-export'!H:H,_xlpm.rowNum))),ISBLANK(INDEX('glossaryterms-export'!I:I,_xlpm.rowNum))),"Ready to Fix",""))</f>
        <v/>
      </c>
    </row>
    <row r="5531" spans="6:6">
      <c r="F5531" s="1" t="str" cm="1">
        <f t="array" ref="F5531">_xlfn.LET(_xlpm.rowNum,MATCH(E5531,'glossaryterms-export'!C:C,0),
IF(AND(NOT(ISBLANK(INDEX('glossaryterms-export'!H:H,_xlpm.rowNum))),ISBLANK(INDEX('glossaryterms-export'!I:I,_xlpm.rowNum))),"Ready to Fix",""))</f>
        <v/>
      </c>
    </row>
    <row r="5532" spans="6:6">
      <c r="F5532" s="1" t="str" cm="1">
        <f t="array" ref="F5532">_xlfn.LET(_xlpm.rowNum,MATCH(E5532,'glossaryterms-export'!C:C,0),
IF(AND(NOT(ISBLANK(INDEX('glossaryterms-export'!H:H,_xlpm.rowNum))),ISBLANK(INDEX('glossaryterms-export'!I:I,_xlpm.rowNum))),"Ready to Fix",""))</f>
        <v/>
      </c>
    </row>
    <row r="5533" spans="6:6">
      <c r="F5533" s="1" t="str" cm="1">
        <f t="array" ref="F5533">_xlfn.LET(_xlpm.rowNum,MATCH(E5533,'glossaryterms-export'!C:C,0),
IF(AND(NOT(ISBLANK(INDEX('glossaryterms-export'!H:H,_xlpm.rowNum))),ISBLANK(INDEX('glossaryterms-export'!I:I,_xlpm.rowNum))),"Ready to Fix",""))</f>
        <v/>
      </c>
    </row>
    <row r="5534" spans="6:6">
      <c r="F5534" s="1" t="str" cm="1">
        <f t="array" ref="F5534">_xlfn.LET(_xlpm.rowNum,MATCH(E5534,'glossaryterms-export'!C:C,0),
IF(AND(NOT(ISBLANK(INDEX('glossaryterms-export'!H:H,_xlpm.rowNum))),ISBLANK(INDEX('glossaryterms-export'!I:I,_xlpm.rowNum))),"Ready to Fix",""))</f>
        <v/>
      </c>
    </row>
    <row r="5535" spans="6:6">
      <c r="F5535" s="1" t="str" cm="1">
        <f t="array" ref="F5535">_xlfn.LET(_xlpm.rowNum,MATCH(E5535,'glossaryterms-export'!C:C,0),
IF(AND(NOT(ISBLANK(INDEX('glossaryterms-export'!H:H,_xlpm.rowNum))),ISBLANK(INDEX('glossaryterms-export'!I:I,_xlpm.rowNum))),"Ready to Fix",""))</f>
        <v/>
      </c>
    </row>
    <row r="5536" spans="6:6">
      <c r="F5536" s="1" t="str" cm="1">
        <f t="array" ref="F5536">_xlfn.LET(_xlpm.rowNum,MATCH(E5536,'glossaryterms-export'!C:C,0),
IF(AND(NOT(ISBLANK(INDEX('glossaryterms-export'!H:H,_xlpm.rowNum))),ISBLANK(INDEX('glossaryterms-export'!I:I,_xlpm.rowNum))),"Ready to Fix",""))</f>
        <v/>
      </c>
    </row>
    <row r="5537" spans="6:6">
      <c r="F5537" s="1" t="str" cm="1">
        <f t="array" ref="F5537">_xlfn.LET(_xlpm.rowNum,MATCH(E5537,'glossaryterms-export'!C:C,0),
IF(AND(NOT(ISBLANK(INDEX('glossaryterms-export'!H:H,_xlpm.rowNum))),ISBLANK(INDEX('glossaryterms-export'!I:I,_xlpm.rowNum))),"Ready to Fix",""))</f>
        <v/>
      </c>
    </row>
    <row r="5538" spans="6:6">
      <c r="F5538" s="1" t="str" cm="1">
        <f t="array" ref="F5538">_xlfn.LET(_xlpm.rowNum,MATCH(E5538,'glossaryterms-export'!C:C,0),
IF(AND(NOT(ISBLANK(INDEX('glossaryterms-export'!H:H,_xlpm.rowNum))),ISBLANK(INDEX('glossaryterms-export'!I:I,_xlpm.rowNum))),"Ready to Fix",""))</f>
        <v/>
      </c>
    </row>
    <row r="5539" spans="6:6">
      <c r="F5539" s="1" t="str" cm="1">
        <f t="array" ref="F5539">_xlfn.LET(_xlpm.rowNum,MATCH(E5539,'glossaryterms-export'!C:C,0),
IF(AND(NOT(ISBLANK(INDEX('glossaryterms-export'!H:H,_xlpm.rowNum))),ISBLANK(INDEX('glossaryterms-export'!I:I,_xlpm.rowNum))),"Ready to Fix",""))</f>
        <v/>
      </c>
    </row>
    <row r="5540" spans="6:6">
      <c r="F5540" s="1" t="str" cm="1">
        <f t="array" ref="F5540">_xlfn.LET(_xlpm.rowNum,MATCH(E5540,'glossaryterms-export'!C:C,0),
IF(AND(NOT(ISBLANK(INDEX('glossaryterms-export'!H:H,_xlpm.rowNum))),ISBLANK(INDEX('glossaryterms-export'!I:I,_xlpm.rowNum))),"Ready to Fix",""))</f>
        <v/>
      </c>
    </row>
    <row r="5541" spans="6:6">
      <c r="F5541" s="1" t="str" cm="1">
        <f t="array" ref="F5541">_xlfn.LET(_xlpm.rowNum,MATCH(E5541,'glossaryterms-export'!C:C,0),
IF(AND(NOT(ISBLANK(INDEX('glossaryterms-export'!H:H,_xlpm.rowNum))),ISBLANK(INDEX('glossaryterms-export'!I:I,_xlpm.rowNum))),"Ready to Fix",""))</f>
        <v/>
      </c>
    </row>
    <row r="5542" spans="6:6">
      <c r="F5542" s="1" t="str" cm="1">
        <f t="array" ref="F5542">_xlfn.LET(_xlpm.rowNum,MATCH(E5542,'glossaryterms-export'!C:C,0),
IF(AND(NOT(ISBLANK(INDEX('glossaryterms-export'!H:H,_xlpm.rowNum))),ISBLANK(INDEX('glossaryterms-export'!I:I,_xlpm.rowNum))),"Ready to Fix",""))</f>
        <v/>
      </c>
    </row>
    <row r="5543" spans="6:6">
      <c r="F5543" s="1" t="str" cm="1">
        <f t="array" ref="F5543">_xlfn.LET(_xlpm.rowNum,MATCH(E5543,'glossaryterms-export'!C:C,0),
IF(AND(NOT(ISBLANK(INDEX('glossaryterms-export'!H:H,_xlpm.rowNum))),ISBLANK(INDEX('glossaryterms-export'!I:I,_xlpm.rowNum))),"Ready to Fix",""))</f>
        <v/>
      </c>
    </row>
    <row r="5544" spans="6:6">
      <c r="F5544" s="1" t="str" cm="1">
        <f t="array" ref="F5544">_xlfn.LET(_xlpm.rowNum,MATCH(E5544,'glossaryterms-export'!C:C,0),
IF(AND(NOT(ISBLANK(INDEX('glossaryterms-export'!H:H,_xlpm.rowNum))),ISBLANK(INDEX('glossaryterms-export'!I:I,_xlpm.rowNum))),"Ready to Fix",""))</f>
        <v/>
      </c>
    </row>
    <row r="5545" spans="6:6">
      <c r="F5545" s="1" t="str" cm="1">
        <f t="array" ref="F5545">_xlfn.LET(_xlpm.rowNum,MATCH(E5545,'glossaryterms-export'!C:C,0),
IF(AND(NOT(ISBLANK(INDEX('glossaryterms-export'!H:H,_xlpm.rowNum))),ISBLANK(INDEX('glossaryterms-export'!I:I,_xlpm.rowNum))),"Ready to Fix",""))</f>
        <v/>
      </c>
    </row>
    <row r="5546" spans="6:6">
      <c r="F5546" s="1" t="str" cm="1">
        <f t="array" ref="F5546">_xlfn.LET(_xlpm.rowNum,MATCH(E5546,'glossaryterms-export'!C:C,0),
IF(AND(NOT(ISBLANK(INDEX('glossaryterms-export'!H:H,_xlpm.rowNum))),ISBLANK(INDEX('glossaryterms-export'!I:I,_xlpm.rowNum))),"Ready to Fix",""))</f>
        <v/>
      </c>
    </row>
    <row r="5547" spans="6:6">
      <c r="F5547" s="1" t="str" cm="1">
        <f t="array" ref="F5547">_xlfn.LET(_xlpm.rowNum,MATCH(E5547,'glossaryterms-export'!C:C,0),
IF(AND(NOT(ISBLANK(INDEX('glossaryterms-export'!H:H,_xlpm.rowNum))),ISBLANK(INDEX('glossaryterms-export'!I:I,_xlpm.rowNum))),"Ready to Fix",""))</f>
        <v/>
      </c>
    </row>
    <row r="5548" spans="6:6">
      <c r="F5548" s="1" t="str" cm="1">
        <f t="array" ref="F5548">_xlfn.LET(_xlpm.rowNum,MATCH(E5548,'glossaryterms-export'!C:C,0),
IF(AND(NOT(ISBLANK(INDEX('glossaryterms-export'!H:H,_xlpm.rowNum))),ISBLANK(INDEX('glossaryterms-export'!I:I,_xlpm.rowNum))),"Ready to Fix",""))</f>
        <v/>
      </c>
    </row>
    <row r="5549" spans="6:6">
      <c r="F5549" s="1" t="str" cm="1">
        <f t="array" ref="F5549">_xlfn.LET(_xlpm.rowNum,MATCH(E5549,'glossaryterms-export'!C:C,0),
IF(AND(NOT(ISBLANK(INDEX('glossaryterms-export'!H:H,_xlpm.rowNum))),ISBLANK(INDEX('glossaryterms-export'!I:I,_xlpm.rowNum))),"Ready to Fix",""))</f>
        <v/>
      </c>
    </row>
    <row r="5550" spans="6:6">
      <c r="F5550" s="1" t="str" cm="1">
        <f t="array" ref="F5550">_xlfn.LET(_xlpm.rowNum,MATCH(E5550,'glossaryterms-export'!C:C,0),
IF(AND(NOT(ISBLANK(INDEX('glossaryterms-export'!H:H,_xlpm.rowNum))),ISBLANK(INDEX('glossaryterms-export'!I:I,_xlpm.rowNum))),"Ready to Fix",""))</f>
        <v/>
      </c>
    </row>
    <row r="5551" spans="6:6">
      <c r="F5551" s="1" t="str" cm="1">
        <f t="array" ref="F5551">_xlfn.LET(_xlpm.rowNum,MATCH(E5551,'glossaryterms-export'!C:C,0),
IF(AND(NOT(ISBLANK(INDEX('glossaryterms-export'!H:H,_xlpm.rowNum))),ISBLANK(INDEX('glossaryterms-export'!I:I,_xlpm.rowNum))),"Ready to Fix",""))</f>
        <v/>
      </c>
    </row>
    <row r="5552" spans="6:6">
      <c r="F5552" s="1" t="str" cm="1">
        <f t="array" ref="F5552">_xlfn.LET(_xlpm.rowNum,MATCH(E5552,'glossaryterms-export'!C:C,0),
IF(AND(NOT(ISBLANK(INDEX('glossaryterms-export'!H:H,_xlpm.rowNum))),ISBLANK(INDEX('glossaryterms-export'!I:I,_xlpm.rowNum))),"Ready to Fix",""))</f>
        <v/>
      </c>
    </row>
    <row r="5553" spans="6:6">
      <c r="F5553" s="1" t="str" cm="1">
        <f t="array" ref="F5553">_xlfn.LET(_xlpm.rowNum,MATCH(E5553,'glossaryterms-export'!C:C,0),
IF(AND(NOT(ISBLANK(INDEX('glossaryterms-export'!H:H,_xlpm.rowNum))),ISBLANK(INDEX('glossaryterms-export'!I:I,_xlpm.rowNum))),"Ready to Fix",""))</f>
        <v/>
      </c>
    </row>
    <row r="5554" spans="6:6">
      <c r="F5554" s="1" t="str" cm="1">
        <f t="array" ref="F5554">_xlfn.LET(_xlpm.rowNum,MATCH(E5554,'glossaryterms-export'!C:C,0),
IF(AND(NOT(ISBLANK(INDEX('glossaryterms-export'!H:H,_xlpm.rowNum))),ISBLANK(INDEX('glossaryterms-export'!I:I,_xlpm.rowNum))),"Ready to Fix",""))</f>
        <v/>
      </c>
    </row>
    <row r="5555" spans="6:6">
      <c r="F5555" s="1" t="str" cm="1">
        <f t="array" ref="F5555">_xlfn.LET(_xlpm.rowNum,MATCH(E5555,'glossaryterms-export'!C:C,0),
IF(AND(NOT(ISBLANK(INDEX('glossaryterms-export'!H:H,_xlpm.rowNum))),ISBLANK(INDEX('glossaryterms-export'!I:I,_xlpm.rowNum))),"Ready to Fix",""))</f>
        <v/>
      </c>
    </row>
    <row r="5556" spans="6:6">
      <c r="F5556" s="1" t="str" cm="1">
        <f t="array" ref="F5556">_xlfn.LET(_xlpm.rowNum,MATCH(E5556,'glossaryterms-export'!C:C,0),
IF(AND(NOT(ISBLANK(INDEX('glossaryterms-export'!H:H,_xlpm.rowNum))),ISBLANK(INDEX('glossaryterms-export'!I:I,_xlpm.rowNum))),"Ready to Fix",""))</f>
        <v/>
      </c>
    </row>
    <row r="5557" spans="6:6">
      <c r="F5557" s="1" t="str" cm="1">
        <f t="array" ref="F5557">_xlfn.LET(_xlpm.rowNum,MATCH(E5557,'glossaryterms-export'!C:C,0),
IF(AND(NOT(ISBLANK(INDEX('glossaryterms-export'!H:H,_xlpm.rowNum))),ISBLANK(INDEX('glossaryterms-export'!I:I,_xlpm.rowNum))),"Ready to Fix",""))</f>
        <v/>
      </c>
    </row>
    <row r="5558" spans="6:6">
      <c r="F5558" s="1" t="str" cm="1">
        <f t="array" ref="F5558">_xlfn.LET(_xlpm.rowNum,MATCH(E5558,'glossaryterms-export'!C:C,0),
IF(AND(NOT(ISBLANK(INDEX('glossaryterms-export'!H:H,_xlpm.rowNum))),ISBLANK(INDEX('glossaryterms-export'!I:I,_xlpm.rowNum))),"Ready to Fix",""))</f>
        <v/>
      </c>
    </row>
    <row r="5559" spans="6:6">
      <c r="F5559" s="1" t="str" cm="1">
        <f t="array" ref="F5559">_xlfn.LET(_xlpm.rowNum,MATCH(E5559,'glossaryterms-export'!C:C,0),
IF(AND(NOT(ISBLANK(INDEX('glossaryterms-export'!H:H,_xlpm.rowNum))),ISBLANK(INDEX('glossaryterms-export'!I:I,_xlpm.rowNum))),"Ready to Fix",""))</f>
        <v/>
      </c>
    </row>
    <row r="5560" spans="6:6">
      <c r="F5560" s="1" t="str" cm="1">
        <f t="array" ref="F5560">_xlfn.LET(_xlpm.rowNum,MATCH(E5560,'glossaryterms-export'!C:C,0),
IF(AND(NOT(ISBLANK(INDEX('glossaryterms-export'!H:H,_xlpm.rowNum))),ISBLANK(INDEX('glossaryterms-export'!I:I,_xlpm.rowNum))),"Ready to Fix",""))</f>
        <v/>
      </c>
    </row>
    <row r="5561" spans="6:6">
      <c r="F5561" s="1" t="str" cm="1">
        <f t="array" ref="F5561">_xlfn.LET(_xlpm.rowNum,MATCH(E5561,'glossaryterms-export'!C:C,0),
IF(AND(NOT(ISBLANK(INDEX('glossaryterms-export'!H:H,_xlpm.rowNum))),ISBLANK(INDEX('glossaryterms-export'!I:I,_xlpm.rowNum))),"Ready to Fix",""))</f>
        <v/>
      </c>
    </row>
    <row r="5562" spans="6:6">
      <c r="F5562" s="1" t="str" cm="1">
        <f t="array" ref="F5562">_xlfn.LET(_xlpm.rowNum,MATCH(E5562,'glossaryterms-export'!C:C,0),
IF(AND(NOT(ISBLANK(INDEX('glossaryterms-export'!H:H,_xlpm.rowNum))),ISBLANK(INDEX('glossaryterms-export'!I:I,_xlpm.rowNum))),"Ready to Fix",""))</f>
        <v/>
      </c>
    </row>
    <row r="5563" spans="6:6">
      <c r="F5563" s="1" t="str" cm="1">
        <f t="array" ref="F5563">_xlfn.LET(_xlpm.rowNum,MATCH(E5563,'glossaryterms-export'!C:C,0),
IF(AND(NOT(ISBLANK(INDEX('glossaryterms-export'!H:H,_xlpm.rowNum))),ISBLANK(INDEX('glossaryterms-export'!I:I,_xlpm.rowNum))),"Ready to Fix",""))</f>
        <v/>
      </c>
    </row>
    <row r="5564" spans="6:6">
      <c r="F5564" s="1" t="str" cm="1">
        <f t="array" ref="F5564">_xlfn.LET(_xlpm.rowNum,MATCH(E5564,'glossaryterms-export'!C:C,0),
IF(AND(NOT(ISBLANK(INDEX('glossaryterms-export'!H:H,_xlpm.rowNum))),ISBLANK(INDEX('glossaryterms-export'!I:I,_xlpm.rowNum))),"Ready to Fix",""))</f>
        <v/>
      </c>
    </row>
    <row r="5565" spans="6:6">
      <c r="F5565" s="1" t="str" cm="1">
        <f t="array" ref="F5565">_xlfn.LET(_xlpm.rowNum,MATCH(E5565,'glossaryterms-export'!C:C,0),
IF(AND(NOT(ISBLANK(INDEX('glossaryterms-export'!H:H,_xlpm.rowNum))),ISBLANK(INDEX('glossaryterms-export'!I:I,_xlpm.rowNum))),"Ready to Fix",""))</f>
        <v/>
      </c>
    </row>
    <row r="5566" spans="6:6">
      <c r="F5566" s="1" t="str" cm="1">
        <f t="array" ref="F5566">_xlfn.LET(_xlpm.rowNum,MATCH(E5566,'glossaryterms-export'!C:C,0),
IF(AND(NOT(ISBLANK(INDEX('glossaryterms-export'!H:H,_xlpm.rowNum))),ISBLANK(INDEX('glossaryterms-export'!I:I,_xlpm.rowNum))),"Ready to Fix",""))</f>
        <v/>
      </c>
    </row>
    <row r="5567" spans="6:6">
      <c r="F5567" s="1" t="str" cm="1">
        <f t="array" ref="F5567">_xlfn.LET(_xlpm.rowNum,MATCH(E5567,'glossaryterms-export'!C:C,0),
IF(AND(NOT(ISBLANK(INDEX('glossaryterms-export'!H:H,_xlpm.rowNum))),ISBLANK(INDEX('glossaryterms-export'!I:I,_xlpm.rowNum))),"Ready to Fix",""))</f>
        <v/>
      </c>
    </row>
    <row r="5568" spans="6:6">
      <c r="F5568" s="1" t="str" cm="1">
        <f t="array" ref="F5568">_xlfn.LET(_xlpm.rowNum,MATCH(E5568,'glossaryterms-export'!C:C,0),
IF(AND(NOT(ISBLANK(INDEX('glossaryterms-export'!H:H,_xlpm.rowNum))),ISBLANK(INDEX('glossaryterms-export'!I:I,_xlpm.rowNum))),"Ready to Fix",""))</f>
        <v/>
      </c>
    </row>
    <row r="5569" spans="6:6">
      <c r="F5569" s="1" t="str" cm="1">
        <f t="array" ref="F5569">_xlfn.LET(_xlpm.rowNum,MATCH(E5569,'glossaryterms-export'!C:C,0),
IF(AND(NOT(ISBLANK(INDEX('glossaryterms-export'!H:H,_xlpm.rowNum))),ISBLANK(INDEX('glossaryterms-export'!I:I,_xlpm.rowNum))),"Ready to Fix",""))</f>
        <v/>
      </c>
    </row>
    <row r="5570" spans="6:6">
      <c r="F5570" s="1" t="str" cm="1">
        <f t="array" ref="F5570">_xlfn.LET(_xlpm.rowNum,MATCH(E5570,'glossaryterms-export'!C:C,0),
IF(AND(NOT(ISBLANK(INDEX('glossaryterms-export'!H:H,_xlpm.rowNum))),ISBLANK(INDEX('glossaryterms-export'!I:I,_xlpm.rowNum))),"Ready to Fix",""))</f>
        <v/>
      </c>
    </row>
    <row r="5571" spans="6:6">
      <c r="F5571" s="1" t="str" cm="1">
        <f t="array" ref="F5571">_xlfn.LET(_xlpm.rowNum,MATCH(E5571,'glossaryterms-export'!C:C,0),
IF(AND(NOT(ISBLANK(INDEX('glossaryterms-export'!H:H,_xlpm.rowNum))),ISBLANK(INDEX('glossaryterms-export'!I:I,_xlpm.rowNum))),"Ready to Fix",""))</f>
        <v/>
      </c>
    </row>
    <row r="5572" spans="6:6">
      <c r="F5572" s="1" t="str" cm="1">
        <f t="array" ref="F5572">_xlfn.LET(_xlpm.rowNum,MATCH(E5572,'glossaryterms-export'!C:C,0),
IF(AND(NOT(ISBLANK(INDEX('glossaryterms-export'!H:H,_xlpm.rowNum))),ISBLANK(INDEX('glossaryterms-export'!I:I,_xlpm.rowNum))),"Ready to Fix",""))</f>
        <v/>
      </c>
    </row>
    <row r="5573" spans="6:6">
      <c r="F5573" s="1" t="str" cm="1">
        <f t="array" ref="F5573">_xlfn.LET(_xlpm.rowNum,MATCH(E5573,'glossaryterms-export'!C:C,0),
IF(AND(NOT(ISBLANK(INDEX('glossaryterms-export'!H:H,_xlpm.rowNum))),ISBLANK(INDEX('glossaryterms-export'!I:I,_xlpm.rowNum))),"Ready to Fix",""))</f>
        <v/>
      </c>
    </row>
    <row r="5574" spans="6:6">
      <c r="F5574" s="1" t="str" cm="1">
        <f t="array" ref="F5574">_xlfn.LET(_xlpm.rowNum,MATCH(E5574,'glossaryterms-export'!C:C,0),
IF(AND(NOT(ISBLANK(INDEX('glossaryterms-export'!H:H,_xlpm.rowNum))),ISBLANK(INDEX('glossaryterms-export'!I:I,_xlpm.rowNum))),"Ready to Fix",""))</f>
        <v/>
      </c>
    </row>
    <row r="5575" spans="6:6">
      <c r="F5575" s="1" t="str" cm="1">
        <f t="array" ref="F5575">_xlfn.LET(_xlpm.rowNum,MATCH(E5575,'glossaryterms-export'!C:C,0),
IF(AND(NOT(ISBLANK(INDEX('glossaryterms-export'!H:H,_xlpm.rowNum))),ISBLANK(INDEX('glossaryterms-export'!I:I,_xlpm.rowNum))),"Ready to Fix",""))</f>
        <v/>
      </c>
    </row>
    <row r="5576" spans="6:6">
      <c r="F5576" s="1" t="str" cm="1">
        <f t="array" ref="F5576">_xlfn.LET(_xlpm.rowNum,MATCH(E5576,'glossaryterms-export'!C:C,0),
IF(AND(NOT(ISBLANK(INDEX('glossaryterms-export'!H:H,_xlpm.rowNum))),ISBLANK(INDEX('glossaryterms-export'!I:I,_xlpm.rowNum))),"Ready to Fix",""))</f>
        <v/>
      </c>
    </row>
    <row r="5577" spans="6:6">
      <c r="F5577" s="1" t="str" cm="1">
        <f t="array" ref="F5577">_xlfn.LET(_xlpm.rowNum,MATCH(E5577,'glossaryterms-export'!C:C,0),
IF(AND(NOT(ISBLANK(INDEX('glossaryterms-export'!H:H,_xlpm.rowNum))),ISBLANK(INDEX('glossaryterms-export'!I:I,_xlpm.rowNum))),"Ready to Fix",""))</f>
        <v/>
      </c>
    </row>
    <row r="5578" spans="6:6">
      <c r="F5578" s="1" t="str" cm="1">
        <f t="array" ref="F5578">_xlfn.LET(_xlpm.rowNum,MATCH(E5578,'glossaryterms-export'!C:C,0),
IF(AND(NOT(ISBLANK(INDEX('glossaryterms-export'!H:H,_xlpm.rowNum))),ISBLANK(INDEX('glossaryterms-export'!I:I,_xlpm.rowNum))),"Ready to Fix",""))</f>
        <v/>
      </c>
    </row>
    <row r="5579" spans="6:6">
      <c r="F5579" s="1" t="str" cm="1">
        <f t="array" ref="F5579">_xlfn.LET(_xlpm.rowNum,MATCH(E5579,'glossaryterms-export'!C:C,0),
IF(AND(NOT(ISBLANK(INDEX('glossaryterms-export'!H:H,_xlpm.rowNum))),ISBLANK(INDEX('glossaryterms-export'!I:I,_xlpm.rowNum))),"Ready to Fix",""))</f>
        <v/>
      </c>
    </row>
    <row r="5580" spans="6:6">
      <c r="F5580" s="1" t="str" cm="1">
        <f t="array" ref="F5580">_xlfn.LET(_xlpm.rowNum,MATCH(E5580,'glossaryterms-export'!C:C,0),
IF(AND(NOT(ISBLANK(INDEX('glossaryterms-export'!H:H,_xlpm.rowNum))),ISBLANK(INDEX('glossaryterms-export'!I:I,_xlpm.rowNum))),"Ready to Fix",""))</f>
        <v/>
      </c>
    </row>
    <row r="5581" spans="6:6">
      <c r="F5581" s="1" t="str" cm="1">
        <f t="array" ref="F5581">_xlfn.LET(_xlpm.rowNum,MATCH(E5581,'glossaryterms-export'!C:C,0),
IF(AND(NOT(ISBLANK(INDEX('glossaryterms-export'!H:H,_xlpm.rowNum))),ISBLANK(INDEX('glossaryterms-export'!I:I,_xlpm.rowNum))),"Ready to Fix",""))</f>
        <v/>
      </c>
    </row>
    <row r="5582" spans="6:6">
      <c r="F5582" s="1" t="str" cm="1">
        <f t="array" ref="F5582">_xlfn.LET(_xlpm.rowNum,MATCH(E5582,'glossaryterms-export'!C:C,0),
IF(AND(NOT(ISBLANK(INDEX('glossaryterms-export'!H:H,_xlpm.rowNum))),ISBLANK(INDEX('glossaryterms-export'!I:I,_xlpm.rowNum))),"Ready to Fix",""))</f>
        <v/>
      </c>
    </row>
    <row r="5583" spans="6:6">
      <c r="F5583" s="1" t="str" cm="1">
        <f t="array" ref="F5583">_xlfn.LET(_xlpm.rowNum,MATCH(E5583,'glossaryterms-export'!C:C,0),
IF(AND(NOT(ISBLANK(INDEX('glossaryterms-export'!H:H,_xlpm.rowNum))),ISBLANK(INDEX('glossaryterms-export'!I:I,_xlpm.rowNum))),"Ready to Fix",""))</f>
        <v/>
      </c>
    </row>
    <row r="5584" spans="6:6">
      <c r="F5584" s="1" t="str" cm="1">
        <f t="array" ref="F5584">_xlfn.LET(_xlpm.rowNum,MATCH(E5584,'glossaryterms-export'!C:C,0),
IF(AND(NOT(ISBLANK(INDEX('glossaryterms-export'!H:H,_xlpm.rowNum))),ISBLANK(INDEX('glossaryterms-export'!I:I,_xlpm.rowNum))),"Ready to Fix",""))</f>
        <v/>
      </c>
    </row>
    <row r="5585" spans="6:6">
      <c r="F5585" s="1" t="str" cm="1">
        <f t="array" ref="F5585">_xlfn.LET(_xlpm.rowNum,MATCH(E5585,'glossaryterms-export'!C:C,0),
IF(AND(NOT(ISBLANK(INDEX('glossaryterms-export'!H:H,_xlpm.rowNum))),ISBLANK(INDEX('glossaryterms-export'!I:I,_xlpm.rowNum))),"Ready to Fix",""))</f>
        <v/>
      </c>
    </row>
    <row r="5586" spans="6:6">
      <c r="F5586" s="1" t="str" cm="1">
        <f t="array" ref="F5586">_xlfn.LET(_xlpm.rowNum,MATCH(E5586,'glossaryterms-export'!C:C,0),
IF(AND(NOT(ISBLANK(INDEX('glossaryterms-export'!H:H,_xlpm.rowNum))),ISBLANK(INDEX('glossaryterms-export'!I:I,_xlpm.rowNum))),"Ready to Fix",""))</f>
        <v/>
      </c>
    </row>
    <row r="5587" spans="6:6">
      <c r="F5587" s="1" t="str" cm="1">
        <f t="array" ref="F5587">_xlfn.LET(_xlpm.rowNum,MATCH(E5587,'glossaryterms-export'!C:C,0),
IF(AND(NOT(ISBLANK(INDEX('glossaryterms-export'!H:H,_xlpm.rowNum))),ISBLANK(INDEX('glossaryterms-export'!I:I,_xlpm.rowNum))),"Ready to Fix",""))</f>
        <v/>
      </c>
    </row>
    <row r="5588" spans="6:6">
      <c r="F5588" s="1" t="str" cm="1">
        <f t="array" ref="F5588">_xlfn.LET(_xlpm.rowNum,MATCH(E5588,'glossaryterms-export'!C:C,0),
IF(AND(NOT(ISBLANK(INDEX('glossaryterms-export'!H:H,_xlpm.rowNum))),ISBLANK(INDEX('glossaryterms-export'!I:I,_xlpm.rowNum))),"Ready to Fix",""))</f>
        <v/>
      </c>
    </row>
    <row r="5589" spans="6:6">
      <c r="F5589" s="1" t="str" cm="1">
        <f t="array" ref="F5589">_xlfn.LET(_xlpm.rowNum,MATCH(E5589,'glossaryterms-export'!C:C,0),
IF(AND(NOT(ISBLANK(INDEX('glossaryterms-export'!H:H,_xlpm.rowNum))),ISBLANK(INDEX('glossaryterms-export'!I:I,_xlpm.rowNum))),"Ready to Fix",""))</f>
        <v/>
      </c>
    </row>
    <row r="5590" spans="6:6">
      <c r="F5590" s="1" t="str" cm="1">
        <f t="array" ref="F5590">_xlfn.LET(_xlpm.rowNum,MATCH(E5590,'glossaryterms-export'!C:C,0),
IF(AND(NOT(ISBLANK(INDEX('glossaryterms-export'!H:H,_xlpm.rowNum))),ISBLANK(INDEX('glossaryterms-export'!I:I,_xlpm.rowNum))),"Ready to Fix",""))</f>
        <v/>
      </c>
    </row>
    <row r="5591" spans="6:6">
      <c r="F5591" s="1" t="str" cm="1">
        <f t="array" ref="F5591">_xlfn.LET(_xlpm.rowNum,MATCH(E5591,'glossaryterms-export'!C:C,0),
IF(AND(NOT(ISBLANK(INDEX('glossaryterms-export'!H:H,_xlpm.rowNum))),ISBLANK(INDEX('glossaryterms-export'!I:I,_xlpm.rowNum))),"Ready to Fix",""))</f>
        <v/>
      </c>
    </row>
    <row r="5592" spans="6:6">
      <c r="F5592" s="1" t="str" cm="1">
        <f t="array" ref="F5592">_xlfn.LET(_xlpm.rowNum,MATCH(E5592,'glossaryterms-export'!C:C,0),
IF(AND(NOT(ISBLANK(INDEX('glossaryterms-export'!H:H,_xlpm.rowNum))),ISBLANK(INDEX('glossaryterms-export'!I:I,_xlpm.rowNum))),"Ready to Fix",""))</f>
        <v/>
      </c>
    </row>
    <row r="5593" spans="6:6">
      <c r="F5593" s="1" t="str" cm="1">
        <f t="array" ref="F5593">_xlfn.LET(_xlpm.rowNum,MATCH(E5593,'glossaryterms-export'!C:C,0),
IF(AND(NOT(ISBLANK(INDEX('glossaryterms-export'!H:H,_xlpm.rowNum))),ISBLANK(INDEX('glossaryterms-export'!I:I,_xlpm.rowNum))),"Ready to Fix",""))</f>
        <v/>
      </c>
    </row>
    <row r="5594" spans="6:6">
      <c r="F5594" s="1" t="str" cm="1">
        <f t="array" ref="F5594">_xlfn.LET(_xlpm.rowNum,MATCH(E5594,'glossaryterms-export'!C:C,0),
IF(AND(NOT(ISBLANK(INDEX('glossaryterms-export'!H:H,_xlpm.rowNum))),ISBLANK(INDEX('glossaryterms-export'!I:I,_xlpm.rowNum))),"Ready to Fix",""))</f>
        <v/>
      </c>
    </row>
    <row r="5595" spans="6:6">
      <c r="F5595" s="1" t="str" cm="1">
        <f t="array" ref="F5595">_xlfn.LET(_xlpm.rowNum,MATCH(E5595,'glossaryterms-export'!C:C,0),
IF(AND(NOT(ISBLANK(INDEX('glossaryterms-export'!H:H,_xlpm.rowNum))),ISBLANK(INDEX('glossaryterms-export'!I:I,_xlpm.rowNum))),"Ready to Fix",""))</f>
        <v/>
      </c>
    </row>
    <row r="5596" spans="6:6">
      <c r="F5596" s="1" t="str" cm="1">
        <f t="array" ref="F5596">_xlfn.LET(_xlpm.rowNum,MATCH(E5596,'glossaryterms-export'!C:C,0),
IF(AND(NOT(ISBLANK(INDEX('glossaryterms-export'!H:H,_xlpm.rowNum))),ISBLANK(INDEX('glossaryterms-export'!I:I,_xlpm.rowNum))),"Ready to Fix",""))</f>
        <v/>
      </c>
    </row>
    <row r="5597" spans="6:6">
      <c r="F5597" s="1" t="str" cm="1">
        <f t="array" ref="F5597">_xlfn.LET(_xlpm.rowNum,MATCH(E5597,'glossaryterms-export'!C:C,0),
IF(AND(NOT(ISBLANK(INDEX('glossaryterms-export'!H:H,_xlpm.rowNum))),ISBLANK(INDEX('glossaryterms-export'!I:I,_xlpm.rowNum))),"Ready to Fix",""))</f>
        <v/>
      </c>
    </row>
    <row r="5598" spans="6:6">
      <c r="F5598" s="1" t="str" cm="1">
        <f t="array" ref="F5598">_xlfn.LET(_xlpm.rowNum,MATCH(E5598,'glossaryterms-export'!C:C,0),
IF(AND(NOT(ISBLANK(INDEX('glossaryterms-export'!H:H,_xlpm.rowNum))),ISBLANK(INDEX('glossaryterms-export'!I:I,_xlpm.rowNum))),"Ready to Fix",""))</f>
        <v/>
      </c>
    </row>
    <row r="5599" spans="6:6">
      <c r="F5599" s="1" t="str" cm="1">
        <f t="array" ref="F5599">_xlfn.LET(_xlpm.rowNum,MATCH(E5599,'glossaryterms-export'!C:C,0),
IF(AND(NOT(ISBLANK(INDEX('glossaryterms-export'!H:H,_xlpm.rowNum))),ISBLANK(INDEX('glossaryterms-export'!I:I,_xlpm.rowNum))),"Ready to Fix",""))</f>
        <v/>
      </c>
    </row>
    <row r="5600" spans="6:6">
      <c r="F5600" s="1" t="str" cm="1">
        <f t="array" ref="F5600">_xlfn.LET(_xlpm.rowNum,MATCH(E5600,'glossaryterms-export'!C:C,0),
IF(AND(NOT(ISBLANK(INDEX('glossaryterms-export'!H:H,_xlpm.rowNum))),ISBLANK(INDEX('glossaryterms-export'!I:I,_xlpm.rowNum))),"Ready to Fix",""))</f>
        <v/>
      </c>
    </row>
    <row r="5601" spans="6:6">
      <c r="F5601" s="1" t="str" cm="1">
        <f t="array" ref="F5601">_xlfn.LET(_xlpm.rowNum,MATCH(E5601,'glossaryterms-export'!C:C,0),
IF(AND(NOT(ISBLANK(INDEX('glossaryterms-export'!H:H,_xlpm.rowNum))),ISBLANK(INDEX('glossaryterms-export'!I:I,_xlpm.rowNum))),"Ready to Fix",""))</f>
        <v/>
      </c>
    </row>
    <row r="5602" spans="6:6">
      <c r="F5602" s="1" t="str" cm="1">
        <f t="array" ref="F5602">_xlfn.LET(_xlpm.rowNum,MATCH(E5602,'glossaryterms-export'!C:C,0),
IF(AND(NOT(ISBLANK(INDEX('glossaryterms-export'!H:H,_xlpm.rowNum))),ISBLANK(INDEX('glossaryterms-export'!I:I,_xlpm.rowNum))),"Ready to Fix",""))</f>
        <v/>
      </c>
    </row>
    <row r="5603" spans="6:6">
      <c r="F5603" s="1" t="str" cm="1">
        <f t="array" ref="F5603">_xlfn.LET(_xlpm.rowNum,MATCH(E5603,'glossaryterms-export'!C:C,0),
IF(AND(NOT(ISBLANK(INDEX('glossaryterms-export'!H:H,_xlpm.rowNum))),ISBLANK(INDEX('glossaryterms-export'!I:I,_xlpm.rowNum))),"Ready to Fix",""))</f>
        <v/>
      </c>
    </row>
    <row r="5604" spans="6:6">
      <c r="F5604" s="1" t="str" cm="1">
        <f t="array" ref="F5604">_xlfn.LET(_xlpm.rowNum,MATCH(E5604,'glossaryterms-export'!C:C,0),
IF(AND(NOT(ISBLANK(INDEX('glossaryterms-export'!H:H,_xlpm.rowNum))),ISBLANK(INDEX('glossaryterms-export'!I:I,_xlpm.rowNum))),"Ready to Fix",""))</f>
        <v/>
      </c>
    </row>
    <row r="5605" spans="6:6">
      <c r="F5605" s="1" t="str" cm="1">
        <f t="array" ref="F5605">_xlfn.LET(_xlpm.rowNum,MATCH(E5605,'glossaryterms-export'!C:C,0),
IF(AND(NOT(ISBLANK(INDEX('glossaryterms-export'!H:H,_xlpm.rowNum))),ISBLANK(INDEX('glossaryterms-export'!I:I,_xlpm.rowNum))),"Ready to Fix",""))</f>
        <v/>
      </c>
    </row>
    <row r="5606" spans="6:6">
      <c r="F5606" s="1" t="str" cm="1">
        <f t="array" ref="F5606">_xlfn.LET(_xlpm.rowNum,MATCH(E5606,'glossaryterms-export'!C:C,0),
IF(AND(NOT(ISBLANK(INDEX('glossaryterms-export'!H:H,_xlpm.rowNum))),ISBLANK(INDEX('glossaryterms-export'!I:I,_xlpm.rowNum))),"Ready to Fix",""))</f>
        <v/>
      </c>
    </row>
    <row r="5607" spans="6:6">
      <c r="F5607" s="1" t="str" cm="1">
        <f t="array" ref="F5607">_xlfn.LET(_xlpm.rowNum,MATCH(E5607,'glossaryterms-export'!C:C,0),
IF(AND(NOT(ISBLANK(INDEX('glossaryterms-export'!H:H,_xlpm.rowNum))),ISBLANK(INDEX('glossaryterms-export'!I:I,_xlpm.rowNum))),"Ready to Fix",""))</f>
        <v/>
      </c>
    </row>
    <row r="5608" spans="6:6">
      <c r="F5608" s="1" t="str" cm="1">
        <f t="array" ref="F5608">_xlfn.LET(_xlpm.rowNum,MATCH(E5608,'glossaryterms-export'!C:C,0),
IF(AND(NOT(ISBLANK(INDEX('glossaryterms-export'!H:H,_xlpm.rowNum))),ISBLANK(INDEX('glossaryterms-export'!I:I,_xlpm.rowNum))),"Ready to Fix",""))</f>
        <v/>
      </c>
    </row>
    <row r="5609" spans="6:6">
      <c r="F5609" s="1" t="str" cm="1">
        <f t="array" ref="F5609">_xlfn.LET(_xlpm.rowNum,MATCH(E5609,'glossaryterms-export'!C:C,0),
IF(AND(NOT(ISBLANK(INDEX('glossaryterms-export'!H:H,_xlpm.rowNum))),ISBLANK(INDEX('glossaryterms-export'!I:I,_xlpm.rowNum))),"Ready to Fix",""))</f>
        <v/>
      </c>
    </row>
    <row r="5610" spans="6:6">
      <c r="F5610" s="1" t="str" cm="1">
        <f t="array" ref="F5610">_xlfn.LET(_xlpm.rowNum,MATCH(E5610,'glossaryterms-export'!C:C,0),
IF(AND(NOT(ISBLANK(INDEX('glossaryterms-export'!H:H,_xlpm.rowNum))),ISBLANK(INDEX('glossaryterms-export'!I:I,_xlpm.rowNum))),"Ready to Fix",""))</f>
        <v/>
      </c>
    </row>
    <row r="5611" spans="6:6">
      <c r="F5611" s="1" t="str" cm="1">
        <f t="array" ref="F5611">_xlfn.LET(_xlpm.rowNum,MATCH(E5611,'glossaryterms-export'!C:C,0),
IF(AND(NOT(ISBLANK(INDEX('glossaryterms-export'!H:H,_xlpm.rowNum))),ISBLANK(INDEX('glossaryterms-export'!I:I,_xlpm.rowNum))),"Ready to Fix",""))</f>
        <v/>
      </c>
    </row>
    <row r="5612" spans="6:6">
      <c r="F5612" s="1" t="str" cm="1">
        <f t="array" ref="F5612">_xlfn.LET(_xlpm.rowNum,MATCH(E5612,'glossaryterms-export'!C:C,0),
IF(AND(NOT(ISBLANK(INDEX('glossaryterms-export'!H:H,_xlpm.rowNum))),ISBLANK(INDEX('glossaryterms-export'!I:I,_xlpm.rowNum))),"Ready to Fix",""))</f>
        <v/>
      </c>
    </row>
    <row r="5613" spans="6:6">
      <c r="F5613" s="1" t="str" cm="1">
        <f t="array" ref="F5613">_xlfn.LET(_xlpm.rowNum,MATCH(E5613,'glossaryterms-export'!C:C,0),
IF(AND(NOT(ISBLANK(INDEX('glossaryterms-export'!H:H,_xlpm.rowNum))),ISBLANK(INDEX('glossaryterms-export'!I:I,_xlpm.rowNum))),"Ready to Fix",""))</f>
        <v/>
      </c>
    </row>
    <row r="5614" spans="6:6">
      <c r="F5614" s="1" t="str" cm="1">
        <f t="array" ref="F5614">_xlfn.LET(_xlpm.rowNum,MATCH(E5614,'glossaryterms-export'!C:C,0),
IF(AND(NOT(ISBLANK(INDEX('glossaryterms-export'!H:H,_xlpm.rowNum))),ISBLANK(INDEX('glossaryterms-export'!I:I,_xlpm.rowNum))),"Ready to Fix",""))</f>
        <v/>
      </c>
    </row>
    <row r="5615" spans="6:6">
      <c r="F5615" s="1" t="str" cm="1">
        <f t="array" ref="F5615">_xlfn.LET(_xlpm.rowNum,MATCH(E5615,'glossaryterms-export'!C:C,0),
IF(AND(NOT(ISBLANK(INDEX('glossaryterms-export'!H:H,_xlpm.rowNum))),ISBLANK(INDEX('glossaryterms-export'!I:I,_xlpm.rowNum))),"Ready to Fix",""))</f>
        <v/>
      </c>
    </row>
    <row r="5616" spans="6:6">
      <c r="F5616" s="1" t="str" cm="1">
        <f t="array" ref="F5616">_xlfn.LET(_xlpm.rowNum,MATCH(E5616,'glossaryterms-export'!C:C,0),
IF(AND(NOT(ISBLANK(INDEX('glossaryterms-export'!H:H,_xlpm.rowNum))),ISBLANK(INDEX('glossaryterms-export'!I:I,_xlpm.rowNum))),"Ready to Fix",""))</f>
        <v/>
      </c>
    </row>
    <row r="5617" spans="6:6">
      <c r="F5617" s="1" t="str" cm="1">
        <f t="array" ref="F5617">_xlfn.LET(_xlpm.rowNum,MATCH(E5617,'glossaryterms-export'!C:C,0),
IF(AND(NOT(ISBLANK(INDEX('glossaryterms-export'!H:H,_xlpm.rowNum))),ISBLANK(INDEX('glossaryterms-export'!I:I,_xlpm.rowNum))),"Ready to Fix",""))</f>
        <v/>
      </c>
    </row>
    <row r="5618" spans="6:6">
      <c r="F5618" s="1" t="str" cm="1">
        <f t="array" ref="F5618">_xlfn.LET(_xlpm.rowNum,MATCH(E5618,'glossaryterms-export'!C:C,0),
IF(AND(NOT(ISBLANK(INDEX('glossaryterms-export'!H:H,_xlpm.rowNum))),ISBLANK(INDEX('glossaryterms-export'!I:I,_xlpm.rowNum))),"Ready to Fix",""))</f>
        <v/>
      </c>
    </row>
    <row r="5619" spans="6:6">
      <c r="F5619" s="1" t="str" cm="1">
        <f t="array" ref="F5619">_xlfn.LET(_xlpm.rowNum,MATCH(E5619,'glossaryterms-export'!C:C,0),
IF(AND(NOT(ISBLANK(INDEX('glossaryterms-export'!H:H,_xlpm.rowNum))),ISBLANK(INDEX('glossaryterms-export'!I:I,_xlpm.rowNum))),"Ready to Fix",""))</f>
        <v/>
      </c>
    </row>
    <row r="5620" spans="6:6">
      <c r="F5620" s="1" t="str" cm="1">
        <f t="array" ref="F5620">_xlfn.LET(_xlpm.rowNum,MATCH(E5620,'glossaryterms-export'!C:C,0),
IF(AND(NOT(ISBLANK(INDEX('glossaryterms-export'!H:H,_xlpm.rowNum))),ISBLANK(INDEX('glossaryterms-export'!I:I,_xlpm.rowNum))),"Ready to Fix",""))</f>
        <v/>
      </c>
    </row>
    <row r="5621" spans="6:6">
      <c r="F5621" s="1" t="str" cm="1">
        <f t="array" ref="F5621">_xlfn.LET(_xlpm.rowNum,MATCH(E5621,'glossaryterms-export'!C:C,0),
IF(AND(NOT(ISBLANK(INDEX('glossaryterms-export'!H:H,_xlpm.rowNum))),ISBLANK(INDEX('glossaryterms-export'!I:I,_xlpm.rowNum))),"Ready to Fix",""))</f>
        <v/>
      </c>
    </row>
    <row r="5622" spans="6:6">
      <c r="F5622" s="1" t="str" cm="1">
        <f t="array" ref="F5622">_xlfn.LET(_xlpm.rowNum,MATCH(E5622,'glossaryterms-export'!C:C,0),
IF(AND(NOT(ISBLANK(INDEX('glossaryterms-export'!H:H,_xlpm.rowNum))),ISBLANK(INDEX('glossaryterms-export'!I:I,_xlpm.rowNum))),"Ready to Fix",""))</f>
        <v/>
      </c>
    </row>
    <row r="5623" spans="6:6">
      <c r="F5623" s="1" t="str" cm="1">
        <f t="array" ref="F5623">_xlfn.LET(_xlpm.rowNum,MATCH(E5623,'glossaryterms-export'!C:C,0),
IF(AND(NOT(ISBLANK(INDEX('glossaryterms-export'!H:H,_xlpm.rowNum))),ISBLANK(INDEX('glossaryterms-export'!I:I,_xlpm.rowNum))),"Ready to Fix",""))</f>
        <v/>
      </c>
    </row>
    <row r="5624" spans="6:6">
      <c r="F5624" s="1" t="str" cm="1">
        <f t="array" ref="F5624">_xlfn.LET(_xlpm.rowNum,MATCH(E5624,'glossaryterms-export'!C:C,0),
IF(AND(NOT(ISBLANK(INDEX('glossaryterms-export'!H:H,_xlpm.rowNum))),ISBLANK(INDEX('glossaryterms-export'!I:I,_xlpm.rowNum))),"Ready to Fix",""))</f>
        <v/>
      </c>
    </row>
    <row r="5625" spans="6:6">
      <c r="F5625" s="1" t="str" cm="1">
        <f t="array" ref="F5625">_xlfn.LET(_xlpm.rowNum,MATCH(E5625,'glossaryterms-export'!C:C,0),
IF(AND(NOT(ISBLANK(INDEX('glossaryterms-export'!H:H,_xlpm.rowNum))),ISBLANK(INDEX('glossaryterms-export'!I:I,_xlpm.rowNum))),"Ready to Fix",""))</f>
        <v/>
      </c>
    </row>
    <row r="5626" spans="6:6">
      <c r="F5626" s="1" t="str" cm="1">
        <f t="array" ref="F5626">_xlfn.LET(_xlpm.rowNum,MATCH(E5626,'glossaryterms-export'!C:C,0),
IF(AND(NOT(ISBLANK(INDEX('glossaryterms-export'!H:H,_xlpm.rowNum))),ISBLANK(INDEX('glossaryterms-export'!I:I,_xlpm.rowNum))),"Ready to Fix",""))</f>
        <v/>
      </c>
    </row>
    <row r="5627" spans="6:6">
      <c r="F5627" s="1" t="str" cm="1">
        <f t="array" ref="F5627">_xlfn.LET(_xlpm.rowNum,MATCH(E5627,'glossaryterms-export'!C:C,0),
IF(AND(NOT(ISBLANK(INDEX('glossaryterms-export'!H:H,_xlpm.rowNum))),ISBLANK(INDEX('glossaryterms-export'!I:I,_xlpm.rowNum))),"Ready to Fix",""))</f>
        <v/>
      </c>
    </row>
    <row r="5628" spans="6:6">
      <c r="F5628" s="1" t="str" cm="1">
        <f t="array" ref="F5628">_xlfn.LET(_xlpm.rowNum,MATCH(E5628,'glossaryterms-export'!C:C,0),
IF(AND(NOT(ISBLANK(INDEX('glossaryterms-export'!H:H,_xlpm.rowNum))),ISBLANK(INDEX('glossaryterms-export'!I:I,_xlpm.rowNum))),"Ready to Fix",""))</f>
        <v/>
      </c>
    </row>
    <row r="5629" spans="6:6">
      <c r="F5629" s="1" t="str" cm="1">
        <f t="array" ref="F5629">_xlfn.LET(_xlpm.rowNum,MATCH(E5629,'glossaryterms-export'!C:C,0),
IF(AND(NOT(ISBLANK(INDEX('glossaryterms-export'!H:H,_xlpm.rowNum))),ISBLANK(INDEX('glossaryterms-export'!I:I,_xlpm.rowNum))),"Ready to Fix",""))</f>
        <v/>
      </c>
    </row>
    <row r="5630" spans="6:6">
      <c r="F5630" s="1" t="str" cm="1">
        <f t="array" ref="F5630">_xlfn.LET(_xlpm.rowNum,MATCH(E5630,'glossaryterms-export'!C:C,0),
IF(AND(NOT(ISBLANK(INDEX('glossaryterms-export'!H:H,_xlpm.rowNum))),ISBLANK(INDEX('glossaryterms-export'!I:I,_xlpm.rowNum))),"Ready to Fix",""))</f>
        <v/>
      </c>
    </row>
    <row r="5631" spans="6:6">
      <c r="F5631" s="1" t="str" cm="1">
        <f t="array" ref="F5631">_xlfn.LET(_xlpm.rowNum,MATCH(E5631,'glossaryterms-export'!C:C,0),
IF(AND(NOT(ISBLANK(INDEX('glossaryterms-export'!H:H,_xlpm.rowNum))),ISBLANK(INDEX('glossaryterms-export'!I:I,_xlpm.rowNum))),"Ready to Fix",""))</f>
        <v/>
      </c>
    </row>
    <row r="5632" spans="6:6">
      <c r="F5632" s="1" t="str" cm="1">
        <f t="array" ref="F5632">_xlfn.LET(_xlpm.rowNum,MATCH(E5632,'glossaryterms-export'!C:C,0),
IF(AND(NOT(ISBLANK(INDEX('glossaryterms-export'!H:H,_xlpm.rowNum))),ISBLANK(INDEX('glossaryterms-export'!I:I,_xlpm.rowNum))),"Ready to Fix",""))</f>
        <v/>
      </c>
    </row>
    <row r="5633" spans="6:6">
      <c r="F5633" s="1" t="str" cm="1">
        <f t="array" ref="F5633">_xlfn.LET(_xlpm.rowNum,MATCH(E5633,'glossaryterms-export'!C:C,0),
IF(AND(NOT(ISBLANK(INDEX('glossaryterms-export'!H:H,_xlpm.rowNum))),ISBLANK(INDEX('glossaryterms-export'!I:I,_xlpm.rowNum))),"Ready to Fix",""))</f>
        <v/>
      </c>
    </row>
    <row r="5634" spans="6:6">
      <c r="F5634" s="1" t="str" cm="1">
        <f t="array" ref="F5634">_xlfn.LET(_xlpm.rowNum,MATCH(E5634,'glossaryterms-export'!C:C,0),
IF(AND(NOT(ISBLANK(INDEX('glossaryterms-export'!H:H,_xlpm.rowNum))),ISBLANK(INDEX('glossaryterms-export'!I:I,_xlpm.rowNum))),"Ready to Fix",""))</f>
        <v/>
      </c>
    </row>
    <row r="5635" spans="6:6">
      <c r="F5635" s="1" t="str" cm="1">
        <f t="array" ref="F5635">_xlfn.LET(_xlpm.rowNum,MATCH(E5635,'glossaryterms-export'!C:C,0),
IF(AND(NOT(ISBLANK(INDEX('glossaryterms-export'!H:H,_xlpm.rowNum))),ISBLANK(INDEX('glossaryterms-export'!I:I,_xlpm.rowNum))),"Ready to Fix",""))</f>
        <v/>
      </c>
    </row>
    <row r="5636" spans="6:6">
      <c r="F5636" s="1" t="str" cm="1">
        <f t="array" ref="F5636">_xlfn.LET(_xlpm.rowNum,MATCH(E5636,'glossaryterms-export'!C:C,0),
IF(AND(NOT(ISBLANK(INDEX('glossaryterms-export'!H:H,_xlpm.rowNum))),ISBLANK(INDEX('glossaryterms-export'!I:I,_xlpm.rowNum))),"Ready to Fix",""))</f>
        <v/>
      </c>
    </row>
    <row r="5637" spans="6:6">
      <c r="F5637" s="1" t="str" cm="1">
        <f t="array" ref="F5637">_xlfn.LET(_xlpm.rowNum,MATCH(E5637,'glossaryterms-export'!C:C,0),
IF(AND(NOT(ISBLANK(INDEX('glossaryterms-export'!H:H,_xlpm.rowNum))),ISBLANK(INDEX('glossaryterms-export'!I:I,_xlpm.rowNum))),"Ready to Fix",""))</f>
        <v/>
      </c>
    </row>
    <row r="5638" spans="6:6">
      <c r="F5638" s="1" t="str" cm="1">
        <f t="array" ref="F5638">_xlfn.LET(_xlpm.rowNum,MATCH(E5638,'glossaryterms-export'!C:C,0),
IF(AND(NOT(ISBLANK(INDEX('glossaryterms-export'!H:H,_xlpm.rowNum))),ISBLANK(INDEX('glossaryterms-export'!I:I,_xlpm.rowNum))),"Ready to Fix",""))</f>
        <v/>
      </c>
    </row>
    <row r="5639" spans="6:6">
      <c r="F5639" s="1" t="str" cm="1">
        <f t="array" ref="F5639">_xlfn.LET(_xlpm.rowNum,MATCH(E5639,'glossaryterms-export'!C:C,0),
IF(AND(NOT(ISBLANK(INDEX('glossaryterms-export'!H:H,_xlpm.rowNum))),ISBLANK(INDEX('glossaryterms-export'!I:I,_xlpm.rowNum))),"Ready to Fix",""))</f>
        <v/>
      </c>
    </row>
    <row r="5640" spans="6:6">
      <c r="F5640" s="1" t="str" cm="1">
        <f t="array" ref="F5640">_xlfn.LET(_xlpm.rowNum,MATCH(E5640,'glossaryterms-export'!C:C,0),
IF(AND(NOT(ISBLANK(INDEX('glossaryterms-export'!H:H,_xlpm.rowNum))),ISBLANK(INDEX('glossaryterms-export'!I:I,_xlpm.rowNum))),"Ready to Fix",""))</f>
        <v/>
      </c>
    </row>
    <row r="5641" spans="6:6">
      <c r="F5641" s="1" t="str" cm="1">
        <f t="array" ref="F5641">_xlfn.LET(_xlpm.rowNum,MATCH(E5641,'glossaryterms-export'!C:C,0),
IF(AND(NOT(ISBLANK(INDEX('glossaryterms-export'!H:H,_xlpm.rowNum))),ISBLANK(INDEX('glossaryterms-export'!I:I,_xlpm.rowNum))),"Ready to Fix",""))</f>
        <v/>
      </c>
    </row>
    <row r="5642" spans="6:6">
      <c r="F5642" s="1" t="str" cm="1">
        <f t="array" ref="F5642">_xlfn.LET(_xlpm.rowNum,MATCH(E5642,'glossaryterms-export'!C:C,0),
IF(AND(NOT(ISBLANK(INDEX('glossaryterms-export'!H:H,_xlpm.rowNum))),ISBLANK(INDEX('glossaryterms-export'!I:I,_xlpm.rowNum))),"Ready to Fix",""))</f>
        <v/>
      </c>
    </row>
    <row r="5643" spans="6:6">
      <c r="F5643" s="1" t="str" cm="1">
        <f t="array" ref="F5643">_xlfn.LET(_xlpm.rowNum,MATCH(E5643,'glossaryterms-export'!C:C,0),
IF(AND(NOT(ISBLANK(INDEX('glossaryterms-export'!H:H,_xlpm.rowNum))),ISBLANK(INDEX('glossaryterms-export'!I:I,_xlpm.rowNum))),"Ready to Fix",""))</f>
        <v/>
      </c>
    </row>
    <row r="5644" spans="6:6">
      <c r="F5644" s="1" t="str" cm="1">
        <f t="array" ref="F5644">_xlfn.LET(_xlpm.rowNum,MATCH(E5644,'glossaryterms-export'!C:C,0),
IF(AND(NOT(ISBLANK(INDEX('glossaryterms-export'!H:H,_xlpm.rowNum))),ISBLANK(INDEX('glossaryterms-export'!I:I,_xlpm.rowNum))),"Ready to Fix",""))</f>
        <v/>
      </c>
    </row>
    <row r="5645" spans="6:6">
      <c r="F5645" s="1" t="str" cm="1">
        <f t="array" ref="F5645">_xlfn.LET(_xlpm.rowNum,MATCH(E5645,'glossaryterms-export'!C:C,0),
IF(AND(NOT(ISBLANK(INDEX('glossaryterms-export'!H:H,_xlpm.rowNum))),ISBLANK(INDEX('glossaryterms-export'!I:I,_xlpm.rowNum))),"Ready to Fix",""))</f>
        <v/>
      </c>
    </row>
    <row r="5646" spans="6:6">
      <c r="F5646" s="1" t="str" cm="1">
        <f t="array" ref="F5646">_xlfn.LET(_xlpm.rowNum,MATCH(E5646,'glossaryterms-export'!C:C,0),
IF(AND(NOT(ISBLANK(INDEX('glossaryterms-export'!H:H,_xlpm.rowNum))),ISBLANK(INDEX('glossaryterms-export'!I:I,_xlpm.rowNum))),"Ready to Fix",""))</f>
        <v/>
      </c>
    </row>
    <row r="5647" spans="6:6">
      <c r="F5647" s="1" t="str" cm="1">
        <f t="array" ref="F5647">_xlfn.LET(_xlpm.rowNum,MATCH(E5647,'glossaryterms-export'!C:C,0),
IF(AND(NOT(ISBLANK(INDEX('glossaryterms-export'!H:H,_xlpm.rowNum))),ISBLANK(INDEX('glossaryterms-export'!I:I,_xlpm.rowNum))),"Ready to Fix",""))</f>
        <v/>
      </c>
    </row>
    <row r="5648" spans="6:6">
      <c r="F5648" s="1" t="str" cm="1">
        <f t="array" ref="F5648">_xlfn.LET(_xlpm.rowNum,MATCH(E5648,'glossaryterms-export'!C:C,0),
IF(AND(NOT(ISBLANK(INDEX('glossaryterms-export'!H:H,_xlpm.rowNum))),ISBLANK(INDEX('glossaryterms-export'!I:I,_xlpm.rowNum))),"Ready to Fix",""))</f>
        <v/>
      </c>
    </row>
    <row r="5649" spans="6:6">
      <c r="F5649" s="1" t="str" cm="1">
        <f t="array" ref="F5649">_xlfn.LET(_xlpm.rowNum,MATCH(E5649,'glossaryterms-export'!C:C,0),
IF(AND(NOT(ISBLANK(INDEX('glossaryterms-export'!H:H,_xlpm.rowNum))),ISBLANK(INDEX('glossaryterms-export'!I:I,_xlpm.rowNum))),"Ready to Fix",""))</f>
        <v/>
      </c>
    </row>
    <row r="5650" spans="6:6">
      <c r="F5650" s="1" t="str" cm="1">
        <f t="array" ref="F5650">_xlfn.LET(_xlpm.rowNum,MATCH(E5650,'glossaryterms-export'!C:C,0),
IF(AND(NOT(ISBLANK(INDEX('glossaryterms-export'!H:H,_xlpm.rowNum))),ISBLANK(INDEX('glossaryterms-export'!I:I,_xlpm.rowNum))),"Ready to Fix",""))</f>
        <v/>
      </c>
    </row>
    <row r="5651" spans="6:6">
      <c r="F5651" s="1" t="str" cm="1">
        <f t="array" ref="F5651">_xlfn.LET(_xlpm.rowNum,MATCH(E5651,'glossaryterms-export'!C:C,0),
IF(AND(NOT(ISBLANK(INDEX('glossaryterms-export'!H:H,_xlpm.rowNum))),ISBLANK(INDEX('glossaryterms-export'!I:I,_xlpm.rowNum))),"Ready to Fix",""))</f>
        <v/>
      </c>
    </row>
    <row r="5652" spans="6:6">
      <c r="F5652" s="1" t="str" cm="1">
        <f t="array" ref="F5652">_xlfn.LET(_xlpm.rowNum,MATCH(E5652,'glossaryterms-export'!C:C,0),
IF(AND(NOT(ISBLANK(INDEX('glossaryterms-export'!H:H,_xlpm.rowNum))),ISBLANK(INDEX('glossaryterms-export'!I:I,_xlpm.rowNum))),"Ready to Fix",""))</f>
        <v/>
      </c>
    </row>
    <row r="5653" spans="6:6">
      <c r="F5653" s="1" t="str" cm="1">
        <f t="array" ref="F5653">_xlfn.LET(_xlpm.rowNum,MATCH(E5653,'glossaryterms-export'!C:C,0),
IF(AND(NOT(ISBLANK(INDEX('glossaryterms-export'!H:H,_xlpm.rowNum))),ISBLANK(INDEX('glossaryterms-export'!I:I,_xlpm.rowNum))),"Ready to Fix",""))</f>
        <v/>
      </c>
    </row>
    <row r="5654" spans="6:6">
      <c r="F5654" s="1" t="str" cm="1">
        <f t="array" ref="F5654">_xlfn.LET(_xlpm.rowNum,MATCH(E5654,'glossaryterms-export'!C:C,0),
IF(AND(NOT(ISBLANK(INDEX('glossaryterms-export'!H:H,_xlpm.rowNum))),ISBLANK(INDEX('glossaryterms-export'!I:I,_xlpm.rowNum))),"Ready to Fix",""))</f>
        <v/>
      </c>
    </row>
    <row r="5655" spans="6:6">
      <c r="F5655" s="1" t="str" cm="1">
        <f t="array" ref="F5655">_xlfn.LET(_xlpm.rowNum,MATCH(E5655,'glossaryterms-export'!C:C,0),
IF(AND(NOT(ISBLANK(INDEX('glossaryterms-export'!H:H,_xlpm.rowNum))),ISBLANK(INDEX('glossaryterms-export'!I:I,_xlpm.rowNum))),"Ready to Fix",""))</f>
        <v/>
      </c>
    </row>
    <row r="5656" spans="6:6">
      <c r="F5656" s="1" t="str" cm="1">
        <f t="array" ref="F5656">_xlfn.LET(_xlpm.rowNum,MATCH(E5656,'glossaryterms-export'!C:C,0),
IF(AND(NOT(ISBLANK(INDEX('glossaryterms-export'!H:H,_xlpm.rowNum))),ISBLANK(INDEX('glossaryterms-export'!I:I,_xlpm.rowNum))),"Ready to Fix",""))</f>
        <v/>
      </c>
    </row>
    <row r="5657" spans="6:6">
      <c r="F5657" s="1" t="str" cm="1">
        <f t="array" ref="F5657">_xlfn.LET(_xlpm.rowNum,MATCH(E5657,'glossaryterms-export'!C:C,0),
IF(AND(NOT(ISBLANK(INDEX('glossaryterms-export'!H:H,_xlpm.rowNum))),ISBLANK(INDEX('glossaryterms-export'!I:I,_xlpm.rowNum))),"Ready to Fix",""))</f>
        <v/>
      </c>
    </row>
    <row r="5658" spans="6:6">
      <c r="F5658" s="1" t="str" cm="1">
        <f t="array" ref="F5658">_xlfn.LET(_xlpm.rowNum,MATCH(E5658,'glossaryterms-export'!C:C,0),
IF(AND(NOT(ISBLANK(INDEX('glossaryterms-export'!H:H,_xlpm.rowNum))),ISBLANK(INDEX('glossaryterms-export'!I:I,_xlpm.rowNum))),"Ready to Fix",""))</f>
        <v/>
      </c>
    </row>
    <row r="5659" spans="6:6">
      <c r="F5659" s="1" t="str" cm="1">
        <f t="array" ref="F5659">_xlfn.LET(_xlpm.rowNum,MATCH(E5659,'glossaryterms-export'!C:C,0),
IF(AND(NOT(ISBLANK(INDEX('glossaryterms-export'!H:H,_xlpm.rowNum))),ISBLANK(INDEX('glossaryterms-export'!I:I,_xlpm.rowNum))),"Ready to Fix",""))</f>
        <v/>
      </c>
    </row>
    <row r="5660" spans="6:6">
      <c r="F5660" s="1" t="str" cm="1">
        <f t="array" ref="F5660">_xlfn.LET(_xlpm.rowNum,MATCH(E5660,'glossaryterms-export'!C:C,0),
IF(AND(NOT(ISBLANK(INDEX('glossaryterms-export'!H:H,_xlpm.rowNum))),ISBLANK(INDEX('glossaryterms-export'!I:I,_xlpm.rowNum))),"Ready to Fix",""))</f>
        <v/>
      </c>
    </row>
    <row r="5661" spans="6:6">
      <c r="F5661" s="1" t="str" cm="1">
        <f t="array" ref="F5661">_xlfn.LET(_xlpm.rowNum,MATCH(E5661,'glossaryterms-export'!C:C,0),
IF(AND(NOT(ISBLANK(INDEX('glossaryterms-export'!H:H,_xlpm.rowNum))),ISBLANK(INDEX('glossaryterms-export'!I:I,_xlpm.rowNum))),"Ready to Fix",""))</f>
        <v/>
      </c>
    </row>
    <row r="5662" spans="6:6">
      <c r="F5662" s="1" t="str" cm="1">
        <f t="array" ref="F5662">_xlfn.LET(_xlpm.rowNum,MATCH(E5662,'glossaryterms-export'!C:C,0),
IF(AND(NOT(ISBLANK(INDEX('glossaryterms-export'!H:H,_xlpm.rowNum))),ISBLANK(INDEX('glossaryterms-export'!I:I,_xlpm.rowNum))),"Ready to Fix",""))</f>
        <v/>
      </c>
    </row>
    <row r="5663" spans="6:6">
      <c r="F5663" s="1" t="str" cm="1">
        <f t="array" ref="F5663">_xlfn.LET(_xlpm.rowNum,MATCH(E5663,'glossaryterms-export'!C:C,0),
IF(AND(NOT(ISBLANK(INDEX('glossaryterms-export'!H:H,_xlpm.rowNum))),ISBLANK(INDEX('glossaryterms-export'!I:I,_xlpm.rowNum))),"Ready to Fix",""))</f>
        <v/>
      </c>
    </row>
    <row r="5664" spans="6:6">
      <c r="F5664" s="1" t="str" cm="1">
        <f t="array" ref="F5664">_xlfn.LET(_xlpm.rowNum,MATCH(E5664,'glossaryterms-export'!C:C,0),
IF(AND(NOT(ISBLANK(INDEX('glossaryterms-export'!H:H,_xlpm.rowNum))),ISBLANK(INDEX('glossaryterms-export'!I:I,_xlpm.rowNum))),"Ready to Fix",""))</f>
        <v/>
      </c>
    </row>
    <row r="5665" spans="6:6">
      <c r="F5665" s="1" t="str" cm="1">
        <f t="array" ref="F5665">_xlfn.LET(_xlpm.rowNum,MATCH(E5665,'glossaryterms-export'!C:C,0),
IF(AND(NOT(ISBLANK(INDEX('glossaryterms-export'!H:H,_xlpm.rowNum))),ISBLANK(INDEX('glossaryterms-export'!I:I,_xlpm.rowNum))),"Ready to Fix",""))</f>
        <v/>
      </c>
    </row>
    <row r="5666" spans="6:6">
      <c r="F5666" s="1" t="str" cm="1">
        <f t="array" ref="F5666">_xlfn.LET(_xlpm.rowNum,MATCH(E5666,'glossaryterms-export'!C:C,0),
IF(AND(NOT(ISBLANK(INDEX('glossaryterms-export'!H:H,_xlpm.rowNum))),ISBLANK(INDEX('glossaryterms-export'!I:I,_xlpm.rowNum))),"Ready to Fix",""))</f>
        <v/>
      </c>
    </row>
    <row r="5667" spans="6:6">
      <c r="F5667" s="1" t="str" cm="1">
        <f t="array" ref="F5667">_xlfn.LET(_xlpm.rowNum,MATCH(E5667,'glossaryterms-export'!C:C,0),
IF(AND(NOT(ISBLANK(INDEX('glossaryterms-export'!H:H,_xlpm.rowNum))),ISBLANK(INDEX('glossaryterms-export'!I:I,_xlpm.rowNum))),"Ready to Fix",""))</f>
        <v/>
      </c>
    </row>
    <row r="5668" spans="6:6">
      <c r="F5668" s="1" t="str" cm="1">
        <f t="array" ref="F5668">_xlfn.LET(_xlpm.rowNum,MATCH(E5668,'glossaryterms-export'!C:C,0),
IF(AND(NOT(ISBLANK(INDEX('glossaryterms-export'!H:H,_xlpm.rowNum))),ISBLANK(INDEX('glossaryterms-export'!I:I,_xlpm.rowNum))),"Ready to Fix",""))</f>
        <v/>
      </c>
    </row>
    <row r="5669" spans="6:6">
      <c r="F5669" s="1" t="str" cm="1">
        <f t="array" ref="F5669">_xlfn.LET(_xlpm.rowNum,MATCH(E5669,'glossaryterms-export'!C:C,0),
IF(AND(NOT(ISBLANK(INDEX('glossaryterms-export'!H:H,_xlpm.rowNum))),ISBLANK(INDEX('glossaryterms-export'!I:I,_xlpm.rowNum))),"Ready to Fix",""))</f>
        <v/>
      </c>
    </row>
    <row r="5670" spans="6:6">
      <c r="F5670" s="1" t="str" cm="1">
        <f t="array" ref="F5670">_xlfn.LET(_xlpm.rowNum,MATCH(E5670,'glossaryterms-export'!C:C,0),
IF(AND(NOT(ISBLANK(INDEX('glossaryterms-export'!H:H,_xlpm.rowNum))),ISBLANK(INDEX('glossaryterms-export'!I:I,_xlpm.rowNum))),"Ready to Fix",""))</f>
        <v/>
      </c>
    </row>
    <row r="5671" spans="6:6">
      <c r="F5671" s="1" t="str" cm="1">
        <f t="array" ref="F5671">_xlfn.LET(_xlpm.rowNum,MATCH(E5671,'glossaryterms-export'!C:C,0),
IF(AND(NOT(ISBLANK(INDEX('glossaryterms-export'!H:H,_xlpm.rowNum))),ISBLANK(INDEX('glossaryterms-export'!I:I,_xlpm.rowNum))),"Ready to Fix",""))</f>
        <v/>
      </c>
    </row>
    <row r="5672" spans="6:6">
      <c r="F5672" s="1" t="str" cm="1">
        <f t="array" ref="F5672">_xlfn.LET(_xlpm.rowNum,MATCH(E5672,'glossaryterms-export'!C:C,0),
IF(AND(NOT(ISBLANK(INDEX('glossaryterms-export'!H:H,_xlpm.rowNum))),ISBLANK(INDEX('glossaryterms-export'!I:I,_xlpm.rowNum))),"Ready to Fix",""))</f>
        <v/>
      </c>
    </row>
    <row r="5673" spans="6:6">
      <c r="F5673" s="1" t="str" cm="1">
        <f t="array" ref="F5673">_xlfn.LET(_xlpm.rowNum,MATCH(E5673,'glossaryterms-export'!C:C,0),
IF(AND(NOT(ISBLANK(INDEX('glossaryterms-export'!H:H,_xlpm.rowNum))),ISBLANK(INDEX('glossaryterms-export'!I:I,_xlpm.rowNum))),"Ready to Fix",""))</f>
        <v/>
      </c>
    </row>
    <row r="5674" spans="6:6">
      <c r="F5674" s="1" t="str" cm="1">
        <f t="array" ref="F5674">_xlfn.LET(_xlpm.rowNum,MATCH(E5674,'glossaryterms-export'!C:C,0),
IF(AND(NOT(ISBLANK(INDEX('glossaryterms-export'!H:H,_xlpm.rowNum))),ISBLANK(INDEX('glossaryterms-export'!I:I,_xlpm.rowNum))),"Ready to Fix",""))</f>
        <v/>
      </c>
    </row>
    <row r="5675" spans="6:6">
      <c r="F5675" s="1" t="str" cm="1">
        <f t="array" ref="F5675">_xlfn.LET(_xlpm.rowNum,MATCH(E5675,'glossaryterms-export'!C:C,0),
IF(AND(NOT(ISBLANK(INDEX('glossaryterms-export'!H:H,_xlpm.rowNum))),ISBLANK(INDEX('glossaryterms-export'!I:I,_xlpm.rowNum))),"Ready to Fix",""))</f>
        <v/>
      </c>
    </row>
    <row r="5676" spans="6:6">
      <c r="F5676" s="1" t="str" cm="1">
        <f t="array" ref="F5676">_xlfn.LET(_xlpm.rowNum,MATCH(E5676,'glossaryterms-export'!C:C,0),
IF(AND(NOT(ISBLANK(INDEX('glossaryterms-export'!H:H,_xlpm.rowNum))),ISBLANK(INDEX('glossaryterms-export'!I:I,_xlpm.rowNum))),"Ready to Fix",""))</f>
        <v/>
      </c>
    </row>
    <row r="5677" spans="6:6">
      <c r="F5677" s="1" t="str" cm="1">
        <f t="array" ref="F5677">_xlfn.LET(_xlpm.rowNum,MATCH(E5677,'glossaryterms-export'!C:C,0),
IF(AND(NOT(ISBLANK(INDEX('glossaryterms-export'!H:H,_xlpm.rowNum))),ISBLANK(INDEX('glossaryterms-export'!I:I,_xlpm.rowNum))),"Ready to Fix",""))</f>
        <v/>
      </c>
    </row>
    <row r="5678" spans="6:6">
      <c r="F5678" s="1" t="str" cm="1">
        <f t="array" ref="F5678">_xlfn.LET(_xlpm.rowNum,MATCH(E5678,'glossaryterms-export'!C:C,0),
IF(AND(NOT(ISBLANK(INDEX('glossaryterms-export'!H:H,_xlpm.rowNum))),ISBLANK(INDEX('glossaryterms-export'!I:I,_xlpm.rowNum))),"Ready to Fix",""))</f>
        <v/>
      </c>
    </row>
    <row r="5679" spans="6:6">
      <c r="F5679" s="1" t="str" cm="1">
        <f t="array" ref="F5679">_xlfn.LET(_xlpm.rowNum,MATCH(E5679,'glossaryterms-export'!C:C,0),
IF(AND(NOT(ISBLANK(INDEX('glossaryterms-export'!H:H,_xlpm.rowNum))),ISBLANK(INDEX('glossaryterms-export'!I:I,_xlpm.rowNum))),"Ready to Fix",""))</f>
        <v/>
      </c>
    </row>
    <row r="5680" spans="6:6">
      <c r="F5680" s="1" t="str" cm="1">
        <f t="array" ref="F5680">_xlfn.LET(_xlpm.rowNum,MATCH(E5680,'glossaryterms-export'!C:C,0),
IF(AND(NOT(ISBLANK(INDEX('glossaryterms-export'!H:H,_xlpm.rowNum))),ISBLANK(INDEX('glossaryterms-export'!I:I,_xlpm.rowNum))),"Ready to Fix",""))</f>
        <v/>
      </c>
    </row>
    <row r="5681" spans="6:6">
      <c r="F5681" s="1" t="str" cm="1">
        <f t="array" ref="F5681">_xlfn.LET(_xlpm.rowNum,MATCH(E5681,'glossaryterms-export'!C:C,0),
IF(AND(NOT(ISBLANK(INDEX('glossaryterms-export'!H:H,_xlpm.rowNum))),ISBLANK(INDEX('glossaryterms-export'!I:I,_xlpm.rowNum))),"Ready to Fix",""))</f>
        <v/>
      </c>
    </row>
    <row r="5682" spans="6:6">
      <c r="F5682" s="1" t="str" cm="1">
        <f t="array" ref="F5682">_xlfn.LET(_xlpm.rowNum,MATCH(E5682,'glossaryterms-export'!C:C,0),
IF(AND(NOT(ISBLANK(INDEX('glossaryterms-export'!H:H,_xlpm.rowNum))),ISBLANK(INDEX('glossaryterms-export'!I:I,_xlpm.rowNum))),"Ready to Fix",""))</f>
        <v/>
      </c>
    </row>
    <row r="5683" spans="6:6">
      <c r="F5683" s="1" t="str" cm="1">
        <f t="array" ref="F5683">_xlfn.LET(_xlpm.rowNum,MATCH(E5683,'glossaryterms-export'!C:C,0),
IF(AND(NOT(ISBLANK(INDEX('glossaryterms-export'!H:H,_xlpm.rowNum))),ISBLANK(INDEX('glossaryterms-export'!I:I,_xlpm.rowNum))),"Ready to Fix",""))</f>
        <v/>
      </c>
    </row>
    <row r="5684" spans="6:6">
      <c r="F5684" s="1" t="str" cm="1">
        <f t="array" ref="F5684">_xlfn.LET(_xlpm.rowNum,MATCH(E5684,'glossaryterms-export'!C:C,0),
IF(AND(NOT(ISBLANK(INDEX('glossaryterms-export'!H:H,_xlpm.rowNum))),ISBLANK(INDEX('glossaryterms-export'!I:I,_xlpm.rowNum))),"Ready to Fix",""))</f>
        <v/>
      </c>
    </row>
    <row r="5685" spans="6:6">
      <c r="F5685" s="1" t="str" cm="1">
        <f t="array" ref="F5685">_xlfn.LET(_xlpm.rowNum,MATCH(E5685,'glossaryterms-export'!C:C,0),
IF(AND(NOT(ISBLANK(INDEX('glossaryterms-export'!H:H,_xlpm.rowNum))),ISBLANK(INDEX('glossaryterms-export'!I:I,_xlpm.rowNum))),"Ready to Fix",""))</f>
        <v/>
      </c>
    </row>
    <row r="5686" spans="6:6">
      <c r="F5686" s="1" t="str" cm="1">
        <f t="array" ref="F5686">_xlfn.LET(_xlpm.rowNum,MATCH(E5686,'glossaryterms-export'!C:C,0),
IF(AND(NOT(ISBLANK(INDEX('glossaryterms-export'!H:H,_xlpm.rowNum))),ISBLANK(INDEX('glossaryterms-export'!I:I,_xlpm.rowNum))),"Ready to Fix",""))</f>
        <v/>
      </c>
    </row>
    <row r="5687" spans="6:6">
      <c r="F5687" s="1" t="str" cm="1">
        <f t="array" ref="F5687">_xlfn.LET(_xlpm.rowNum,MATCH(E5687,'glossaryterms-export'!C:C,0),
IF(AND(NOT(ISBLANK(INDEX('glossaryterms-export'!H:H,_xlpm.rowNum))),ISBLANK(INDEX('glossaryterms-export'!I:I,_xlpm.rowNum))),"Ready to Fix",""))</f>
        <v/>
      </c>
    </row>
    <row r="5688" spans="6:6">
      <c r="F5688" s="1" t="str" cm="1">
        <f t="array" ref="F5688">_xlfn.LET(_xlpm.rowNum,MATCH(E5688,'glossaryterms-export'!C:C,0),
IF(AND(NOT(ISBLANK(INDEX('glossaryterms-export'!H:H,_xlpm.rowNum))),ISBLANK(INDEX('glossaryterms-export'!I:I,_xlpm.rowNum))),"Ready to Fix",""))</f>
        <v/>
      </c>
    </row>
    <row r="5689" spans="6:6">
      <c r="F5689" s="1" t="str" cm="1">
        <f t="array" ref="F5689">_xlfn.LET(_xlpm.rowNum,MATCH(E5689,'glossaryterms-export'!C:C,0),
IF(AND(NOT(ISBLANK(INDEX('glossaryterms-export'!H:H,_xlpm.rowNum))),ISBLANK(INDEX('glossaryterms-export'!I:I,_xlpm.rowNum))),"Ready to Fix",""))</f>
        <v/>
      </c>
    </row>
    <row r="5690" spans="6:6">
      <c r="F5690" s="1" t="str" cm="1">
        <f t="array" ref="F5690">_xlfn.LET(_xlpm.rowNum,MATCH(E5690,'glossaryterms-export'!C:C,0),
IF(AND(NOT(ISBLANK(INDEX('glossaryterms-export'!H:H,_xlpm.rowNum))),ISBLANK(INDEX('glossaryterms-export'!I:I,_xlpm.rowNum))),"Ready to Fix",""))</f>
        <v/>
      </c>
    </row>
    <row r="5691" spans="6:6">
      <c r="F5691" s="1" t="str" cm="1">
        <f t="array" ref="F5691">_xlfn.LET(_xlpm.rowNum,MATCH(E5691,'glossaryterms-export'!C:C,0),
IF(AND(NOT(ISBLANK(INDEX('glossaryterms-export'!H:H,_xlpm.rowNum))),ISBLANK(INDEX('glossaryterms-export'!I:I,_xlpm.rowNum))),"Ready to Fix",""))</f>
        <v/>
      </c>
    </row>
    <row r="5692" spans="6:6">
      <c r="F5692" s="1" t="str" cm="1">
        <f t="array" ref="F5692">_xlfn.LET(_xlpm.rowNum,MATCH(E5692,'glossaryterms-export'!C:C,0),
IF(AND(NOT(ISBLANK(INDEX('glossaryterms-export'!H:H,_xlpm.rowNum))),ISBLANK(INDEX('glossaryterms-export'!I:I,_xlpm.rowNum))),"Ready to Fix",""))</f>
        <v/>
      </c>
    </row>
    <row r="5693" spans="6:6">
      <c r="F5693" s="1" t="str" cm="1">
        <f t="array" ref="F5693">_xlfn.LET(_xlpm.rowNum,MATCH(E5693,'glossaryterms-export'!C:C,0),
IF(AND(NOT(ISBLANK(INDEX('glossaryterms-export'!H:H,_xlpm.rowNum))),ISBLANK(INDEX('glossaryterms-export'!I:I,_xlpm.rowNum))),"Ready to Fix",""))</f>
        <v/>
      </c>
    </row>
    <row r="5694" spans="6:6">
      <c r="F5694" s="1" t="str" cm="1">
        <f t="array" ref="F5694">_xlfn.LET(_xlpm.rowNum,MATCH(E5694,'glossaryterms-export'!C:C,0),
IF(AND(NOT(ISBLANK(INDEX('glossaryterms-export'!H:H,_xlpm.rowNum))),ISBLANK(INDEX('glossaryterms-export'!I:I,_xlpm.rowNum))),"Ready to Fix",""))</f>
        <v/>
      </c>
    </row>
    <row r="5695" spans="6:6">
      <c r="F5695" s="1" t="str" cm="1">
        <f t="array" ref="F5695">_xlfn.LET(_xlpm.rowNum,MATCH(E5695,'glossaryterms-export'!C:C,0),
IF(AND(NOT(ISBLANK(INDEX('glossaryterms-export'!H:H,_xlpm.rowNum))),ISBLANK(INDEX('glossaryterms-export'!I:I,_xlpm.rowNum))),"Ready to Fix",""))</f>
        <v/>
      </c>
    </row>
    <row r="5696" spans="6:6">
      <c r="F5696" s="1" t="str" cm="1">
        <f t="array" ref="F5696">_xlfn.LET(_xlpm.rowNum,MATCH(E5696,'glossaryterms-export'!C:C,0),
IF(AND(NOT(ISBLANK(INDEX('glossaryterms-export'!H:H,_xlpm.rowNum))),ISBLANK(INDEX('glossaryterms-export'!I:I,_xlpm.rowNum))),"Ready to Fix",""))</f>
        <v/>
      </c>
    </row>
    <row r="5697" spans="6:6">
      <c r="F5697" s="1" t="str" cm="1">
        <f t="array" ref="F5697">_xlfn.LET(_xlpm.rowNum,MATCH(E5697,'glossaryterms-export'!C:C,0),
IF(AND(NOT(ISBLANK(INDEX('glossaryterms-export'!H:H,_xlpm.rowNum))),ISBLANK(INDEX('glossaryterms-export'!I:I,_xlpm.rowNum))),"Ready to Fix",""))</f>
        <v/>
      </c>
    </row>
    <row r="5698" spans="6:6">
      <c r="F5698" s="1" t="str" cm="1">
        <f t="array" ref="F5698">_xlfn.LET(_xlpm.rowNum,MATCH(E5698,'glossaryterms-export'!C:C,0),
IF(AND(NOT(ISBLANK(INDEX('glossaryterms-export'!H:H,_xlpm.rowNum))),ISBLANK(INDEX('glossaryterms-export'!I:I,_xlpm.rowNum))),"Ready to Fix",""))</f>
        <v/>
      </c>
    </row>
    <row r="5699" spans="6:6">
      <c r="F5699" s="1" t="str" cm="1">
        <f t="array" ref="F5699">_xlfn.LET(_xlpm.rowNum,MATCH(E5699,'glossaryterms-export'!C:C,0),
IF(AND(NOT(ISBLANK(INDEX('glossaryterms-export'!H:H,_xlpm.rowNum))),ISBLANK(INDEX('glossaryterms-export'!I:I,_xlpm.rowNum))),"Ready to Fix",""))</f>
        <v/>
      </c>
    </row>
    <row r="5700" spans="6:6">
      <c r="F5700" s="1" t="str" cm="1">
        <f t="array" ref="F5700">_xlfn.LET(_xlpm.rowNum,MATCH(E5700,'glossaryterms-export'!C:C,0),
IF(AND(NOT(ISBLANK(INDEX('glossaryterms-export'!H:H,_xlpm.rowNum))),ISBLANK(INDEX('glossaryterms-export'!I:I,_xlpm.rowNum))),"Ready to Fix",""))</f>
        <v/>
      </c>
    </row>
    <row r="5701" spans="6:6">
      <c r="F5701" s="1" t="str" cm="1">
        <f t="array" ref="F5701">_xlfn.LET(_xlpm.rowNum,MATCH(E5701,'glossaryterms-export'!C:C,0),
IF(AND(NOT(ISBLANK(INDEX('glossaryterms-export'!H:H,_xlpm.rowNum))),ISBLANK(INDEX('glossaryterms-export'!I:I,_xlpm.rowNum))),"Ready to Fix",""))</f>
        <v/>
      </c>
    </row>
    <row r="5702" spans="6:6">
      <c r="F5702" s="1" t="str" cm="1">
        <f t="array" ref="F5702">_xlfn.LET(_xlpm.rowNum,MATCH(E5702,'glossaryterms-export'!C:C,0),
IF(AND(NOT(ISBLANK(INDEX('glossaryterms-export'!H:H,_xlpm.rowNum))),ISBLANK(INDEX('glossaryterms-export'!I:I,_xlpm.rowNum))),"Ready to Fix",""))</f>
        <v/>
      </c>
    </row>
    <row r="5703" spans="6:6">
      <c r="F5703" s="1" t="str" cm="1">
        <f t="array" ref="F5703">_xlfn.LET(_xlpm.rowNum,MATCH(E5703,'glossaryterms-export'!C:C,0),
IF(AND(NOT(ISBLANK(INDEX('glossaryterms-export'!H:H,_xlpm.rowNum))),ISBLANK(INDEX('glossaryterms-export'!I:I,_xlpm.rowNum))),"Ready to Fix",""))</f>
        <v/>
      </c>
    </row>
    <row r="5704" spans="6:6">
      <c r="F5704" s="1" t="str" cm="1">
        <f t="array" ref="F5704">_xlfn.LET(_xlpm.rowNum,MATCH(E5704,'glossaryterms-export'!C:C,0),
IF(AND(NOT(ISBLANK(INDEX('glossaryterms-export'!H:H,_xlpm.rowNum))),ISBLANK(INDEX('glossaryterms-export'!I:I,_xlpm.rowNum))),"Ready to Fix",""))</f>
        <v/>
      </c>
    </row>
    <row r="5705" spans="6:6">
      <c r="F5705" s="1" t="str" cm="1">
        <f t="array" ref="F5705">_xlfn.LET(_xlpm.rowNum,MATCH(E5705,'glossaryterms-export'!C:C,0),
IF(AND(NOT(ISBLANK(INDEX('glossaryterms-export'!H:H,_xlpm.rowNum))),ISBLANK(INDEX('glossaryterms-export'!I:I,_xlpm.rowNum))),"Ready to Fix",""))</f>
        <v/>
      </c>
    </row>
    <row r="5706" spans="6:6">
      <c r="F5706" s="1" t="str" cm="1">
        <f t="array" ref="F5706">_xlfn.LET(_xlpm.rowNum,MATCH(E5706,'glossaryterms-export'!C:C,0),
IF(AND(NOT(ISBLANK(INDEX('glossaryterms-export'!H:H,_xlpm.rowNum))),ISBLANK(INDEX('glossaryterms-export'!I:I,_xlpm.rowNum))),"Ready to Fix",""))</f>
        <v/>
      </c>
    </row>
    <row r="5707" spans="6:6">
      <c r="F5707" s="1" t="str" cm="1">
        <f t="array" ref="F5707">_xlfn.LET(_xlpm.rowNum,MATCH(E5707,'glossaryterms-export'!C:C,0),
IF(AND(NOT(ISBLANK(INDEX('glossaryterms-export'!H:H,_xlpm.rowNum))),ISBLANK(INDEX('glossaryterms-export'!I:I,_xlpm.rowNum))),"Ready to Fix",""))</f>
        <v/>
      </c>
    </row>
    <row r="5708" spans="6:6">
      <c r="F5708" s="1" t="str" cm="1">
        <f t="array" ref="F5708">_xlfn.LET(_xlpm.rowNum,MATCH(E5708,'glossaryterms-export'!C:C,0),
IF(AND(NOT(ISBLANK(INDEX('glossaryterms-export'!H:H,_xlpm.rowNum))),ISBLANK(INDEX('glossaryterms-export'!I:I,_xlpm.rowNum))),"Ready to Fix",""))</f>
        <v/>
      </c>
    </row>
    <row r="5709" spans="6:6">
      <c r="F5709" s="1" t="str" cm="1">
        <f t="array" ref="F5709">_xlfn.LET(_xlpm.rowNum,MATCH(E5709,'glossaryterms-export'!C:C,0),
IF(AND(NOT(ISBLANK(INDEX('glossaryterms-export'!H:H,_xlpm.rowNum))),ISBLANK(INDEX('glossaryterms-export'!I:I,_xlpm.rowNum))),"Ready to Fix",""))</f>
        <v/>
      </c>
    </row>
    <row r="5710" spans="6:6">
      <c r="F5710" s="1" t="str" cm="1">
        <f t="array" ref="F5710">_xlfn.LET(_xlpm.rowNum,MATCH(E5710,'glossaryterms-export'!C:C,0),
IF(AND(NOT(ISBLANK(INDEX('glossaryterms-export'!H:H,_xlpm.rowNum))),ISBLANK(INDEX('glossaryterms-export'!I:I,_xlpm.rowNum))),"Ready to Fix",""))</f>
        <v/>
      </c>
    </row>
    <row r="5711" spans="6:6">
      <c r="F5711" s="1" t="str" cm="1">
        <f t="array" ref="F5711">_xlfn.LET(_xlpm.rowNum,MATCH(E5711,'glossaryterms-export'!C:C,0),
IF(AND(NOT(ISBLANK(INDEX('glossaryterms-export'!H:H,_xlpm.rowNum))),ISBLANK(INDEX('glossaryterms-export'!I:I,_xlpm.rowNum))),"Ready to Fix",""))</f>
        <v/>
      </c>
    </row>
    <row r="5712" spans="6:6">
      <c r="F5712" s="1" t="str" cm="1">
        <f t="array" ref="F5712">_xlfn.LET(_xlpm.rowNum,MATCH(E5712,'glossaryterms-export'!C:C,0),
IF(AND(NOT(ISBLANK(INDEX('glossaryterms-export'!H:H,_xlpm.rowNum))),ISBLANK(INDEX('glossaryterms-export'!I:I,_xlpm.rowNum))),"Ready to Fix",""))</f>
        <v/>
      </c>
    </row>
    <row r="5713" spans="6:6">
      <c r="F5713" s="1" t="str" cm="1">
        <f t="array" ref="F5713">_xlfn.LET(_xlpm.rowNum,MATCH(E5713,'glossaryterms-export'!C:C,0),
IF(AND(NOT(ISBLANK(INDEX('glossaryterms-export'!H:H,_xlpm.rowNum))),ISBLANK(INDEX('glossaryterms-export'!I:I,_xlpm.rowNum))),"Ready to Fix",""))</f>
        <v/>
      </c>
    </row>
    <row r="5714" spans="6:6">
      <c r="F5714" s="1" t="str" cm="1">
        <f t="array" ref="F5714">_xlfn.LET(_xlpm.rowNum,MATCH(E5714,'glossaryterms-export'!C:C,0),
IF(AND(NOT(ISBLANK(INDEX('glossaryterms-export'!H:H,_xlpm.rowNum))),ISBLANK(INDEX('glossaryterms-export'!I:I,_xlpm.rowNum))),"Ready to Fix",""))</f>
        <v/>
      </c>
    </row>
    <row r="5715" spans="6:6">
      <c r="F5715" s="1" t="str" cm="1">
        <f t="array" ref="F5715">_xlfn.LET(_xlpm.rowNum,MATCH(E5715,'glossaryterms-export'!C:C,0),
IF(AND(NOT(ISBLANK(INDEX('glossaryterms-export'!H:H,_xlpm.rowNum))),ISBLANK(INDEX('glossaryterms-export'!I:I,_xlpm.rowNum))),"Ready to Fix",""))</f>
        <v/>
      </c>
    </row>
    <row r="5716" spans="6:6">
      <c r="F5716" s="1" t="str" cm="1">
        <f t="array" ref="F5716">_xlfn.LET(_xlpm.rowNum,MATCH(E5716,'glossaryterms-export'!C:C,0),
IF(AND(NOT(ISBLANK(INDEX('glossaryterms-export'!H:H,_xlpm.rowNum))),ISBLANK(INDEX('glossaryterms-export'!I:I,_xlpm.rowNum))),"Ready to Fix",""))</f>
        <v/>
      </c>
    </row>
    <row r="5717" spans="6:6">
      <c r="F5717" s="1" t="str" cm="1">
        <f t="array" ref="F5717">_xlfn.LET(_xlpm.rowNum,MATCH(E5717,'glossaryterms-export'!C:C,0),
IF(AND(NOT(ISBLANK(INDEX('glossaryterms-export'!H:H,_xlpm.rowNum))),ISBLANK(INDEX('glossaryterms-export'!I:I,_xlpm.rowNum))),"Ready to Fix",""))</f>
        <v/>
      </c>
    </row>
    <row r="5718" spans="6:6">
      <c r="F5718" s="1" t="str" cm="1">
        <f t="array" ref="F5718">_xlfn.LET(_xlpm.rowNum,MATCH(E5718,'glossaryterms-export'!C:C,0),
IF(AND(NOT(ISBLANK(INDEX('glossaryterms-export'!H:H,_xlpm.rowNum))),ISBLANK(INDEX('glossaryterms-export'!I:I,_xlpm.rowNum))),"Ready to Fix",""))</f>
        <v/>
      </c>
    </row>
    <row r="5719" spans="6:6">
      <c r="F5719" s="1" t="str" cm="1">
        <f t="array" ref="F5719">_xlfn.LET(_xlpm.rowNum,MATCH(E5719,'glossaryterms-export'!C:C,0),
IF(AND(NOT(ISBLANK(INDEX('glossaryterms-export'!H:H,_xlpm.rowNum))),ISBLANK(INDEX('glossaryterms-export'!I:I,_xlpm.rowNum))),"Ready to Fix",""))</f>
        <v/>
      </c>
    </row>
    <row r="5720" spans="6:6">
      <c r="F5720" s="1" t="str" cm="1">
        <f t="array" ref="F5720">_xlfn.LET(_xlpm.rowNum,MATCH(E5720,'glossaryterms-export'!C:C,0),
IF(AND(NOT(ISBLANK(INDEX('glossaryterms-export'!H:H,_xlpm.rowNum))),ISBLANK(INDEX('glossaryterms-export'!I:I,_xlpm.rowNum))),"Ready to Fix",""))</f>
        <v/>
      </c>
    </row>
    <row r="5721" spans="6:6">
      <c r="F5721" s="1" t="str" cm="1">
        <f t="array" ref="F5721">_xlfn.LET(_xlpm.rowNum,MATCH(E5721,'glossaryterms-export'!C:C,0),
IF(AND(NOT(ISBLANK(INDEX('glossaryterms-export'!H:H,_xlpm.rowNum))),ISBLANK(INDEX('glossaryterms-export'!I:I,_xlpm.rowNum))),"Ready to Fix",""))</f>
        <v/>
      </c>
    </row>
    <row r="5722" spans="6:6">
      <c r="F5722" s="1" t="str" cm="1">
        <f t="array" ref="F5722">_xlfn.LET(_xlpm.rowNum,MATCH(E5722,'glossaryterms-export'!C:C,0),
IF(AND(NOT(ISBLANK(INDEX('glossaryterms-export'!H:H,_xlpm.rowNum))),ISBLANK(INDEX('glossaryterms-export'!I:I,_xlpm.rowNum))),"Ready to Fix",""))</f>
        <v/>
      </c>
    </row>
    <row r="5723" spans="6:6">
      <c r="F5723" s="1" t="str" cm="1">
        <f t="array" ref="F5723">_xlfn.LET(_xlpm.rowNum,MATCH(E5723,'glossaryterms-export'!C:C,0),
IF(AND(NOT(ISBLANK(INDEX('glossaryterms-export'!H:H,_xlpm.rowNum))),ISBLANK(INDEX('glossaryterms-export'!I:I,_xlpm.rowNum))),"Ready to Fix",""))</f>
        <v/>
      </c>
    </row>
    <row r="5724" spans="6:6">
      <c r="F5724" s="1" t="str" cm="1">
        <f t="array" ref="F5724">_xlfn.LET(_xlpm.rowNum,MATCH(E5724,'glossaryterms-export'!C:C,0),
IF(AND(NOT(ISBLANK(INDEX('glossaryterms-export'!H:H,_xlpm.rowNum))),ISBLANK(INDEX('glossaryterms-export'!I:I,_xlpm.rowNum))),"Ready to Fix",""))</f>
        <v/>
      </c>
    </row>
    <row r="5725" spans="6:6">
      <c r="F5725" s="1" t="str" cm="1">
        <f t="array" ref="F5725">_xlfn.LET(_xlpm.rowNum,MATCH(E5725,'glossaryterms-export'!C:C,0),
IF(AND(NOT(ISBLANK(INDEX('glossaryterms-export'!H:H,_xlpm.rowNum))),ISBLANK(INDEX('glossaryterms-export'!I:I,_xlpm.rowNum))),"Ready to Fix",""))</f>
        <v/>
      </c>
    </row>
    <row r="5726" spans="6:6">
      <c r="F5726" s="1" t="str" cm="1">
        <f t="array" ref="F5726">_xlfn.LET(_xlpm.rowNum,MATCH(E5726,'glossaryterms-export'!C:C,0),
IF(AND(NOT(ISBLANK(INDEX('glossaryterms-export'!H:H,_xlpm.rowNum))),ISBLANK(INDEX('glossaryterms-export'!I:I,_xlpm.rowNum))),"Ready to Fix",""))</f>
        <v/>
      </c>
    </row>
    <row r="5727" spans="6:6">
      <c r="F5727" s="1" t="str" cm="1">
        <f t="array" ref="F5727">_xlfn.LET(_xlpm.rowNum,MATCH(E5727,'glossaryterms-export'!C:C,0),
IF(AND(NOT(ISBLANK(INDEX('glossaryterms-export'!H:H,_xlpm.rowNum))),ISBLANK(INDEX('glossaryterms-export'!I:I,_xlpm.rowNum))),"Ready to Fix",""))</f>
        <v/>
      </c>
    </row>
    <row r="5728" spans="6:6">
      <c r="F5728" s="1" t="str" cm="1">
        <f t="array" ref="F5728">_xlfn.LET(_xlpm.rowNum,MATCH(E5728,'glossaryterms-export'!C:C,0),
IF(AND(NOT(ISBLANK(INDEX('glossaryterms-export'!H:H,_xlpm.rowNum))),ISBLANK(INDEX('glossaryterms-export'!I:I,_xlpm.rowNum))),"Ready to Fix",""))</f>
        <v/>
      </c>
    </row>
    <row r="5729" spans="6:6">
      <c r="F5729" s="1" t="str" cm="1">
        <f t="array" ref="F5729">_xlfn.LET(_xlpm.rowNum,MATCH(E5729,'glossaryterms-export'!C:C,0),
IF(AND(NOT(ISBLANK(INDEX('glossaryterms-export'!H:H,_xlpm.rowNum))),ISBLANK(INDEX('glossaryterms-export'!I:I,_xlpm.rowNum))),"Ready to Fix",""))</f>
        <v/>
      </c>
    </row>
    <row r="5730" spans="6:6">
      <c r="F5730" s="1" t="str" cm="1">
        <f t="array" ref="F5730">_xlfn.LET(_xlpm.rowNum,MATCH(E5730,'glossaryterms-export'!C:C,0),
IF(AND(NOT(ISBLANK(INDEX('glossaryterms-export'!H:H,_xlpm.rowNum))),ISBLANK(INDEX('glossaryterms-export'!I:I,_xlpm.rowNum))),"Ready to Fix",""))</f>
        <v/>
      </c>
    </row>
    <row r="5731" spans="6:6">
      <c r="F5731" s="1" t="str" cm="1">
        <f t="array" ref="F5731">_xlfn.LET(_xlpm.rowNum,MATCH(E5731,'glossaryterms-export'!C:C,0),
IF(AND(NOT(ISBLANK(INDEX('glossaryterms-export'!H:H,_xlpm.rowNum))),ISBLANK(INDEX('glossaryterms-export'!I:I,_xlpm.rowNum))),"Ready to Fix",""))</f>
        <v/>
      </c>
    </row>
    <row r="5732" spans="6:6">
      <c r="F5732" s="1" t="str" cm="1">
        <f t="array" ref="F5732">_xlfn.LET(_xlpm.rowNum,MATCH(E5732,'glossaryterms-export'!C:C,0),
IF(AND(NOT(ISBLANK(INDEX('glossaryterms-export'!H:H,_xlpm.rowNum))),ISBLANK(INDEX('glossaryterms-export'!I:I,_xlpm.rowNum))),"Ready to Fix",""))</f>
        <v/>
      </c>
    </row>
    <row r="5733" spans="6:6">
      <c r="F5733" s="1" t="str" cm="1">
        <f t="array" ref="F5733">_xlfn.LET(_xlpm.rowNum,MATCH(E5733,'glossaryterms-export'!C:C,0),
IF(AND(NOT(ISBLANK(INDEX('glossaryterms-export'!H:H,_xlpm.rowNum))),ISBLANK(INDEX('glossaryterms-export'!I:I,_xlpm.rowNum))),"Ready to Fix",""))</f>
        <v/>
      </c>
    </row>
    <row r="5734" spans="6:6">
      <c r="F5734" s="1" t="str" cm="1">
        <f t="array" ref="F5734">_xlfn.LET(_xlpm.rowNum,MATCH(E5734,'glossaryterms-export'!C:C,0),
IF(AND(NOT(ISBLANK(INDEX('glossaryterms-export'!H:H,_xlpm.rowNum))),ISBLANK(INDEX('glossaryterms-export'!I:I,_xlpm.rowNum))),"Ready to Fix",""))</f>
        <v/>
      </c>
    </row>
    <row r="5735" spans="6:6">
      <c r="F5735" s="1" t="str" cm="1">
        <f t="array" ref="F5735">_xlfn.LET(_xlpm.rowNum,MATCH(E5735,'glossaryterms-export'!C:C,0),
IF(AND(NOT(ISBLANK(INDEX('glossaryterms-export'!H:H,_xlpm.rowNum))),ISBLANK(INDEX('glossaryterms-export'!I:I,_xlpm.rowNum))),"Ready to Fix",""))</f>
        <v/>
      </c>
    </row>
    <row r="5736" spans="6:6">
      <c r="F5736" s="1" t="str" cm="1">
        <f t="array" ref="F5736">_xlfn.LET(_xlpm.rowNum,MATCH(E5736,'glossaryterms-export'!C:C,0),
IF(AND(NOT(ISBLANK(INDEX('glossaryterms-export'!H:H,_xlpm.rowNum))),ISBLANK(INDEX('glossaryterms-export'!I:I,_xlpm.rowNum))),"Ready to Fix",""))</f>
        <v/>
      </c>
    </row>
    <row r="5737" spans="6:6">
      <c r="F5737" s="1" t="str" cm="1">
        <f t="array" ref="F5737">_xlfn.LET(_xlpm.rowNum,MATCH(E5737,'glossaryterms-export'!C:C,0),
IF(AND(NOT(ISBLANK(INDEX('glossaryterms-export'!H:H,_xlpm.rowNum))),ISBLANK(INDEX('glossaryterms-export'!I:I,_xlpm.rowNum))),"Ready to Fix",""))</f>
        <v/>
      </c>
    </row>
    <row r="5738" spans="6:6">
      <c r="F5738" s="1" t="str" cm="1">
        <f t="array" ref="F5738">_xlfn.LET(_xlpm.rowNum,MATCH(E5738,'glossaryterms-export'!C:C,0),
IF(AND(NOT(ISBLANK(INDEX('glossaryterms-export'!H:H,_xlpm.rowNum))),ISBLANK(INDEX('glossaryterms-export'!I:I,_xlpm.rowNum))),"Ready to Fix",""))</f>
        <v/>
      </c>
    </row>
    <row r="5739" spans="6:6">
      <c r="F5739" s="1" t="str" cm="1">
        <f t="array" ref="F5739">_xlfn.LET(_xlpm.rowNum,MATCH(E5739,'glossaryterms-export'!C:C,0),
IF(AND(NOT(ISBLANK(INDEX('glossaryterms-export'!H:H,_xlpm.rowNum))),ISBLANK(INDEX('glossaryterms-export'!I:I,_xlpm.rowNum))),"Ready to Fix",""))</f>
        <v/>
      </c>
    </row>
    <row r="5740" spans="6:6">
      <c r="F5740" s="1" t="str" cm="1">
        <f t="array" ref="F5740">_xlfn.LET(_xlpm.rowNum,MATCH(E5740,'glossaryterms-export'!C:C,0),
IF(AND(NOT(ISBLANK(INDEX('glossaryterms-export'!H:H,_xlpm.rowNum))),ISBLANK(INDEX('glossaryterms-export'!I:I,_xlpm.rowNum))),"Ready to Fix",""))</f>
        <v/>
      </c>
    </row>
    <row r="5741" spans="6:6">
      <c r="F5741" s="1" t="str" cm="1">
        <f t="array" ref="F5741">_xlfn.LET(_xlpm.rowNum,MATCH(E5741,'glossaryterms-export'!C:C,0),
IF(AND(NOT(ISBLANK(INDEX('glossaryterms-export'!H:H,_xlpm.rowNum))),ISBLANK(INDEX('glossaryterms-export'!I:I,_xlpm.rowNum))),"Ready to Fix",""))</f>
        <v/>
      </c>
    </row>
    <row r="5742" spans="6:6">
      <c r="F5742" s="1" t="str" cm="1">
        <f t="array" ref="F5742">_xlfn.LET(_xlpm.rowNum,MATCH(E5742,'glossaryterms-export'!C:C,0),
IF(AND(NOT(ISBLANK(INDEX('glossaryterms-export'!H:H,_xlpm.rowNum))),ISBLANK(INDEX('glossaryterms-export'!I:I,_xlpm.rowNum))),"Ready to Fix",""))</f>
        <v/>
      </c>
    </row>
    <row r="5743" spans="6:6">
      <c r="F5743" s="1" t="str" cm="1">
        <f t="array" ref="F5743">_xlfn.LET(_xlpm.rowNum,MATCH(E5743,'glossaryterms-export'!C:C,0),
IF(AND(NOT(ISBLANK(INDEX('glossaryterms-export'!H:H,_xlpm.rowNum))),ISBLANK(INDEX('glossaryterms-export'!I:I,_xlpm.rowNum))),"Ready to Fix",""))</f>
        <v/>
      </c>
    </row>
    <row r="5744" spans="6:6">
      <c r="F5744" s="1" t="str" cm="1">
        <f t="array" ref="F5744">_xlfn.LET(_xlpm.rowNum,MATCH(E5744,'glossaryterms-export'!C:C,0),
IF(AND(NOT(ISBLANK(INDEX('glossaryterms-export'!H:H,_xlpm.rowNum))),ISBLANK(INDEX('glossaryterms-export'!I:I,_xlpm.rowNum))),"Ready to Fix",""))</f>
        <v/>
      </c>
    </row>
    <row r="5745" spans="6:6">
      <c r="F5745" s="1" t="str" cm="1">
        <f t="array" ref="F5745">_xlfn.LET(_xlpm.rowNum,MATCH(E5745,'glossaryterms-export'!C:C,0),
IF(AND(NOT(ISBLANK(INDEX('glossaryterms-export'!H:H,_xlpm.rowNum))),ISBLANK(INDEX('glossaryterms-export'!I:I,_xlpm.rowNum))),"Ready to Fix",""))</f>
        <v/>
      </c>
    </row>
    <row r="5746" spans="6:6">
      <c r="F5746" s="1" t="str" cm="1">
        <f t="array" ref="F5746">_xlfn.LET(_xlpm.rowNum,MATCH(E5746,'glossaryterms-export'!C:C,0),
IF(AND(NOT(ISBLANK(INDEX('glossaryterms-export'!H:H,_xlpm.rowNum))),ISBLANK(INDEX('glossaryterms-export'!I:I,_xlpm.rowNum))),"Ready to Fix",""))</f>
        <v/>
      </c>
    </row>
    <row r="5747" spans="6:6">
      <c r="F5747" s="1" t="str" cm="1">
        <f t="array" ref="F5747">_xlfn.LET(_xlpm.rowNum,MATCH(E5747,'glossaryterms-export'!C:C,0),
IF(AND(NOT(ISBLANK(INDEX('glossaryterms-export'!H:H,_xlpm.rowNum))),ISBLANK(INDEX('glossaryterms-export'!I:I,_xlpm.rowNum))),"Ready to Fix",""))</f>
        <v/>
      </c>
    </row>
    <row r="5748" spans="6:6">
      <c r="F5748" s="1" t="str" cm="1">
        <f t="array" ref="F5748">_xlfn.LET(_xlpm.rowNum,MATCH(E5748,'glossaryterms-export'!C:C,0),
IF(AND(NOT(ISBLANK(INDEX('glossaryterms-export'!H:H,_xlpm.rowNum))),ISBLANK(INDEX('glossaryterms-export'!I:I,_xlpm.rowNum))),"Ready to Fix",""))</f>
        <v/>
      </c>
    </row>
    <row r="5749" spans="6:6">
      <c r="F5749" s="1" t="str" cm="1">
        <f t="array" ref="F5749">_xlfn.LET(_xlpm.rowNum,MATCH(E5749,'glossaryterms-export'!C:C,0),
IF(AND(NOT(ISBLANK(INDEX('glossaryterms-export'!H:H,_xlpm.rowNum))),ISBLANK(INDEX('glossaryterms-export'!I:I,_xlpm.rowNum))),"Ready to Fix",""))</f>
        <v/>
      </c>
    </row>
    <row r="5750" spans="6:6">
      <c r="F5750" s="1" t="str" cm="1">
        <f t="array" ref="F5750">_xlfn.LET(_xlpm.rowNum,MATCH(E5750,'glossaryterms-export'!C:C,0),
IF(AND(NOT(ISBLANK(INDEX('glossaryterms-export'!H:H,_xlpm.rowNum))),ISBLANK(INDEX('glossaryterms-export'!I:I,_xlpm.rowNum))),"Ready to Fix",""))</f>
        <v/>
      </c>
    </row>
    <row r="5751" spans="6:6">
      <c r="F5751" s="1" t="str" cm="1">
        <f t="array" ref="F5751">_xlfn.LET(_xlpm.rowNum,MATCH(E5751,'glossaryterms-export'!C:C,0),
IF(AND(NOT(ISBLANK(INDEX('glossaryterms-export'!H:H,_xlpm.rowNum))),ISBLANK(INDEX('glossaryterms-export'!I:I,_xlpm.rowNum))),"Ready to Fix",""))</f>
        <v/>
      </c>
    </row>
    <row r="5752" spans="6:6">
      <c r="F5752" s="1" t="str" cm="1">
        <f t="array" ref="F5752">_xlfn.LET(_xlpm.rowNum,MATCH(E5752,'glossaryterms-export'!C:C,0),
IF(AND(NOT(ISBLANK(INDEX('glossaryterms-export'!H:H,_xlpm.rowNum))),ISBLANK(INDEX('glossaryterms-export'!I:I,_xlpm.rowNum))),"Ready to Fix",""))</f>
        <v/>
      </c>
    </row>
    <row r="5753" spans="6:6">
      <c r="F5753" s="1" t="str" cm="1">
        <f t="array" ref="F5753">_xlfn.LET(_xlpm.rowNum,MATCH(E5753,'glossaryterms-export'!C:C,0),
IF(AND(NOT(ISBLANK(INDEX('glossaryterms-export'!H:H,_xlpm.rowNum))),ISBLANK(INDEX('glossaryterms-export'!I:I,_xlpm.rowNum))),"Ready to Fix",""))</f>
        <v/>
      </c>
    </row>
    <row r="5754" spans="6:6">
      <c r="F5754" s="1" t="str" cm="1">
        <f t="array" ref="F5754">_xlfn.LET(_xlpm.rowNum,MATCH(E5754,'glossaryterms-export'!C:C,0),
IF(AND(NOT(ISBLANK(INDEX('glossaryterms-export'!H:H,_xlpm.rowNum))),ISBLANK(INDEX('glossaryterms-export'!I:I,_xlpm.rowNum))),"Ready to Fix",""))</f>
        <v/>
      </c>
    </row>
    <row r="5755" spans="6:6">
      <c r="F5755" s="1" t="str" cm="1">
        <f t="array" ref="F5755">_xlfn.LET(_xlpm.rowNum,MATCH(E5755,'glossaryterms-export'!C:C,0),
IF(AND(NOT(ISBLANK(INDEX('glossaryterms-export'!H:H,_xlpm.rowNum))),ISBLANK(INDEX('glossaryterms-export'!I:I,_xlpm.rowNum))),"Ready to Fix",""))</f>
        <v/>
      </c>
    </row>
    <row r="5756" spans="6:6">
      <c r="F5756" s="1" t="str" cm="1">
        <f t="array" ref="F5756">_xlfn.LET(_xlpm.rowNum,MATCH(E5756,'glossaryterms-export'!C:C,0),
IF(AND(NOT(ISBLANK(INDEX('glossaryterms-export'!H:H,_xlpm.rowNum))),ISBLANK(INDEX('glossaryterms-export'!I:I,_xlpm.rowNum))),"Ready to Fix",""))</f>
        <v/>
      </c>
    </row>
    <row r="5757" spans="6:6">
      <c r="F5757" s="1" t="str" cm="1">
        <f t="array" ref="F5757">_xlfn.LET(_xlpm.rowNum,MATCH(E5757,'glossaryterms-export'!C:C,0),
IF(AND(NOT(ISBLANK(INDEX('glossaryterms-export'!H:H,_xlpm.rowNum))),ISBLANK(INDEX('glossaryterms-export'!I:I,_xlpm.rowNum))),"Ready to Fix",""))</f>
        <v/>
      </c>
    </row>
    <row r="5758" spans="6:6">
      <c r="F5758" s="1" t="str" cm="1">
        <f t="array" ref="F5758">_xlfn.LET(_xlpm.rowNum,MATCH(E5758,'glossaryterms-export'!C:C,0),
IF(AND(NOT(ISBLANK(INDEX('glossaryterms-export'!H:H,_xlpm.rowNum))),ISBLANK(INDEX('glossaryterms-export'!I:I,_xlpm.rowNum))),"Ready to Fix",""))</f>
        <v/>
      </c>
    </row>
    <row r="5759" spans="6:6">
      <c r="F5759" s="1" t="str" cm="1">
        <f t="array" ref="F5759">_xlfn.LET(_xlpm.rowNum,MATCH(E5759,'glossaryterms-export'!C:C,0),
IF(AND(NOT(ISBLANK(INDEX('glossaryterms-export'!H:H,_xlpm.rowNum))),ISBLANK(INDEX('glossaryterms-export'!I:I,_xlpm.rowNum))),"Ready to Fix",""))</f>
        <v/>
      </c>
    </row>
    <row r="5760" spans="6:6">
      <c r="F5760" s="1" t="str" cm="1">
        <f t="array" ref="F5760">_xlfn.LET(_xlpm.rowNum,MATCH(E5760,'glossaryterms-export'!C:C,0),
IF(AND(NOT(ISBLANK(INDEX('glossaryterms-export'!H:H,_xlpm.rowNum))),ISBLANK(INDEX('glossaryterms-export'!I:I,_xlpm.rowNum))),"Ready to Fix",""))</f>
        <v/>
      </c>
    </row>
    <row r="5761" spans="6:6">
      <c r="F5761" s="1" t="str" cm="1">
        <f t="array" ref="F5761">_xlfn.LET(_xlpm.rowNum,MATCH(E5761,'glossaryterms-export'!C:C,0),
IF(AND(NOT(ISBLANK(INDEX('glossaryterms-export'!H:H,_xlpm.rowNum))),ISBLANK(INDEX('glossaryterms-export'!I:I,_xlpm.rowNum))),"Ready to Fix",""))</f>
        <v/>
      </c>
    </row>
    <row r="5762" spans="6:6">
      <c r="F5762" s="1" t="str" cm="1">
        <f t="array" ref="F5762">_xlfn.LET(_xlpm.rowNum,MATCH(E5762,'glossaryterms-export'!C:C,0),
IF(AND(NOT(ISBLANK(INDEX('glossaryterms-export'!H:H,_xlpm.rowNum))),ISBLANK(INDEX('glossaryterms-export'!I:I,_xlpm.rowNum))),"Ready to Fix",""))</f>
        <v/>
      </c>
    </row>
    <row r="5763" spans="6:6">
      <c r="F5763" s="1" t="str" cm="1">
        <f t="array" ref="F5763">_xlfn.LET(_xlpm.rowNum,MATCH(E5763,'glossaryterms-export'!C:C,0),
IF(AND(NOT(ISBLANK(INDEX('glossaryterms-export'!H:H,_xlpm.rowNum))),ISBLANK(INDEX('glossaryterms-export'!I:I,_xlpm.rowNum))),"Ready to Fix",""))</f>
        <v/>
      </c>
    </row>
    <row r="5764" spans="6:6">
      <c r="F5764" s="1" t="str" cm="1">
        <f t="array" ref="F5764">_xlfn.LET(_xlpm.rowNum,MATCH(E5764,'glossaryterms-export'!C:C,0),
IF(AND(NOT(ISBLANK(INDEX('glossaryterms-export'!H:H,_xlpm.rowNum))),ISBLANK(INDEX('glossaryterms-export'!I:I,_xlpm.rowNum))),"Ready to Fix",""))</f>
        <v/>
      </c>
    </row>
    <row r="5765" spans="6:6">
      <c r="F5765" s="1" t="str" cm="1">
        <f t="array" ref="F5765">_xlfn.LET(_xlpm.rowNum,MATCH(E5765,'glossaryterms-export'!C:C,0),
IF(AND(NOT(ISBLANK(INDEX('glossaryterms-export'!H:H,_xlpm.rowNum))),ISBLANK(INDEX('glossaryterms-export'!I:I,_xlpm.rowNum))),"Ready to Fix",""))</f>
        <v/>
      </c>
    </row>
    <row r="5766" spans="6:6">
      <c r="F5766" s="1" t="str" cm="1">
        <f t="array" ref="F5766">_xlfn.LET(_xlpm.rowNum,MATCH(E5766,'glossaryterms-export'!C:C,0),
IF(AND(NOT(ISBLANK(INDEX('glossaryterms-export'!H:H,_xlpm.rowNum))),ISBLANK(INDEX('glossaryterms-export'!I:I,_xlpm.rowNum))),"Ready to Fix",""))</f>
        <v/>
      </c>
    </row>
    <row r="5767" spans="6:6">
      <c r="F5767" s="1" t="str" cm="1">
        <f t="array" ref="F5767">_xlfn.LET(_xlpm.rowNum,MATCH(E5767,'glossaryterms-export'!C:C,0),
IF(AND(NOT(ISBLANK(INDEX('glossaryterms-export'!H:H,_xlpm.rowNum))),ISBLANK(INDEX('glossaryterms-export'!I:I,_xlpm.rowNum))),"Ready to Fix",""))</f>
        <v/>
      </c>
    </row>
    <row r="5768" spans="6:6">
      <c r="F5768" s="1" t="str" cm="1">
        <f t="array" ref="F5768">_xlfn.LET(_xlpm.rowNum,MATCH(E5768,'glossaryterms-export'!C:C,0),
IF(AND(NOT(ISBLANK(INDEX('glossaryterms-export'!H:H,_xlpm.rowNum))),ISBLANK(INDEX('glossaryterms-export'!I:I,_xlpm.rowNum))),"Ready to Fix",""))</f>
        <v/>
      </c>
    </row>
    <row r="5769" spans="6:6">
      <c r="F5769" s="1" t="str" cm="1">
        <f t="array" ref="F5769">_xlfn.LET(_xlpm.rowNum,MATCH(E5769,'glossaryterms-export'!C:C,0),
IF(AND(NOT(ISBLANK(INDEX('glossaryterms-export'!H:H,_xlpm.rowNum))),ISBLANK(INDEX('glossaryterms-export'!I:I,_xlpm.rowNum))),"Ready to Fix",""))</f>
        <v/>
      </c>
    </row>
    <row r="5770" spans="6:6">
      <c r="F5770" s="1" t="str" cm="1">
        <f t="array" ref="F5770">_xlfn.LET(_xlpm.rowNum,MATCH(E5770,'glossaryterms-export'!C:C,0),
IF(AND(NOT(ISBLANK(INDEX('glossaryterms-export'!H:H,_xlpm.rowNum))),ISBLANK(INDEX('glossaryterms-export'!I:I,_xlpm.rowNum))),"Ready to Fix",""))</f>
        <v/>
      </c>
    </row>
    <row r="5771" spans="6:6">
      <c r="F5771" s="1" t="str" cm="1">
        <f t="array" ref="F5771">_xlfn.LET(_xlpm.rowNum,MATCH(E5771,'glossaryterms-export'!C:C,0),
IF(AND(NOT(ISBLANK(INDEX('glossaryterms-export'!H:H,_xlpm.rowNum))),ISBLANK(INDEX('glossaryterms-export'!I:I,_xlpm.rowNum))),"Ready to Fix",""))</f>
        <v/>
      </c>
    </row>
    <row r="5772" spans="6:6">
      <c r="F5772" s="1" t="str" cm="1">
        <f t="array" ref="F5772">_xlfn.LET(_xlpm.rowNum,MATCH(E5772,'glossaryterms-export'!C:C,0),
IF(AND(NOT(ISBLANK(INDEX('glossaryterms-export'!H:H,_xlpm.rowNum))),ISBLANK(INDEX('glossaryterms-export'!I:I,_xlpm.rowNum))),"Ready to Fix",""))</f>
        <v/>
      </c>
    </row>
    <row r="5773" spans="6:6">
      <c r="F5773" s="1" t="str" cm="1">
        <f t="array" ref="F5773">_xlfn.LET(_xlpm.rowNum,MATCH(E5773,'glossaryterms-export'!C:C,0),
IF(AND(NOT(ISBLANK(INDEX('glossaryterms-export'!H:H,_xlpm.rowNum))),ISBLANK(INDEX('glossaryterms-export'!I:I,_xlpm.rowNum))),"Ready to Fix",""))</f>
        <v/>
      </c>
    </row>
    <row r="5774" spans="6:6">
      <c r="F5774" s="1" t="str" cm="1">
        <f t="array" ref="F5774">_xlfn.LET(_xlpm.rowNum,MATCH(E5774,'glossaryterms-export'!C:C,0),
IF(AND(NOT(ISBLANK(INDEX('glossaryterms-export'!H:H,_xlpm.rowNum))),ISBLANK(INDEX('glossaryterms-export'!I:I,_xlpm.rowNum))),"Ready to Fix",""))</f>
        <v/>
      </c>
    </row>
    <row r="5775" spans="6:6">
      <c r="F5775" s="1" t="str" cm="1">
        <f t="array" ref="F5775">_xlfn.LET(_xlpm.rowNum,MATCH(E5775,'glossaryterms-export'!C:C,0),
IF(AND(NOT(ISBLANK(INDEX('glossaryterms-export'!H:H,_xlpm.rowNum))),ISBLANK(INDEX('glossaryterms-export'!I:I,_xlpm.rowNum))),"Ready to Fix",""))</f>
        <v/>
      </c>
    </row>
    <row r="5776" spans="6:6">
      <c r="F5776" s="1" t="str" cm="1">
        <f t="array" ref="F5776">_xlfn.LET(_xlpm.rowNum,MATCH(E5776,'glossaryterms-export'!C:C,0),
IF(AND(NOT(ISBLANK(INDEX('glossaryterms-export'!H:H,_xlpm.rowNum))),ISBLANK(INDEX('glossaryterms-export'!I:I,_xlpm.rowNum))),"Ready to Fix",""))</f>
        <v/>
      </c>
    </row>
    <row r="5777" spans="6:6">
      <c r="F5777" s="1" t="str" cm="1">
        <f t="array" ref="F5777">_xlfn.LET(_xlpm.rowNum,MATCH(E5777,'glossaryterms-export'!C:C,0),
IF(AND(NOT(ISBLANK(INDEX('glossaryterms-export'!H:H,_xlpm.rowNum))),ISBLANK(INDEX('glossaryterms-export'!I:I,_xlpm.rowNum))),"Ready to Fix",""))</f>
        <v/>
      </c>
    </row>
    <row r="5778" spans="6:6">
      <c r="F5778" s="1" t="str" cm="1">
        <f t="array" ref="F5778">_xlfn.LET(_xlpm.rowNum,MATCH(E5778,'glossaryterms-export'!C:C,0),
IF(AND(NOT(ISBLANK(INDEX('glossaryterms-export'!H:H,_xlpm.rowNum))),ISBLANK(INDEX('glossaryterms-export'!I:I,_xlpm.rowNum))),"Ready to Fix",""))</f>
        <v/>
      </c>
    </row>
    <row r="5779" spans="6:6">
      <c r="F5779" s="1" t="str" cm="1">
        <f t="array" ref="F5779">_xlfn.LET(_xlpm.rowNum,MATCH(E5779,'glossaryterms-export'!C:C,0),
IF(AND(NOT(ISBLANK(INDEX('glossaryterms-export'!H:H,_xlpm.rowNum))),ISBLANK(INDEX('glossaryterms-export'!I:I,_xlpm.rowNum))),"Ready to Fix",""))</f>
        <v/>
      </c>
    </row>
    <row r="5780" spans="6:6">
      <c r="F5780" s="1" t="str" cm="1">
        <f t="array" ref="F5780">_xlfn.LET(_xlpm.rowNum,MATCH(E5780,'glossaryterms-export'!C:C,0),
IF(AND(NOT(ISBLANK(INDEX('glossaryterms-export'!H:H,_xlpm.rowNum))),ISBLANK(INDEX('glossaryterms-export'!I:I,_xlpm.rowNum))),"Ready to Fix",""))</f>
        <v/>
      </c>
    </row>
    <row r="5781" spans="6:6">
      <c r="F5781" s="1" t="str" cm="1">
        <f t="array" ref="F5781">_xlfn.LET(_xlpm.rowNum,MATCH(E5781,'glossaryterms-export'!C:C,0),
IF(AND(NOT(ISBLANK(INDEX('glossaryterms-export'!H:H,_xlpm.rowNum))),ISBLANK(INDEX('glossaryterms-export'!I:I,_xlpm.rowNum))),"Ready to Fix",""))</f>
        <v/>
      </c>
    </row>
    <row r="5782" spans="6:6">
      <c r="F5782" s="1" t="str" cm="1">
        <f t="array" ref="F5782">_xlfn.LET(_xlpm.rowNum,MATCH(E5782,'glossaryterms-export'!C:C,0),
IF(AND(NOT(ISBLANK(INDEX('glossaryterms-export'!H:H,_xlpm.rowNum))),ISBLANK(INDEX('glossaryterms-export'!I:I,_xlpm.rowNum))),"Ready to Fix",""))</f>
        <v/>
      </c>
    </row>
    <row r="5783" spans="6:6">
      <c r="F5783" s="1" t="str" cm="1">
        <f t="array" ref="F5783">_xlfn.LET(_xlpm.rowNum,MATCH(E5783,'glossaryterms-export'!C:C,0),
IF(AND(NOT(ISBLANK(INDEX('glossaryterms-export'!H:H,_xlpm.rowNum))),ISBLANK(INDEX('glossaryterms-export'!I:I,_xlpm.rowNum))),"Ready to Fix",""))</f>
        <v/>
      </c>
    </row>
    <row r="5784" spans="6:6">
      <c r="F5784" s="1" t="str" cm="1">
        <f t="array" ref="F5784">_xlfn.LET(_xlpm.rowNum,MATCH(E5784,'glossaryterms-export'!C:C,0),
IF(AND(NOT(ISBLANK(INDEX('glossaryterms-export'!H:H,_xlpm.rowNum))),ISBLANK(INDEX('glossaryterms-export'!I:I,_xlpm.rowNum))),"Ready to Fix",""))</f>
        <v/>
      </c>
    </row>
    <row r="5785" spans="6:6">
      <c r="F5785" s="1" t="str" cm="1">
        <f t="array" ref="F5785">_xlfn.LET(_xlpm.rowNum,MATCH(E5785,'glossaryterms-export'!C:C,0),
IF(AND(NOT(ISBLANK(INDEX('glossaryterms-export'!H:H,_xlpm.rowNum))),ISBLANK(INDEX('glossaryterms-export'!I:I,_xlpm.rowNum))),"Ready to Fix",""))</f>
        <v/>
      </c>
    </row>
    <row r="5786" spans="6:6">
      <c r="F5786" s="1" t="str" cm="1">
        <f t="array" ref="F5786">_xlfn.LET(_xlpm.rowNum,MATCH(E5786,'glossaryterms-export'!C:C,0),
IF(AND(NOT(ISBLANK(INDEX('glossaryterms-export'!H:H,_xlpm.rowNum))),ISBLANK(INDEX('glossaryterms-export'!I:I,_xlpm.rowNum))),"Ready to Fix",""))</f>
        <v/>
      </c>
    </row>
    <row r="5787" spans="6:6">
      <c r="F5787" s="1" t="str" cm="1">
        <f t="array" ref="F5787">_xlfn.LET(_xlpm.rowNum,MATCH(E5787,'glossaryterms-export'!C:C,0),
IF(AND(NOT(ISBLANK(INDEX('glossaryterms-export'!H:H,_xlpm.rowNum))),ISBLANK(INDEX('glossaryterms-export'!I:I,_xlpm.rowNum))),"Ready to Fix",""))</f>
        <v/>
      </c>
    </row>
    <row r="5788" spans="6:6">
      <c r="F5788" s="1" t="str" cm="1">
        <f t="array" ref="F5788">_xlfn.LET(_xlpm.rowNum,MATCH(E5788,'glossaryterms-export'!C:C,0),
IF(AND(NOT(ISBLANK(INDEX('glossaryterms-export'!H:H,_xlpm.rowNum))),ISBLANK(INDEX('glossaryterms-export'!I:I,_xlpm.rowNum))),"Ready to Fix",""))</f>
        <v/>
      </c>
    </row>
    <row r="5789" spans="6:6">
      <c r="F5789" s="1" t="str" cm="1">
        <f t="array" ref="F5789">_xlfn.LET(_xlpm.rowNum,MATCH(E5789,'glossaryterms-export'!C:C,0),
IF(AND(NOT(ISBLANK(INDEX('glossaryterms-export'!H:H,_xlpm.rowNum))),ISBLANK(INDEX('glossaryterms-export'!I:I,_xlpm.rowNum))),"Ready to Fix",""))</f>
        <v/>
      </c>
    </row>
    <row r="5790" spans="6:6">
      <c r="F5790" s="1" t="str" cm="1">
        <f t="array" ref="F5790">_xlfn.LET(_xlpm.rowNum,MATCH(E5790,'glossaryterms-export'!C:C,0),
IF(AND(NOT(ISBLANK(INDEX('glossaryterms-export'!H:H,_xlpm.rowNum))),ISBLANK(INDEX('glossaryterms-export'!I:I,_xlpm.rowNum))),"Ready to Fix",""))</f>
        <v/>
      </c>
    </row>
    <row r="5791" spans="6:6">
      <c r="F5791" s="1" t="str" cm="1">
        <f t="array" ref="F5791">_xlfn.LET(_xlpm.rowNum,MATCH(E5791,'glossaryterms-export'!C:C,0),
IF(AND(NOT(ISBLANK(INDEX('glossaryterms-export'!H:H,_xlpm.rowNum))),ISBLANK(INDEX('glossaryterms-export'!I:I,_xlpm.rowNum))),"Ready to Fix",""))</f>
        <v/>
      </c>
    </row>
    <row r="5792" spans="6:6">
      <c r="F5792" s="1" t="str" cm="1">
        <f t="array" ref="F5792">_xlfn.LET(_xlpm.rowNum,MATCH(E5792,'glossaryterms-export'!C:C,0),
IF(AND(NOT(ISBLANK(INDEX('glossaryterms-export'!H:H,_xlpm.rowNum))),ISBLANK(INDEX('glossaryterms-export'!I:I,_xlpm.rowNum))),"Ready to Fix",""))</f>
        <v/>
      </c>
    </row>
    <row r="5793" spans="6:6">
      <c r="F5793" s="1" t="str" cm="1">
        <f t="array" ref="F5793">_xlfn.LET(_xlpm.rowNum,MATCH(E5793,'glossaryterms-export'!C:C,0),
IF(AND(NOT(ISBLANK(INDEX('glossaryterms-export'!H:H,_xlpm.rowNum))),ISBLANK(INDEX('glossaryterms-export'!I:I,_xlpm.rowNum))),"Ready to Fix",""))</f>
        <v/>
      </c>
    </row>
    <row r="5794" spans="6:6">
      <c r="F5794" s="1" t="str" cm="1">
        <f t="array" ref="F5794">_xlfn.LET(_xlpm.rowNum,MATCH(E5794,'glossaryterms-export'!C:C,0),
IF(AND(NOT(ISBLANK(INDEX('glossaryterms-export'!H:H,_xlpm.rowNum))),ISBLANK(INDEX('glossaryterms-export'!I:I,_xlpm.rowNum))),"Ready to Fix",""))</f>
        <v/>
      </c>
    </row>
    <row r="5795" spans="6:6">
      <c r="F5795" s="1" t="str" cm="1">
        <f t="array" ref="F5795">_xlfn.LET(_xlpm.rowNum,MATCH(E5795,'glossaryterms-export'!C:C,0),
IF(AND(NOT(ISBLANK(INDEX('glossaryterms-export'!H:H,_xlpm.rowNum))),ISBLANK(INDEX('glossaryterms-export'!I:I,_xlpm.rowNum))),"Ready to Fix",""))</f>
        <v/>
      </c>
    </row>
    <row r="5796" spans="6:6">
      <c r="F5796" s="1" t="str" cm="1">
        <f t="array" ref="F5796">_xlfn.LET(_xlpm.rowNum,MATCH(E5796,'glossaryterms-export'!C:C,0),
IF(AND(NOT(ISBLANK(INDEX('glossaryterms-export'!H:H,_xlpm.rowNum))),ISBLANK(INDEX('glossaryterms-export'!I:I,_xlpm.rowNum))),"Ready to Fix",""))</f>
        <v/>
      </c>
    </row>
    <row r="5797" spans="6:6">
      <c r="F5797" s="1" t="str" cm="1">
        <f t="array" ref="F5797">_xlfn.LET(_xlpm.rowNum,MATCH(E5797,'glossaryterms-export'!C:C,0),
IF(AND(NOT(ISBLANK(INDEX('glossaryterms-export'!H:H,_xlpm.rowNum))),ISBLANK(INDEX('glossaryterms-export'!I:I,_xlpm.rowNum))),"Ready to Fix",""))</f>
        <v/>
      </c>
    </row>
    <row r="5798" spans="6:6">
      <c r="F5798" s="1" t="str" cm="1">
        <f t="array" ref="F5798">_xlfn.LET(_xlpm.rowNum,MATCH(E5798,'glossaryterms-export'!C:C,0),
IF(AND(NOT(ISBLANK(INDEX('glossaryterms-export'!H:H,_xlpm.rowNum))),ISBLANK(INDEX('glossaryterms-export'!I:I,_xlpm.rowNum))),"Ready to Fix",""))</f>
        <v/>
      </c>
    </row>
    <row r="5799" spans="6:6">
      <c r="F5799" s="1" t="str" cm="1">
        <f t="array" ref="F5799">_xlfn.LET(_xlpm.rowNum,MATCH(E5799,'glossaryterms-export'!C:C,0),
IF(AND(NOT(ISBLANK(INDEX('glossaryterms-export'!H:H,_xlpm.rowNum))),ISBLANK(INDEX('glossaryterms-export'!I:I,_xlpm.rowNum))),"Ready to Fix",""))</f>
        <v/>
      </c>
    </row>
    <row r="5800" spans="6:6">
      <c r="F5800" s="1" t="str" cm="1">
        <f t="array" ref="F5800">_xlfn.LET(_xlpm.rowNum,MATCH(E5800,'glossaryterms-export'!C:C,0),
IF(AND(NOT(ISBLANK(INDEX('glossaryterms-export'!H:H,_xlpm.rowNum))),ISBLANK(INDEX('glossaryterms-export'!I:I,_xlpm.rowNum))),"Ready to Fix",""))</f>
        <v/>
      </c>
    </row>
    <row r="5801" spans="6:6">
      <c r="F5801" s="1" t="str" cm="1">
        <f t="array" ref="F5801">_xlfn.LET(_xlpm.rowNum,MATCH(E5801,'glossaryterms-export'!C:C,0),
IF(AND(NOT(ISBLANK(INDEX('glossaryterms-export'!H:H,_xlpm.rowNum))),ISBLANK(INDEX('glossaryterms-export'!I:I,_xlpm.rowNum))),"Ready to Fix",""))</f>
        <v/>
      </c>
    </row>
    <row r="5802" spans="6:6">
      <c r="F5802" s="1" t="str" cm="1">
        <f t="array" ref="F5802">_xlfn.LET(_xlpm.rowNum,MATCH(E5802,'glossaryterms-export'!C:C,0),
IF(AND(NOT(ISBLANK(INDEX('glossaryterms-export'!H:H,_xlpm.rowNum))),ISBLANK(INDEX('glossaryterms-export'!I:I,_xlpm.rowNum))),"Ready to Fix",""))</f>
        <v/>
      </c>
    </row>
    <row r="5803" spans="6:6">
      <c r="F5803" s="1" t="str" cm="1">
        <f t="array" ref="F5803">_xlfn.LET(_xlpm.rowNum,MATCH(E5803,'glossaryterms-export'!C:C,0),
IF(AND(NOT(ISBLANK(INDEX('glossaryterms-export'!H:H,_xlpm.rowNum))),ISBLANK(INDEX('glossaryterms-export'!I:I,_xlpm.rowNum))),"Ready to Fix",""))</f>
        <v/>
      </c>
    </row>
    <row r="5804" spans="6:6">
      <c r="F5804" s="1" t="str" cm="1">
        <f t="array" ref="F5804">_xlfn.LET(_xlpm.rowNum,MATCH(E5804,'glossaryterms-export'!C:C,0),
IF(AND(NOT(ISBLANK(INDEX('glossaryterms-export'!H:H,_xlpm.rowNum))),ISBLANK(INDEX('glossaryterms-export'!I:I,_xlpm.rowNum))),"Ready to Fix",""))</f>
        <v/>
      </c>
    </row>
    <row r="5805" spans="6:6">
      <c r="F5805" s="1" t="str" cm="1">
        <f t="array" ref="F5805">_xlfn.LET(_xlpm.rowNum,MATCH(E5805,'glossaryterms-export'!C:C,0),
IF(AND(NOT(ISBLANK(INDEX('glossaryterms-export'!H:H,_xlpm.rowNum))),ISBLANK(INDEX('glossaryterms-export'!I:I,_xlpm.rowNum))),"Ready to Fix",""))</f>
        <v/>
      </c>
    </row>
    <row r="5806" spans="6:6">
      <c r="F5806" s="1" t="str" cm="1">
        <f t="array" ref="F5806">_xlfn.LET(_xlpm.rowNum,MATCH(E5806,'glossaryterms-export'!C:C,0),
IF(AND(NOT(ISBLANK(INDEX('glossaryterms-export'!H:H,_xlpm.rowNum))),ISBLANK(INDEX('glossaryterms-export'!I:I,_xlpm.rowNum))),"Ready to Fix",""))</f>
        <v/>
      </c>
    </row>
    <row r="5807" spans="6:6">
      <c r="F5807" s="1" t="str" cm="1">
        <f t="array" ref="F5807">_xlfn.LET(_xlpm.rowNum,MATCH(E5807,'glossaryterms-export'!C:C,0),
IF(AND(NOT(ISBLANK(INDEX('glossaryterms-export'!H:H,_xlpm.rowNum))),ISBLANK(INDEX('glossaryterms-export'!I:I,_xlpm.rowNum))),"Ready to Fix",""))</f>
        <v/>
      </c>
    </row>
    <row r="5808" spans="6:6">
      <c r="F5808" s="1" t="str" cm="1">
        <f t="array" ref="F5808">_xlfn.LET(_xlpm.rowNum,MATCH(E5808,'glossaryterms-export'!C:C,0),
IF(AND(NOT(ISBLANK(INDEX('glossaryterms-export'!H:H,_xlpm.rowNum))),ISBLANK(INDEX('glossaryterms-export'!I:I,_xlpm.rowNum))),"Ready to Fix",""))</f>
        <v/>
      </c>
    </row>
    <row r="5809" spans="6:6">
      <c r="F5809" s="1" t="str" cm="1">
        <f t="array" ref="F5809">_xlfn.LET(_xlpm.rowNum,MATCH(E5809,'glossaryterms-export'!C:C,0),
IF(AND(NOT(ISBLANK(INDEX('glossaryterms-export'!H:H,_xlpm.rowNum))),ISBLANK(INDEX('glossaryterms-export'!I:I,_xlpm.rowNum))),"Ready to Fix",""))</f>
        <v/>
      </c>
    </row>
    <row r="5810" spans="6:6">
      <c r="F5810" s="1" t="str" cm="1">
        <f t="array" ref="F5810">_xlfn.LET(_xlpm.rowNum,MATCH(E5810,'glossaryterms-export'!C:C,0),
IF(AND(NOT(ISBLANK(INDEX('glossaryterms-export'!H:H,_xlpm.rowNum))),ISBLANK(INDEX('glossaryterms-export'!I:I,_xlpm.rowNum))),"Ready to Fix",""))</f>
        <v/>
      </c>
    </row>
    <row r="5811" spans="6:6">
      <c r="F5811" s="1" t="str" cm="1">
        <f t="array" ref="F5811">_xlfn.LET(_xlpm.rowNum,MATCH(E5811,'glossaryterms-export'!C:C,0),
IF(AND(NOT(ISBLANK(INDEX('glossaryterms-export'!H:H,_xlpm.rowNum))),ISBLANK(INDEX('glossaryterms-export'!I:I,_xlpm.rowNum))),"Ready to Fix",""))</f>
        <v/>
      </c>
    </row>
    <row r="5812" spans="6:6">
      <c r="F5812" s="1" t="str" cm="1">
        <f t="array" ref="F5812">_xlfn.LET(_xlpm.rowNum,MATCH(E5812,'glossaryterms-export'!C:C,0),
IF(AND(NOT(ISBLANK(INDEX('glossaryterms-export'!H:H,_xlpm.rowNum))),ISBLANK(INDEX('glossaryterms-export'!I:I,_xlpm.rowNum))),"Ready to Fix",""))</f>
        <v/>
      </c>
    </row>
    <row r="5813" spans="6:6">
      <c r="F5813" s="1" t="str" cm="1">
        <f t="array" ref="F5813">_xlfn.LET(_xlpm.rowNum,MATCH(E5813,'glossaryterms-export'!C:C,0),
IF(AND(NOT(ISBLANK(INDEX('glossaryterms-export'!H:H,_xlpm.rowNum))),ISBLANK(INDEX('glossaryterms-export'!I:I,_xlpm.rowNum))),"Ready to Fix",""))</f>
        <v/>
      </c>
    </row>
    <row r="5814" spans="6:6">
      <c r="F5814" s="1" t="str" cm="1">
        <f t="array" ref="F5814">_xlfn.LET(_xlpm.rowNum,MATCH(E5814,'glossaryterms-export'!C:C,0),
IF(AND(NOT(ISBLANK(INDEX('glossaryterms-export'!H:H,_xlpm.rowNum))),ISBLANK(INDEX('glossaryterms-export'!I:I,_xlpm.rowNum))),"Ready to Fix",""))</f>
        <v/>
      </c>
    </row>
    <row r="5815" spans="6:6">
      <c r="F5815" s="1" t="str" cm="1">
        <f t="array" ref="F5815">_xlfn.LET(_xlpm.rowNum,MATCH(E5815,'glossaryterms-export'!C:C,0),
IF(AND(NOT(ISBLANK(INDEX('glossaryterms-export'!H:H,_xlpm.rowNum))),ISBLANK(INDEX('glossaryterms-export'!I:I,_xlpm.rowNum))),"Ready to Fix",""))</f>
        <v/>
      </c>
    </row>
    <row r="5816" spans="6:6">
      <c r="F5816" s="1" t="str" cm="1">
        <f t="array" ref="F5816">_xlfn.LET(_xlpm.rowNum,MATCH(E5816,'glossaryterms-export'!C:C,0),
IF(AND(NOT(ISBLANK(INDEX('glossaryterms-export'!H:H,_xlpm.rowNum))),ISBLANK(INDEX('glossaryterms-export'!I:I,_xlpm.rowNum))),"Ready to Fix",""))</f>
        <v/>
      </c>
    </row>
    <row r="5817" spans="6:6">
      <c r="F5817" s="1" t="str" cm="1">
        <f t="array" ref="F5817">_xlfn.LET(_xlpm.rowNum,MATCH(E5817,'glossaryterms-export'!C:C,0),
IF(AND(NOT(ISBLANK(INDEX('glossaryterms-export'!H:H,_xlpm.rowNum))),ISBLANK(INDEX('glossaryterms-export'!I:I,_xlpm.rowNum))),"Ready to Fix",""))</f>
        <v/>
      </c>
    </row>
    <row r="5818" spans="6:6">
      <c r="F5818" s="1" t="str" cm="1">
        <f t="array" ref="F5818">_xlfn.LET(_xlpm.rowNum,MATCH(E5818,'glossaryterms-export'!C:C,0),
IF(AND(NOT(ISBLANK(INDEX('glossaryterms-export'!H:H,_xlpm.rowNum))),ISBLANK(INDEX('glossaryterms-export'!I:I,_xlpm.rowNum))),"Ready to Fix",""))</f>
        <v/>
      </c>
    </row>
    <row r="5819" spans="6:6">
      <c r="F5819" s="1" t="str" cm="1">
        <f t="array" ref="F5819">_xlfn.LET(_xlpm.rowNum,MATCH(E5819,'glossaryterms-export'!C:C,0),
IF(AND(NOT(ISBLANK(INDEX('glossaryterms-export'!H:H,_xlpm.rowNum))),ISBLANK(INDEX('glossaryterms-export'!I:I,_xlpm.rowNum))),"Ready to Fix",""))</f>
        <v/>
      </c>
    </row>
    <row r="5820" spans="6:6">
      <c r="F5820" s="1" t="str" cm="1">
        <f t="array" ref="F5820">_xlfn.LET(_xlpm.rowNum,MATCH(E5820,'glossaryterms-export'!C:C,0),
IF(AND(NOT(ISBLANK(INDEX('glossaryterms-export'!H:H,_xlpm.rowNum))),ISBLANK(INDEX('glossaryterms-export'!I:I,_xlpm.rowNum))),"Ready to Fix",""))</f>
        <v/>
      </c>
    </row>
    <row r="5821" spans="6:6">
      <c r="F5821" s="1" t="str" cm="1">
        <f t="array" ref="F5821">_xlfn.LET(_xlpm.rowNum,MATCH(E5821,'glossaryterms-export'!C:C,0),
IF(AND(NOT(ISBLANK(INDEX('glossaryterms-export'!H:H,_xlpm.rowNum))),ISBLANK(INDEX('glossaryterms-export'!I:I,_xlpm.rowNum))),"Ready to Fix",""))</f>
        <v/>
      </c>
    </row>
    <row r="5822" spans="6:6">
      <c r="F5822" s="1" t="str" cm="1">
        <f t="array" ref="F5822">_xlfn.LET(_xlpm.rowNum,MATCH(E5822,'glossaryterms-export'!C:C,0),
IF(AND(NOT(ISBLANK(INDEX('glossaryterms-export'!H:H,_xlpm.rowNum))),ISBLANK(INDEX('glossaryterms-export'!I:I,_xlpm.rowNum))),"Ready to Fix",""))</f>
        <v/>
      </c>
    </row>
    <row r="5823" spans="6:6">
      <c r="F5823" s="1" t="str" cm="1">
        <f t="array" ref="F5823">_xlfn.LET(_xlpm.rowNum,MATCH(E5823,'glossaryterms-export'!C:C,0),
IF(AND(NOT(ISBLANK(INDEX('glossaryterms-export'!H:H,_xlpm.rowNum))),ISBLANK(INDEX('glossaryterms-export'!I:I,_xlpm.rowNum))),"Ready to Fix",""))</f>
        <v/>
      </c>
    </row>
    <row r="5824" spans="6:6">
      <c r="F5824" s="1" t="str" cm="1">
        <f t="array" ref="F5824">_xlfn.LET(_xlpm.rowNum,MATCH(E5824,'glossaryterms-export'!C:C,0),
IF(AND(NOT(ISBLANK(INDEX('glossaryterms-export'!H:H,_xlpm.rowNum))),ISBLANK(INDEX('glossaryterms-export'!I:I,_xlpm.rowNum))),"Ready to Fix",""))</f>
        <v/>
      </c>
    </row>
    <row r="5825" spans="6:6">
      <c r="F5825" s="1" t="str" cm="1">
        <f t="array" ref="F5825">_xlfn.LET(_xlpm.rowNum,MATCH(E5825,'glossaryterms-export'!C:C,0),
IF(AND(NOT(ISBLANK(INDEX('glossaryterms-export'!H:H,_xlpm.rowNum))),ISBLANK(INDEX('glossaryterms-export'!I:I,_xlpm.rowNum))),"Ready to Fix",""))</f>
        <v/>
      </c>
    </row>
    <row r="5826" spans="6:6">
      <c r="F5826" s="1" t="str" cm="1">
        <f t="array" ref="F5826">_xlfn.LET(_xlpm.rowNum,MATCH(E5826,'glossaryterms-export'!C:C,0),
IF(AND(NOT(ISBLANK(INDEX('glossaryterms-export'!H:H,_xlpm.rowNum))),ISBLANK(INDEX('glossaryterms-export'!I:I,_xlpm.rowNum))),"Ready to Fix",""))</f>
        <v/>
      </c>
    </row>
    <row r="5827" spans="6:6">
      <c r="F5827" s="1" t="str" cm="1">
        <f t="array" ref="F5827">_xlfn.LET(_xlpm.rowNum,MATCH(E5827,'glossaryterms-export'!C:C,0),
IF(AND(NOT(ISBLANK(INDEX('glossaryterms-export'!H:H,_xlpm.rowNum))),ISBLANK(INDEX('glossaryterms-export'!I:I,_xlpm.rowNum))),"Ready to Fix",""))</f>
        <v/>
      </c>
    </row>
    <row r="5828" spans="6:6">
      <c r="F5828" s="1" t="str" cm="1">
        <f t="array" ref="F5828">_xlfn.LET(_xlpm.rowNum,MATCH(E5828,'glossaryterms-export'!C:C,0),
IF(AND(NOT(ISBLANK(INDEX('glossaryterms-export'!H:H,_xlpm.rowNum))),ISBLANK(INDEX('glossaryterms-export'!I:I,_xlpm.rowNum))),"Ready to Fix",""))</f>
        <v/>
      </c>
    </row>
    <row r="5829" spans="6:6">
      <c r="F5829" s="1" t="str" cm="1">
        <f t="array" ref="F5829">_xlfn.LET(_xlpm.rowNum,MATCH(E5829,'glossaryterms-export'!C:C,0),
IF(AND(NOT(ISBLANK(INDEX('glossaryterms-export'!H:H,_xlpm.rowNum))),ISBLANK(INDEX('glossaryterms-export'!I:I,_xlpm.rowNum))),"Ready to Fix",""))</f>
        <v/>
      </c>
    </row>
    <row r="5830" spans="6:6">
      <c r="F5830" s="1" t="str" cm="1">
        <f t="array" ref="F5830">_xlfn.LET(_xlpm.rowNum,MATCH(E5830,'glossaryterms-export'!C:C,0),
IF(AND(NOT(ISBLANK(INDEX('glossaryterms-export'!H:H,_xlpm.rowNum))),ISBLANK(INDEX('glossaryterms-export'!I:I,_xlpm.rowNum))),"Ready to Fix",""))</f>
        <v/>
      </c>
    </row>
    <row r="5831" spans="6:6">
      <c r="F5831" s="1" t="str" cm="1">
        <f t="array" ref="F5831">_xlfn.LET(_xlpm.rowNum,MATCH(E5831,'glossaryterms-export'!C:C,0),
IF(AND(NOT(ISBLANK(INDEX('glossaryterms-export'!H:H,_xlpm.rowNum))),ISBLANK(INDEX('glossaryterms-export'!I:I,_xlpm.rowNum))),"Ready to Fix",""))</f>
        <v/>
      </c>
    </row>
    <row r="5832" spans="6:6">
      <c r="F5832" s="1" t="str" cm="1">
        <f t="array" ref="F5832">_xlfn.LET(_xlpm.rowNum,MATCH(E5832,'glossaryterms-export'!C:C,0),
IF(AND(NOT(ISBLANK(INDEX('glossaryterms-export'!H:H,_xlpm.rowNum))),ISBLANK(INDEX('glossaryterms-export'!I:I,_xlpm.rowNum))),"Ready to Fix",""))</f>
        <v/>
      </c>
    </row>
    <row r="5833" spans="6:6">
      <c r="F5833" s="1" t="str" cm="1">
        <f t="array" ref="F5833">_xlfn.LET(_xlpm.rowNum,MATCH(E5833,'glossaryterms-export'!C:C,0),
IF(AND(NOT(ISBLANK(INDEX('glossaryterms-export'!H:H,_xlpm.rowNum))),ISBLANK(INDEX('glossaryterms-export'!I:I,_xlpm.rowNum))),"Ready to Fix",""))</f>
        <v/>
      </c>
    </row>
    <row r="5834" spans="6:6">
      <c r="F5834" s="1" t="str" cm="1">
        <f t="array" ref="F5834">_xlfn.LET(_xlpm.rowNum,MATCH(E5834,'glossaryterms-export'!C:C,0),
IF(AND(NOT(ISBLANK(INDEX('glossaryterms-export'!H:H,_xlpm.rowNum))),ISBLANK(INDEX('glossaryterms-export'!I:I,_xlpm.rowNum))),"Ready to Fix",""))</f>
        <v/>
      </c>
    </row>
    <row r="5835" spans="6:6">
      <c r="F5835" s="1" t="str" cm="1">
        <f t="array" ref="F5835">_xlfn.LET(_xlpm.rowNum,MATCH(E5835,'glossaryterms-export'!C:C,0),
IF(AND(NOT(ISBLANK(INDEX('glossaryterms-export'!H:H,_xlpm.rowNum))),ISBLANK(INDEX('glossaryterms-export'!I:I,_xlpm.rowNum))),"Ready to Fix",""))</f>
        <v/>
      </c>
    </row>
    <row r="5836" spans="6:6">
      <c r="F5836" s="1" t="str" cm="1">
        <f t="array" ref="F5836">_xlfn.LET(_xlpm.rowNum,MATCH(E5836,'glossaryterms-export'!C:C,0),
IF(AND(NOT(ISBLANK(INDEX('glossaryterms-export'!H:H,_xlpm.rowNum))),ISBLANK(INDEX('glossaryterms-export'!I:I,_xlpm.rowNum))),"Ready to Fix",""))</f>
        <v/>
      </c>
    </row>
    <row r="5837" spans="6:6">
      <c r="F5837" s="1" t="str" cm="1">
        <f t="array" ref="F5837">_xlfn.LET(_xlpm.rowNum,MATCH(E5837,'glossaryterms-export'!C:C,0),
IF(AND(NOT(ISBLANK(INDEX('glossaryterms-export'!H:H,_xlpm.rowNum))),ISBLANK(INDEX('glossaryterms-export'!I:I,_xlpm.rowNum))),"Ready to Fix",""))</f>
        <v/>
      </c>
    </row>
    <row r="5838" spans="6:6">
      <c r="F5838" s="1" t="str" cm="1">
        <f t="array" ref="F5838">_xlfn.LET(_xlpm.rowNum,MATCH(E5838,'glossaryterms-export'!C:C,0),
IF(AND(NOT(ISBLANK(INDEX('glossaryterms-export'!H:H,_xlpm.rowNum))),ISBLANK(INDEX('glossaryterms-export'!I:I,_xlpm.rowNum))),"Ready to Fix",""))</f>
        <v/>
      </c>
    </row>
    <row r="5839" spans="6:6">
      <c r="F5839" s="1" t="str" cm="1">
        <f t="array" ref="F5839">_xlfn.LET(_xlpm.rowNum,MATCH(E5839,'glossaryterms-export'!C:C,0),
IF(AND(NOT(ISBLANK(INDEX('glossaryterms-export'!H:H,_xlpm.rowNum))),ISBLANK(INDEX('glossaryterms-export'!I:I,_xlpm.rowNum))),"Ready to Fix",""))</f>
        <v/>
      </c>
    </row>
    <row r="5840" spans="6:6">
      <c r="F5840" s="1" t="str" cm="1">
        <f t="array" ref="F5840">_xlfn.LET(_xlpm.rowNum,MATCH(E5840,'glossaryterms-export'!C:C,0),
IF(AND(NOT(ISBLANK(INDEX('glossaryterms-export'!H:H,_xlpm.rowNum))),ISBLANK(INDEX('glossaryterms-export'!I:I,_xlpm.rowNum))),"Ready to Fix",""))</f>
        <v/>
      </c>
    </row>
    <row r="5841" spans="6:6">
      <c r="F5841" s="1" t="str" cm="1">
        <f t="array" ref="F5841">_xlfn.LET(_xlpm.rowNum,MATCH(E5841,'glossaryterms-export'!C:C,0),
IF(AND(NOT(ISBLANK(INDEX('glossaryterms-export'!H:H,_xlpm.rowNum))),ISBLANK(INDEX('glossaryterms-export'!I:I,_xlpm.rowNum))),"Ready to Fix",""))</f>
        <v/>
      </c>
    </row>
    <row r="5842" spans="6:6">
      <c r="F5842" s="1" t="str" cm="1">
        <f t="array" ref="F5842">_xlfn.LET(_xlpm.rowNum,MATCH(E5842,'glossaryterms-export'!C:C,0),
IF(AND(NOT(ISBLANK(INDEX('glossaryterms-export'!H:H,_xlpm.rowNum))),ISBLANK(INDEX('glossaryterms-export'!I:I,_xlpm.rowNum))),"Ready to Fix",""))</f>
        <v/>
      </c>
    </row>
    <row r="5843" spans="6:6">
      <c r="F5843" s="1" t="str" cm="1">
        <f t="array" ref="F5843">_xlfn.LET(_xlpm.rowNum,MATCH(E5843,'glossaryterms-export'!C:C,0),
IF(AND(NOT(ISBLANK(INDEX('glossaryterms-export'!H:H,_xlpm.rowNum))),ISBLANK(INDEX('glossaryterms-export'!I:I,_xlpm.rowNum))),"Ready to Fix",""))</f>
        <v/>
      </c>
    </row>
    <row r="5844" spans="6:6">
      <c r="F5844" s="1" t="str" cm="1">
        <f t="array" ref="F5844">_xlfn.LET(_xlpm.rowNum,MATCH(E5844,'glossaryterms-export'!C:C,0),
IF(AND(NOT(ISBLANK(INDEX('glossaryterms-export'!H:H,_xlpm.rowNum))),ISBLANK(INDEX('glossaryterms-export'!I:I,_xlpm.rowNum))),"Ready to Fix",""))</f>
        <v/>
      </c>
    </row>
    <row r="5845" spans="6:6">
      <c r="F5845" s="1" t="str" cm="1">
        <f t="array" ref="F5845">_xlfn.LET(_xlpm.rowNum,MATCH(E5845,'glossaryterms-export'!C:C,0),
IF(AND(NOT(ISBLANK(INDEX('glossaryterms-export'!H:H,_xlpm.rowNum))),ISBLANK(INDEX('glossaryterms-export'!I:I,_xlpm.rowNum))),"Ready to Fix",""))</f>
        <v/>
      </c>
    </row>
    <row r="5846" spans="6:6">
      <c r="F5846" s="1" t="str" cm="1">
        <f t="array" ref="F5846">_xlfn.LET(_xlpm.rowNum,MATCH(E5846,'glossaryterms-export'!C:C,0),
IF(AND(NOT(ISBLANK(INDEX('glossaryterms-export'!H:H,_xlpm.rowNum))),ISBLANK(INDEX('glossaryterms-export'!I:I,_xlpm.rowNum))),"Ready to Fix",""))</f>
        <v/>
      </c>
    </row>
    <row r="5847" spans="6:6">
      <c r="F5847" s="1" t="str" cm="1">
        <f t="array" ref="F5847">_xlfn.LET(_xlpm.rowNum,MATCH(E5847,'glossaryterms-export'!C:C,0),
IF(AND(NOT(ISBLANK(INDEX('glossaryterms-export'!H:H,_xlpm.rowNum))),ISBLANK(INDEX('glossaryterms-export'!I:I,_xlpm.rowNum))),"Ready to Fix",""))</f>
        <v/>
      </c>
    </row>
    <row r="5848" spans="6:6">
      <c r="F5848" s="1" t="str" cm="1">
        <f t="array" ref="F5848">_xlfn.LET(_xlpm.rowNum,MATCH(E5848,'glossaryterms-export'!C:C,0),
IF(AND(NOT(ISBLANK(INDEX('glossaryterms-export'!H:H,_xlpm.rowNum))),ISBLANK(INDEX('glossaryterms-export'!I:I,_xlpm.rowNum))),"Ready to Fix",""))</f>
        <v/>
      </c>
    </row>
    <row r="5849" spans="6:6">
      <c r="F5849" s="1" t="str" cm="1">
        <f t="array" ref="F5849">_xlfn.LET(_xlpm.rowNum,MATCH(E5849,'glossaryterms-export'!C:C,0),
IF(AND(NOT(ISBLANK(INDEX('glossaryterms-export'!H:H,_xlpm.rowNum))),ISBLANK(INDEX('glossaryterms-export'!I:I,_xlpm.rowNum))),"Ready to Fix",""))</f>
        <v/>
      </c>
    </row>
    <row r="5850" spans="6:6">
      <c r="F5850" s="1" t="str" cm="1">
        <f t="array" ref="F5850">_xlfn.LET(_xlpm.rowNum,MATCH(E5850,'glossaryterms-export'!C:C,0),
IF(AND(NOT(ISBLANK(INDEX('glossaryterms-export'!H:H,_xlpm.rowNum))),ISBLANK(INDEX('glossaryterms-export'!I:I,_xlpm.rowNum))),"Ready to Fix",""))</f>
        <v/>
      </c>
    </row>
    <row r="5851" spans="6:6">
      <c r="F5851" s="1" t="str" cm="1">
        <f t="array" ref="F5851">_xlfn.LET(_xlpm.rowNum,MATCH(E5851,'glossaryterms-export'!C:C,0),
IF(AND(NOT(ISBLANK(INDEX('glossaryterms-export'!H:H,_xlpm.rowNum))),ISBLANK(INDEX('glossaryterms-export'!I:I,_xlpm.rowNum))),"Ready to Fix",""))</f>
        <v/>
      </c>
    </row>
    <row r="5852" spans="6:6">
      <c r="F5852" s="1" t="str" cm="1">
        <f t="array" ref="F5852">_xlfn.LET(_xlpm.rowNum,MATCH(E5852,'glossaryterms-export'!C:C,0),
IF(AND(NOT(ISBLANK(INDEX('glossaryterms-export'!H:H,_xlpm.rowNum))),ISBLANK(INDEX('glossaryterms-export'!I:I,_xlpm.rowNum))),"Ready to Fix",""))</f>
        <v/>
      </c>
    </row>
    <row r="5853" spans="6:6">
      <c r="F5853" s="1" t="str" cm="1">
        <f t="array" ref="F5853">_xlfn.LET(_xlpm.rowNum,MATCH(E5853,'glossaryterms-export'!C:C,0),
IF(AND(NOT(ISBLANK(INDEX('glossaryterms-export'!H:H,_xlpm.rowNum))),ISBLANK(INDEX('glossaryterms-export'!I:I,_xlpm.rowNum))),"Ready to Fix",""))</f>
        <v/>
      </c>
    </row>
    <row r="5854" spans="6:6">
      <c r="F5854" s="1" t="str" cm="1">
        <f t="array" ref="F5854">_xlfn.LET(_xlpm.rowNum,MATCH(E5854,'glossaryterms-export'!C:C,0),
IF(AND(NOT(ISBLANK(INDEX('glossaryterms-export'!H:H,_xlpm.rowNum))),ISBLANK(INDEX('glossaryterms-export'!I:I,_xlpm.rowNum))),"Ready to Fix",""))</f>
        <v/>
      </c>
    </row>
    <row r="5855" spans="6:6">
      <c r="F5855" s="1" t="str" cm="1">
        <f t="array" ref="F5855">_xlfn.LET(_xlpm.rowNum,MATCH(E5855,'glossaryterms-export'!C:C,0),
IF(AND(NOT(ISBLANK(INDEX('glossaryterms-export'!H:H,_xlpm.rowNum))),ISBLANK(INDEX('glossaryterms-export'!I:I,_xlpm.rowNum))),"Ready to Fix",""))</f>
        <v/>
      </c>
    </row>
    <row r="5856" spans="6:6">
      <c r="F5856" s="1" t="str" cm="1">
        <f t="array" ref="F5856">_xlfn.LET(_xlpm.rowNum,MATCH(E5856,'glossaryterms-export'!C:C,0),
IF(AND(NOT(ISBLANK(INDEX('glossaryterms-export'!H:H,_xlpm.rowNum))),ISBLANK(INDEX('glossaryterms-export'!I:I,_xlpm.rowNum))),"Ready to Fix",""))</f>
        <v/>
      </c>
    </row>
    <row r="5857" spans="6:6">
      <c r="F5857" s="1" t="str" cm="1">
        <f t="array" ref="F5857">_xlfn.LET(_xlpm.rowNum,MATCH(E5857,'glossaryterms-export'!C:C,0),
IF(AND(NOT(ISBLANK(INDEX('glossaryterms-export'!H:H,_xlpm.rowNum))),ISBLANK(INDEX('glossaryterms-export'!I:I,_xlpm.rowNum))),"Ready to Fix",""))</f>
        <v/>
      </c>
    </row>
    <row r="5858" spans="6:6">
      <c r="F5858" s="1" t="str" cm="1">
        <f t="array" ref="F5858">_xlfn.LET(_xlpm.rowNum,MATCH(E5858,'glossaryterms-export'!C:C,0),
IF(AND(NOT(ISBLANK(INDEX('glossaryterms-export'!H:H,_xlpm.rowNum))),ISBLANK(INDEX('glossaryterms-export'!I:I,_xlpm.rowNum))),"Ready to Fix",""))</f>
        <v/>
      </c>
    </row>
    <row r="5859" spans="6:6">
      <c r="F5859" s="1" t="str" cm="1">
        <f t="array" ref="F5859">_xlfn.LET(_xlpm.rowNum,MATCH(E5859,'glossaryterms-export'!C:C,0),
IF(AND(NOT(ISBLANK(INDEX('glossaryterms-export'!H:H,_xlpm.rowNum))),ISBLANK(INDEX('glossaryterms-export'!I:I,_xlpm.rowNum))),"Ready to Fix",""))</f>
        <v/>
      </c>
    </row>
    <row r="5860" spans="6:6">
      <c r="F5860" s="1" t="str" cm="1">
        <f t="array" ref="F5860">_xlfn.LET(_xlpm.rowNum,MATCH(E5860,'glossaryterms-export'!C:C,0),
IF(AND(NOT(ISBLANK(INDEX('glossaryterms-export'!H:H,_xlpm.rowNum))),ISBLANK(INDEX('glossaryterms-export'!I:I,_xlpm.rowNum))),"Ready to Fix",""))</f>
        <v/>
      </c>
    </row>
    <row r="5861" spans="6:6">
      <c r="F5861" s="1" t="str" cm="1">
        <f t="array" ref="F5861">_xlfn.LET(_xlpm.rowNum,MATCH(E5861,'glossaryterms-export'!C:C,0),
IF(AND(NOT(ISBLANK(INDEX('glossaryterms-export'!H:H,_xlpm.rowNum))),ISBLANK(INDEX('glossaryterms-export'!I:I,_xlpm.rowNum))),"Ready to Fix",""))</f>
        <v/>
      </c>
    </row>
    <row r="5862" spans="6:6">
      <c r="F5862" s="1" t="str" cm="1">
        <f t="array" ref="F5862">_xlfn.LET(_xlpm.rowNum,MATCH(E5862,'glossaryterms-export'!C:C,0),
IF(AND(NOT(ISBLANK(INDEX('glossaryterms-export'!H:H,_xlpm.rowNum))),ISBLANK(INDEX('glossaryterms-export'!I:I,_xlpm.rowNum))),"Ready to Fix",""))</f>
        <v/>
      </c>
    </row>
    <row r="5863" spans="6:6">
      <c r="F5863" s="1" t="str" cm="1">
        <f t="array" ref="F5863">_xlfn.LET(_xlpm.rowNum,MATCH(E5863,'glossaryterms-export'!C:C,0),
IF(AND(NOT(ISBLANK(INDEX('glossaryterms-export'!H:H,_xlpm.rowNum))),ISBLANK(INDEX('glossaryterms-export'!I:I,_xlpm.rowNum))),"Ready to Fix",""))</f>
        <v/>
      </c>
    </row>
    <row r="5864" spans="6:6">
      <c r="F5864" s="1" t="str" cm="1">
        <f t="array" ref="F5864">_xlfn.LET(_xlpm.rowNum,MATCH(E5864,'glossaryterms-export'!C:C,0),
IF(AND(NOT(ISBLANK(INDEX('glossaryterms-export'!H:H,_xlpm.rowNum))),ISBLANK(INDEX('glossaryterms-export'!I:I,_xlpm.rowNum))),"Ready to Fix",""))</f>
        <v/>
      </c>
    </row>
    <row r="5865" spans="6:6">
      <c r="F5865" s="1" t="str" cm="1">
        <f t="array" ref="F5865">_xlfn.LET(_xlpm.rowNum,MATCH(E5865,'glossaryterms-export'!C:C,0),
IF(AND(NOT(ISBLANK(INDEX('glossaryterms-export'!H:H,_xlpm.rowNum))),ISBLANK(INDEX('glossaryterms-export'!I:I,_xlpm.rowNum))),"Ready to Fix",""))</f>
        <v/>
      </c>
    </row>
    <row r="5866" spans="6:6">
      <c r="F5866" s="1" t="str" cm="1">
        <f t="array" ref="F5866">_xlfn.LET(_xlpm.rowNum,MATCH(E5866,'glossaryterms-export'!C:C,0),
IF(AND(NOT(ISBLANK(INDEX('glossaryterms-export'!H:H,_xlpm.rowNum))),ISBLANK(INDEX('glossaryterms-export'!I:I,_xlpm.rowNum))),"Ready to Fix",""))</f>
        <v/>
      </c>
    </row>
    <row r="5867" spans="6:6">
      <c r="F5867" s="1" t="str" cm="1">
        <f t="array" ref="F5867">_xlfn.LET(_xlpm.rowNum,MATCH(E5867,'glossaryterms-export'!C:C,0),
IF(AND(NOT(ISBLANK(INDEX('glossaryterms-export'!H:H,_xlpm.rowNum))),ISBLANK(INDEX('glossaryterms-export'!I:I,_xlpm.rowNum))),"Ready to Fix",""))</f>
        <v/>
      </c>
    </row>
    <row r="5868" spans="6:6">
      <c r="F5868" s="1" t="str" cm="1">
        <f t="array" ref="F5868">_xlfn.LET(_xlpm.rowNum,MATCH(E5868,'glossaryterms-export'!C:C,0),
IF(AND(NOT(ISBLANK(INDEX('glossaryterms-export'!H:H,_xlpm.rowNum))),ISBLANK(INDEX('glossaryterms-export'!I:I,_xlpm.rowNum))),"Ready to Fix",""))</f>
        <v/>
      </c>
    </row>
    <row r="5869" spans="6:6">
      <c r="F5869" s="1" t="str" cm="1">
        <f t="array" ref="F5869">_xlfn.LET(_xlpm.rowNum,MATCH(E5869,'glossaryterms-export'!C:C,0),
IF(AND(NOT(ISBLANK(INDEX('glossaryterms-export'!H:H,_xlpm.rowNum))),ISBLANK(INDEX('glossaryterms-export'!I:I,_xlpm.rowNum))),"Ready to Fix",""))</f>
        <v/>
      </c>
    </row>
    <row r="5870" spans="6:6">
      <c r="F5870" s="1" t="str" cm="1">
        <f t="array" ref="F5870">_xlfn.LET(_xlpm.rowNum,MATCH(E5870,'glossaryterms-export'!C:C,0),
IF(AND(NOT(ISBLANK(INDEX('glossaryterms-export'!H:H,_xlpm.rowNum))),ISBLANK(INDEX('glossaryterms-export'!I:I,_xlpm.rowNum))),"Ready to Fix",""))</f>
        <v/>
      </c>
    </row>
    <row r="5871" spans="6:6">
      <c r="F5871" s="1" t="str" cm="1">
        <f t="array" ref="F5871">_xlfn.LET(_xlpm.rowNum,MATCH(E5871,'glossaryterms-export'!C:C,0),
IF(AND(NOT(ISBLANK(INDEX('glossaryterms-export'!H:H,_xlpm.rowNum))),ISBLANK(INDEX('glossaryterms-export'!I:I,_xlpm.rowNum))),"Ready to Fix",""))</f>
        <v/>
      </c>
    </row>
    <row r="5872" spans="6:6">
      <c r="F5872" s="1" t="str" cm="1">
        <f t="array" ref="F5872">_xlfn.LET(_xlpm.rowNum,MATCH(E5872,'glossaryterms-export'!C:C,0),
IF(AND(NOT(ISBLANK(INDEX('glossaryterms-export'!H:H,_xlpm.rowNum))),ISBLANK(INDEX('glossaryterms-export'!I:I,_xlpm.rowNum))),"Ready to Fix",""))</f>
        <v/>
      </c>
    </row>
    <row r="5873" spans="6:6">
      <c r="F5873" s="1" t="str" cm="1">
        <f t="array" ref="F5873">_xlfn.LET(_xlpm.rowNum,MATCH(E5873,'glossaryterms-export'!C:C,0),
IF(AND(NOT(ISBLANK(INDEX('glossaryterms-export'!H:H,_xlpm.rowNum))),ISBLANK(INDEX('glossaryterms-export'!I:I,_xlpm.rowNum))),"Ready to Fix",""))</f>
        <v/>
      </c>
    </row>
    <row r="5874" spans="6:6">
      <c r="F5874" s="1" t="str" cm="1">
        <f t="array" ref="F5874">_xlfn.LET(_xlpm.rowNum,MATCH(E5874,'glossaryterms-export'!C:C,0),
IF(AND(NOT(ISBLANK(INDEX('glossaryterms-export'!H:H,_xlpm.rowNum))),ISBLANK(INDEX('glossaryterms-export'!I:I,_xlpm.rowNum))),"Ready to Fix",""))</f>
        <v/>
      </c>
    </row>
    <row r="5875" spans="6:6">
      <c r="F5875" s="1" t="str" cm="1">
        <f t="array" ref="F5875">_xlfn.LET(_xlpm.rowNum,MATCH(E5875,'glossaryterms-export'!C:C,0),
IF(AND(NOT(ISBLANK(INDEX('glossaryterms-export'!H:H,_xlpm.rowNum))),ISBLANK(INDEX('glossaryterms-export'!I:I,_xlpm.rowNum))),"Ready to Fix",""))</f>
        <v/>
      </c>
    </row>
    <row r="5876" spans="6:6">
      <c r="F5876" s="1" t="str" cm="1">
        <f t="array" ref="F5876">_xlfn.LET(_xlpm.rowNum,MATCH(E5876,'glossaryterms-export'!C:C,0),
IF(AND(NOT(ISBLANK(INDEX('glossaryterms-export'!H:H,_xlpm.rowNum))),ISBLANK(INDEX('glossaryterms-export'!I:I,_xlpm.rowNum))),"Ready to Fix",""))</f>
        <v/>
      </c>
    </row>
    <row r="5877" spans="6:6">
      <c r="F5877" s="1" t="str" cm="1">
        <f t="array" ref="F5877">_xlfn.LET(_xlpm.rowNum,MATCH(E5877,'glossaryterms-export'!C:C,0),
IF(AND(NOT(ISBLANK(INDEX('glossaryterms-export'!H:H,_xlpm.rowNum))),ISBLANK(INDEX('glossaryterms-export'!I:I,_xlpm.rowNum))),"Ready to Fix",""))</f>
        <v/>
      </c>
    </row>
    <row r="5878" spans="6:6">
      <c r="F5878" s="1" t="str" cm="1">
        <f t="array" ref="F5878">_xlfn.LET(_xlpm.rowNum,MATCH(E5878,'glossaryterms-export'!C:C,0),
IF(AND(NOT(ISBLANK(INDEX('glossaryterms-export'!H:H,_xlpm.rowNum))),ISBLANK(INDEX('glossaryterms-export'!I:I,_xlpm.rowNum))),"Ready to Fix",""))</f>
        <v/>
      </c>
    </row>
    <row r="5879" spans="6:6">
      <c r="F5879" s="1" t="str" cm="1">
        <f t="array" ref="F5879">_xlfn.LET(_xlpm.rowNum,MATCH(E5879,'glossaryterms-export'!C:C,0),
IF(AND(NOT(ISBLANK(INDEX('glossaryterms-export'!H:H,_xlpm.rowNum))),ISBLANK(INDEX('glossaryterms-export'!I:I,_xlpm.rowNum))),"Ready to Fix",""))</f>
        <v/>
      </c>
    </row>
    <row r="5880" spans="6:6">
      <c r="F5880" s="1" t="str" cm="1">
        <f t="array" ref="F5880">_xlfn.LET(_xlpm.rowNum,MATCH(E5880,'glossaryterms-export'!C:C,0),
IF(AND(NOT(ISBLANK(INDEX('glossaryterms-export'!H:H,_xlpm.rowNum))),ISBLANK(INDEX('glossaryterms-export'!I:I,_xlpm.rowNum))),"Ready to Fix",""))</f>
        <v/>
      </c>
    </row>
    <row r="5881" spans="6:6">
      <c r="F5881" s="1" t="str" cm="1">
        <f t="array" ref="F5881">_xlfn.LET(_xlpm.rowNum,MATCH(E5881,'glossaryterms-export'!C:C,0),
IF(AND(NOT(ISBLANK(INDEX('glossaryterms-export'!H:H,_xlpm.rowNum))),ISBLANK(INDEX('glossaryterms-export'!I:I,_xlpm.rowNum))),"Ready to Fix",""))</f>
        <v/>
      </c>
    </row>
    <row r="5882" spans="6:6">
      <c r="F5882" s="1" t="str" cm="1">
        <f t="array" ref="F5882">_xlfn.LET(_xlpm.rowNum,MATCH(E5882,'glossaryterms-export'!C:C,0),
IF(AND(NOT(ISBLANK(INDEX('glossaryterms-export'!H:H,_xlpm.rowNum))),ISBLANK(INDEX('glossaryterms-export'!I:I,_xlpm.rowNum))),"Ready to Fix",""))</f>
        <v/>
      </c>
    </row>
    <row r="5883" spans="6:6">
      <c r="F5883" s="1" t="str" cm="1">
        <f t="array" ref="F5883">_xlfn.LET(_xlpm.rowNum,MATCH(E5883,'glossaryterms-export'!C:C,0),
IF(AND(NOT(ISBLANK(INDEX('glossaryterms-export'!H:H,_xlpm.rowNum))),ISBLANK(INDEX('glossaryterms-export'!I:I,_xlpm.rowNum))),"Ready to Fix",""))</f>
        <v/>
      </c>
    </row>
    <row r="5884" spans="6:6">
      <c r="F5884" s="1" t="str" cm="1">
        <f t="array" ref="F5884">_xlfn.LET(_xlpm.rowNum,MATCH(E5884,'glossaryterms-export'!C:C,0),
IF(AND(NOT(ISBLANK(INDEX('glossaryterms-export'!H:H,_xlpm.rowNum))),ISBLANK(INDEX('glossaryterms-export'!I:I,_xlpm.rowNum))),"Ready to Fix",""))</f>
        <v/>
      </c>
    </row>
    <row r="5885" spans="6:6">
      <c r="F5885" s="1" t="str" cm="1">
        <f t="array" ref="F5885">_xlfn.LET(_xlpm.rowNum,MATCH(E5885,'glossaryterms-export'!C:C,0),
IF(AND(NOT(ISBLANK(INDEX('glossaryterms-export'!H:H,_xlpm.rowNum))),ISBLANK(INDEX('glossaryterms-export'!I:I,_xlpm.rowNum))),"Ready to Fix",""))</f>
        <v/>
      </c>
    </row>
    <row r="5886" spans="6:6">
      <c r="F5886" s="1" t="str" cm="1">
        <f t="array" ref="F5886">_xlfn.LET(_xlpm.rowNum,MATCH(E5886,'glossaryterms-export'!C:C,0),
IF(AND(NOT(ISBLANK(INDEX('glossaryterms-export'!H:H,_xlpm.rowNum))),ISBLANK(INDEX('glossaryterms-export'!I:I,_xlpm.rowNum))),"Ready to Fix",""))</f>
        <v/>
      </c>
    </row>
    <row r="5887" spans="6:6">
      <c r="F5887" s="1" t="str" cm="1">
        <f t="array" ref="F5887">_xlfn.LET(_xlpm.rowNum,MATCH(E5887,'glossaryterms-export'!C:C,0),
IF(AND(NOT(ISBLANK(INDEX('glossaryterms-export'!H:H,_xlpm.rowNum))),ISBLANK(INDEX('glossaryterms-export'!I:I,_xlpm.rowNum))),"Ready to Fix",""))</f>
        <v/>
      </c>
    </row>
    <row r="5888" spans="6:6">
      <c r="F5888" s="1" t="str" cm="1">
        <f t="array" ref="F5888">_xlfn.LET(_xlpm.rowNum,MATCH(E5888,'glossaryterms-export'!C:C,0),
IF(AND(NOT(ISBLANK(INDEX('glossaryterms-export'!H:H,_xlpm.rowNum))),ISBLANK(INDEX('glossaryterms-export'!I:I,_xlpm.rowNum))),"Ready to Fix",""))</f>
        <v/>
      </c>
    </row>
    <row r="5889" spans="6:6">
      <c r="F5889" s="1" t="str" cm="1">
        <f t="array" ref="F5889">_xlfn.LET(_xlpm.rowNum,MATCH(E5889,'glossaryterms-export'!C:C,0),
IF(AND(NOT(ISBLANK(INDEX('glossaryterms-export'!H:H,_xlpm.rowNum))),ISBLANK(INDEX('glossaryterms-export'!I:I,_xlpm.rowNum))),"Ready to Fix",""))</f>
        <v/>
      </c>
    </row>
    <row r="5890" spans="6:6">
      <c r="F5890" s="1" t="str" cm="1">
        <f t="array" ref="F5890">_xlfn.LET(_xlpm.rowNum,MATCH(E5890,'glossaryterms-export'!C:C,0),
IF(AND(NOT(ISBLANK(INDEX('glossaryterms-export'!H:H,_xlpm.rowNum))),ISBLANK(INDEX('glossaryterms-export'!I:I,_xlpm.rowNum))),"Ready to Fix",""))</f>
        <v/>
      </c>
    </row>
    <row r="5891" spans="6:6">
      <c r="F5891" s="1" t="str" cm="1">
        <f t="array" ref="F5891">_xlfn.LET(_xlpm.rowNum,MATCH(E5891,'glossaryterms-export'!C:C,0),
IF(AND(NOT(ISBLANK(INDEX('glossaryterms-export'!H:H,_xlpm.rowNum))),ISBLANK(INDEX('glossaryterms-export'!I:I,_xlpm.rowNum))),"Ready to Fix",""))</f>
        <v/>
      </c>
    </row>
    <row r="5892" spans="6:6">
      <c r="F5892" s="1" t="str" cm="1">
        <f t="array" ref="F5892">_xlfn.LET(_xlpm.rowNum,MATCH(E5892,'glossaryterms-export'!C:C,0),
IF(AND(NOT(ISBLANK(INDEX('glossaryterms-export'!H:H,_xlpm.rowNum))),ISBLANK(INDEX('glossaryterms-export'!I:I,_xlpm.rowNum))),"Ready to Fix",""))</f>
        <v/>
      </c>
    </row>
    <row r="5893" spans="6:6">
      <c r="F5893" s="1" t="str" cm="1">
        <f t="array" ref="F5893">_xlfn.LET(_xlpm.rowNum,MATCH(E5893,'glossaryterms-export'!C:C,0),
IF(AND(NOT(ISBLANK(INDEX('glossaryterms-export'!H:H,_xlpm.rowNum))),ISBLANK(INDEX('glossaryterms-export'!I:I,_xlpm.rowNum))),"Ready to Fix",""))</f>
        <v/>
      </c>
    </row>
    <row r="5894" spans="6:6">
      <c r="F5894" s="1" t="str" cm="1">
        <f t="array" ref="F5894">_xlfn.LET(_xlpm.rowNum,MATCH(E5894,'glossaryterms-export'!C:C,0),
IF(AND(NOT(ISBLANK(INDEX('glossaryterms-export'!H:H,_xlpm.rowNum))),ISBLANK(INDEX('glossaryterms-export'!I:I,_xlpm.rowNum))),"Ready to Fix",""))</f>
        <v/>
      </c>
    </row>
    <row r="5895" spans="6:6">
      <c r="F5895" s="1" t="str" cm="1">
        <f t="array" ref="F5895">_xlfn.LET(_xlpm.rowNum,MATCH(E5895,'glossaryterms-export'!C:C,0),
IF(AND(NOT(ISBLANK(INDEX('glossaryterms-export'!H:H,_xlpm.rowNum))),ISBLANK(INDEX('glossaryterms-export'!I:I,_xlpm.rowNum))),"Ready to Fix",""))</f>
        <v/>
      </c>
    </row>
    <row r="5896" spans="6:6">
      <c r="F5896" s="1" t="str" cm="1">
        <f t="array" ref="F5896">_xlfn.LET(_xlpm.rowNum,MATCH(E5896,'glossaryterms-export'!C:C,0),
IF(AND(NOT(ISBLANK(INDEX('glossaryterms-export'!H:H,_xlpm.rowNum))),ISBLANK(INDEX('glossaryterms-export'!I:I,_xlpm.rowNum))),"Ready to Fix",""))</f>
        <v/>
      </c>
    </row>
    <row r="5897" spans="6:6">
      <c r="F5897" s="1" t="str" cm="1">
        <f t="array" ref="F5897">_xlfn.LET(_xlpm.rowNum,MATCH(E5897,'glossaryterms-export'!C:C,0),
IF(AND(NOT(ISBLANK(INDEX('glossaryterms-export'!H:H,_xlpm.rowNum))),ISBLANK(INDEX('glossaryterms-export'!I:I,_xlpm.rowNum))),"Ready to Fix",""))</f>
        <v/>
      </c>
    </row>
    <row r="5898" spans="6:6">
      <c r="F5898" s="1" t="str" cm="1">
        <f t="array" ref="F5898">_xlfn.LET(_xlpm.rowNum,MATCH(E5898,'glossaryterms-export'!C:C,0),
IF(AND(NOT(ISBLANK(INDEX('glossaryterms-export'!H:H,_xlpm.rowNum))),ISBLANK(INDEX('glossaryterms-export'!I:I,_xlpm.rowNum))),"Ready to Fix",""))</f>
        <v/>
      </c>
    </row>
    <row r="5899" spans="6:6">
      <c r="F5899" s="1" t="str" cm="1">
        <f t="array" ref="F5899">_xlfn.LET(_xlpm.rowNum,MATCH(E5899,'glossaryterms-export'!C:C,0),
IF(AND(NOT(ISBLANK(INDEX('glossaryterms-export'!H:H,_xlpm.rowNum))),ISBLANK(INDEX('glossaryterms-export'!I:I,_xlpm.rowNum))),"Ready to Fix",""))</f>
        <v/>
      </c>
    </row>
    <row r="5900" spans="6:6">
      <c r="F5900" s="1" t="str" cm="1">
        <f t="array" ref="F5900">_xlfn.LET(_xlpm.rowNum,MATCH(E5900,'glossaryterms-export'!C:C,0),
IF(AND(NOT(ISBLANK(INDEX('glossaryterms-export'!H:H,_xlpm.rowNum))),ISBLANK(INDEX('glossaryterms-export'!I:I,_xlpm.rowNum))),"Ready to Fix",""))</f>
        <v/>
      </c>
    </row>
    <row r="5901" spans="6:6">
      <c r="F5901" s="1" t="str" cm="1">
        <f t="array" ref="F5901">_xlfn.LET(_xlpm.rowNum,MATCH(E5901,'glossaryterms-export'!C:C,0),
IF(AND(NOT(ISBLANK(INDEX('glossaryterms-export'!H:H,_xlpm.rowNum))),ISBLANK(INDEX('glossaryterms-export'!I:I,_xlpm.rowNum))),"Ready to Fix",""))</f>
        <v/>
      </c>
    </row>
    <row r="5902" spans="6:6">
      <c r="F5902" s="1" t="str" cm="1">
        <f t="array" ref="F5902">_xlfn.LET(_xlpm.rowNum,MATCH(E5902,'glossaryterms-export'!C:C,0),
IF(AND(NOT(ISBLANK(INDEX('glossaryterms-export'!H:H,_xlpm.rowNum))),ISBLANK(INDEX('glossaryterms-export'!I:I,_xlpm.rowNum))),"Ready to Fix",""))</f>
        <v/>
      </c>
    </row>
    <row r="5903" spans="6:6">
      <c r="F5903" s="1" t="str" cm="1">
        <f t="array" ref="F5903">_xlfn.LET(_xlpm.rowNum,MATCH(E5903,'glossaryterms-export'!C:C,0),
IF(AND(NOT(ISBLANK(INDEX('glossaryterms-export'!H:H,_xlpm.rowNum))),ISBLANK(INDEX('glossaryterms-export'!I:I,_xlpm.rowNum))),"Ready to Fix",""))</f>
        <v/>
      </c>
    </row>
    <row r="5904" spans="6:6">
      <c r="F5904" s="1" t="str" cm="1">
        <f t="array" ref="F5904">_xlfn.LET(_xlpm.rowNum,MATCH(E5904,'glossaryterms-export'!C:C,0),
IF(AND(NOT(ISBLANK(INDEX('glossaryterms-export'!H:H,_xlpm.rowNum))),ISBLANK(INDEX('glossaryterms-export'!I:I,_xlpm.rowNum))),"Ready to Fix",""))</f>
        <v/>
      </c>
    </row>
    <row r="5905" spans="6:6">
      <c r="F5905" s="1" t="str" cm="1">
        <f t="array" ref="F5905">_xlfn.LET(_xlpm.rowNum,MATCH(E5905,'glossaryterms-export'!C:C,0),
IF(AND(NOT(ISBLANK(INDEX('glossaryterms-export'!H:H,_xlpm.rowNum))),ISBLANK(INDEX('glossaryterms-export'!I:I,_xlpm.rowNum))),"Ready to Fix",""))</f>
        <v/>
      </c>
    </row>
    <row r="5906" spans="6:6">
      <c r="F5906" s="1" t="str" cm="1">
        <f t="array" ref="F5906">_xlfn.LET(_xlpm.rowNum,MATCH(E5906,'glossaryterms-export'!C:C,0),
IF(AND(NOT(ISBLANK(INDEX('glossaryterms-export'!H:H,_xlpm.rowNum))),ISBLANK(INDEX('glossaryterms-export'!I:I,_xlpm.rowNum))),"Ready to Fix",""))</f>
        <v/>
      </c>
    </row>
    <row r="5907" spans="6:6">
      <c r="F5907" s="1" t="str" cm="1">
        <f t="array" ref="F5907">_xlfn.LET(_xlpm.rowNum,MATCH(E5907,'glossaryterms-export'!C:C,0),
IF(AND(NOT(ISBLANK(INDEX('glossaryterms-export'!H:H,_xlpm.rowNum))),ISBLANK(INDEX('glossaryterms-export'!I:I,_xlpm.rowNum))),"Ready to Fix",""))</f>
        <v/>
      </c>
    </row>
    <row r="5908" spans="6:6">
      <c r="F5908" s="1" t="str" cm="1">
        <f t="array" ref="F5908">_xlfn.LET(_xlpm.rowNum,MATCH(E5908,'glossaryterms-export'!C:C,0),
IF(AND(NOT(ISBLANK(INDEX('glossaryterms-export'!H:H,_xlpm.rowNum))),ISBLANK(INDEX('glossaryterms-export'!I:I,_xlpm.rowNum))),"Ready to Fix",""))</f>
        <v/>
      </c>
    </row>
    <row r="5909" spans="6:6">
      <c r="F5909" s="1" t="str" cm="1">
        <f t="array" ref="F5909">_xlfn.LET(_xlpm.rowNum,MATCH(E5909,'glossaryterms-export'!C:C,0),
IF(AND(NOT(ISBLANK(INDEX('glossaryterms-export'!H:H,_xlpm.rowNum))),ISBLANK(INDEX('glossaryterms-export'!I:I,_xlpm.rowNum))),"Ready to Fix",""))</f>
        <v/>
      </c>
    </row>
    <row r="5910" spans="6:6">
      <c r="F5910" s="1" t="str" cm="1">
        <f t="array" ref="F5910">_xlfn.LET(_xlpm.rowNum,MATCH(E5910,'glossaryterms-export'!C:C,0),
IF(AND(NOT(ISBLANK(INDEX('glossaryterms-export'!H:H,_xlpm.rowNum))),ISBLANK(INDEX('glossaryterms-export'!I:I,_xlpm.rowNum))),"Ready to Fix",""))</f>
        <v/>
      </c>
    </row>
    <row r="5911" spans="6:6">
      <c r="F5911" s="1" t="str" cm="1">
        <f t="array" ref="F5911">_xlfn.LET(_xlpm.rowNum,MATCH(E5911,'glossaryterms-export'!C:C,0),
IF(AND(NOT(ISBLANK(INDEX('glossaryterms-export'!H:H,_xlpm.rowNum))),ISBLANK(INDEX('glossaryterms-export'!I:I,_xlpm.rowNum))),"Ready to Fix",""))</f>
        <v/>
      </c>
    </row>
    <row r="5912" spans="6:6">
      <c r="F5912" s="1" t="str" cm="1">
        <f t="array" ref="F5912">_xlfn.LET(_xlpm.rowNum,MATCH(E5912,'glossaryterms-export'!C:C,0),
IF(AND(NOT(ISBLANK(INDEX('glossaryterms-export'!H:H,_xlpm.rowNum))),ISBLANK(INDEX('glossaryterms-export'!I:I,_xlpm.rowNum))),"Ready to Fix",""))</f>
        <v/>
      </c>
    </row>
    <row r="5913" spans="6:6">
      <c r="F5913" s="1" t="str" cm="1">
        <f t="array" ref="F5913">_xlfn.LET(_xlpm.rowNum,MATCH(E5913,'glossaryterms-export'!C:C,0),
IF(AND(NOT(ISBLANK(INDEX('glossaryterms-export'!H:H,_xlpm.rowNum))),ISBLANK(INDEX('glossaryterms-export'!I:I,_xlpm.rowNum))),"Ready to Fix",""))</f>
        <v/>
      </c>
    </row>
    <row r="5914" spans="6:6">
      <c r="F5914" s="1" t="str" cm="1">
        <f t="array" ref="F5914">_xlfn.LET(_xlpm.rowNum,MATCH(E5914,'glossaryterms-export'!C:C,0),
IF(AND(NOT(ISBLANK(INDEX('glossaryterms-export'!H:H,_xlpm.rowNum))),ISBLANK(INDEX('glossaryterms-export'!I:I,_xlpm.rowNum))),"Ready to Fix",""))</f>
        <v/>
      </c>
    </row>
    <row r="5915" spans="6:6">
      <c r="F5915" s="1" t="str" cm="1">
        <f t="array" ref="F5915">_xlfn.LET(_xlpm.rowNum,MATCH(E5915,'glossaryterms-export'!C:C,0),
IF(AND(NOT(ISBLANK(INDEX('glossaryterms-export'!H:H,_xlpm.rowNum))),ISBLANK(INDEX('glossaryterms-export'!I:I,_xlpm.rowNum))),"Ready to Fix",""))</f>
        <v/>
      </c>
    </row>
    <row r="5916" spans="6:6">
      <c r="F5916" s="1" t="str" cm="1">
        <f t="array" ref="F5916">_xlfn.LET(_xlpm.rowNum,MATCH(E5916,'glossaryterms-export'!C:C,0),
IF(AND(NOT(ISBLANK(INDEX('glossaryterms-export'!H:H,_xlpm.rowNum))),ISBLANK(INDEX('glossaryterms-export'!I:I,_xlpm.rowNum))),"Ready to Fix",""))</f>
        <v/>
      </c>
    </row>
    <row r="5917" spans="6:6">
      <c r="F5917" s="1" t="str" cm="1">
        <f t="array" ref="F5917">_xlfn.LET(_xlpm.rowNum,MATCH(E5917,'glossaryterms-export'!C:C,0),
IF(AND(NOT(ISBLANK(INDEX('glossaryterms-export'!H:H,_xlpm.rowNum))),ISBLANK(INDEX('glossaryterms-export'!I:I,_xlpm.rowNum))),"Ready to Fix",""))</f>
        <v/>
      </c>
    </row>
    <row r="5918" spans="6:6">
      <c r="F5918" s="1" t="str" cm="1">
        <f t="array" ref="F5918">_xlfn.LET(_xlpm.rowNum,MATCH(E5918,'glossaryterms-export'!C:C,0),
IF(AND(NOT(ISBLANK(INDEX('glossaryterms-export'!H:H,_xlpm.rowNum))),ISBLANK(INDEX('glossaryterms-export'!I:I,_xlpm.rowNum))),"Ready to Fix",""))</f>
        <v/>
      </c>
    </row>
    <row r="5919" spans="6:6">
      <c r="F5919" s="1" t="str" cm="1">
        <f t="array" ref="F5919">_xlfn.LET(_xlpm.rowNum,MATCH(E5919,'glossaryterms-export'!C:C,0),
IF(AND(NOT(ISBLANK(INDEX('glossaryterms-export'!H:H,_xlpm.rowNum))),ISBLANK(INDEX('glossaryterms-export'!I:I,_xlpm.rowNum))),"Ready to Fix",""))</f>
        <v/>
      </c>
    </row>
    <row r="5920" spans="6:6">
      <c r="F5920" s="1" t="str" cm="1">
        <f t="array" ref="F5920">_xlfn.LET(_xlpm.rowNum,MATCH(E5920,'glossaryterms-export'!C:C,0),
IF(AND(NOT(ISBLANK(INDEX('glossaryterms-export'!H:H,_xlpm.rowNum))),ISBLANK(INDEX('glossaryterms-export'!I:I,_xlpm.rowNum))),"Ready to Fix",""))</f>
        <v/>
      </c>
    </row>
    <row r="5921" spans="6:6">
      <c r="F5921" s="1" t="str" cm="1">
        <f t="array" ref="F5921">_xlfn.LET(_xlpm.rowNum,MATCH(E5921,'glossaryterms-export'!C:C,0),
IF(AND(NOT(ISBLANK(INDEX('glossaryterms-export'!H:H,_xlpm.rowNum))),ISBLANK(INDEX('glossaryterms-export'!I:I,_xlpm.rowNum))),"Ready to Fix",""))</f>
        <v/>
      </c>
    </row>
    <row r="5922" spans="6:6">
      <c r="F5922" s="1" t="str" cm="1">
        <f t="array" ref="F5922">_xlfn.LET(_xlpm.rowNum,MATCH(E5922,'glossaryterms-export'!C:C,0),
IF(AND(NOT(ISBLANK(INDEX('glossaryterms-export'!H:H,_xlpm.rowNum))),ISBLANK(INDEX('glossaryterms-export'!I:I,_xlpm.rowNum))),"Ready to Fix",""))</f>
        <v/>
      </c>
    </row>
    <row r="5923" spans="6:6">
      <c r="F5923" s="1" t="str" cm="1">
        <f t="array" ref="F5923">_xlfn.LET(_xlpm.rowNum,MATCH(E5923,'glossaryterms-export'!C:C,0),
IF(AND(NOT(ISBLANK(INDEX('glossaryterms-export'!H:H,_xlpm.rowNum))),ISBLANK(INDEX('glossaryterms-export'!I:I,_xlpm.rowNum))),"Ready to Fix",""))</f>
        <v/>
      </c>
    </row>
    <row r="5924" spans="6:6">
      <c r="F5924" s="1" t="str" cm="1">
        <f t="array" ref="F5924">_xlfn.LET(_xlpm.rowNum,MATCH(E5924,'glossaryterms-export'!C:C,0),
IF(AND(NOT(ISBLANK(INDEX('glossaryterms-export'!H:H,_xlpm.rowNum))),ISBLANK(INDEX('glossaryterms-export'!I:I,_xlpm.rowNum))),"Ready to Fix",""))</f>
        <v/>
      </c>
    </row>
    <row r="5925" spans="6:6">
      <c r="F5925" s="1" t="str" cm="1">
        <f t="array" ref="F5925">_xlfn.LET(_xlpm.rowNum,MATCH(E5925,'glossaryterms-export'!C:C,0),
IF(AND(NOT(ISBLANK(INDEX('glossaryterms-export'!H:H,_xlpm.rowNum))),ISBLANK(INDEX('glossaryterms-export'!I:I,_xlpm.rowNum))),"Ready to Fix",""))</f>
        <v/>
      </c>
    </row>
    <row r="5926" spans="6:6">
      <c r="F5926" s="1" t="str" cm="1">
        <f t="array" ref="F5926">_xlfn.LET(_xlpm.rowNum,MATCH(E5926,'glossaryterms-export'!C:C,0),
IF(AND(NOT(ISBLANK(INDEX('glossaryterms-export'!H:H,_xlpm.rowNum))),ISBLANK(INDEX('glossaryterms-export'!I:I,_xlpm.rowNum))),"Ready to Fix",""))</f>
        <v/>
      </c>
    </row>
    <row r="5927" spans="6:6">
      <c r="F5927" s="1" t="str" cm="1">
        <f t="array" ref="F5927">_xlfn.LET(_xlpm.rowNum,MATCH(E5927,'glossaryterms-export'!C:C,0),
IF(AND(NOT(ISBLANK(INDEX('glossaryterms-export'!H:H,_xlpm.rowNum))),ISBLANK(INDEX('glossaryterms-export'!I:I,_xlpm.rowNum))),"Ready to Fix",""))</f>
        <v/>
      </c>
    </row>
    <row r="5928" spans="6:6">
      <c r="F5928" s="1" t="str" cm="1">
        <f t="array" ref="F5928">_xlfn.LET(_xlpm.rowNum,MATCH(E5928,'glossaryterms-export'!C:C,0),
IF(AND(NOT(ISBLANK(INDEX('glossaryterms-export'!H:H,_xlpm.rowNum))),ISBLANK(INDEX('glossaryterms-export'!I:I,_xlpm.rowNum))),"Ready to Fix",""))</f>
        <v/>
      </c>
    </row>
    <row r="5929" spans="6:6">
      <c r="F5929" s="1" t="str" cm="1">
        <f t="array" ref="F5929">_xlfn.LET(_xlpm.rowNum,MATCH(E5929,'glossaryterms-export'!C:C,0),
IF(AND(NOT(ISBLANK(INDEX('glossaryterms-export'!H:H,_xlpm.rowNum))),ISBLANK(INDEX('glossaryterms-export'!I:I,_xlpm.rowNum))),"Ready to Fix",""))</f>
        <v/>
      </c>
    </row>
    <row r="5930" spans="6:6">
      <c r="F5930" s="1" t="str" cm="1">
        <f t="array" ref="F5930">_xlfn.LET(_xlpm.rowNum,MATCH(E5930,'glossaryterms-export'!C:C,0),
IF(AND(NOT(ISBLANK(INDEX('glossaryterms-export'!H:H,_xlpm.rowNum))),ISBLANK(INDEX('glossaryterms-export'!I:I,_xlpm.rowNum))),"Ready to Fix",""))</f>
        <v/>
      </c>
    </row>
    <row r="5931" spans="6:6">
      <c r="F5931" s="1" t="str" cm="1">
        <f t="array" ref="F5931">_xlfn.LET(_xlpm.rowNum,MATCH(E5931,'glossaryterms-export'!C:C,0),
IF(AND(NOT(ISBLANK(INDEX('glossaryterms-export'!H:H,_xlpm.rowNum))),ISBLANK(INDEX('glossaryterms-export'!I:I,_xlpm.rowNum))),"Ready to Fix",""))</f>
        <v/>
      </c>
    </row>
    <row r="5932" spans="6:6">
      <c r="F5932" s="1" t="str" cm="1">
        <f t="array" ref="F5932">_xlfn.LET(_xlpm.rowNum,MATCH(E5932,'glossaryterms-export'!C:C,0),
IF(AND(NOT(ISBLANK(INDEX('glossaryterms-export'!H:H,_xlpm.rowNum))),ISBLANK(INDEX('glossaryterms-export'!I:I,_xlpm.rowNum))),"Ready to Fix",""))</f>
        <v/>
      </c>
    </row>
    <row r="5933" spans="6:6">
      <c r="F5933" s="1" t="str" cm="1">
        <f t="array" ref="F5933">_xlfn.LET(_xlpm.rowNum,MATCH(E5933,'glossaryterms-export'!C:C,0),
IF(AND(NOT(ISBLANK(INDEX('glossaryterms-export'!H:H,_xlpm.rowNum))),ISBLANK(INDEX('glossaryterms-export'!I:I,_xlpm.rowNum))),"Ready to Fix",""))</f>
        <v/>
      </c>
    </row>
    <row r="5934" spans="6:6">
      <c r="F5934" s="1" t="str" cm="1">
        <f t="array" ref="F5934">_xlfn.LET(_xlpm.rowNum,MATCH(E5934,'glossaryterms-export'!C:C,0),
IF(AND(NOT(ISBLANK(INDEX('glossaryterms-export'!H:H,_xlpm.rowNum))),ISBLANK(INDEX('glossaryterms-export'!I:I,_xlpm.rowNum))),"Ready to Fix",""))</f>
        <v/>
      </c>
    </row>
    <row r="5935" spans="6:6">
      <c r="F5935" s="1" t="str" cm="1">
        <f t="array" ref="F5935">_xlfn.LET(_xlpm.rowNum,MATCH(E5935,'glossaryterms-export'!C:C,0),
IF(AND(NOT(ISBLANK(INDEX('glossaryterms-export'!H:H,_xlpm.rowNum))),ISBLANK(INDEX('glossaryterms-export'!I:I,_xlpm.rowNum))),"Ready to Fix",""))</f>
        <v/>
      </c>
    </row>
    <row r="5936" spans="6:6">
      <c r="F5936" s="1" t="str" cm="1">
        <f t="array" ref="F5936">_xlfn.LET(_xlpm.rowNum,MATCH(E5936,'glossaryterms-export'!C:C,0),
IF(AND(NOT(ISBLANK(INDEX('glossaryterms-export'!H:H,_xlpm.rowNum))),ISBLANK(INDEX('glossaryterms-export'!I:I,_xlpm.rowNum))),"Ready to Fix",""))</f>
        <v/>
      </c>
    </row>
    <row r="5937" spans="6:6">
      <c r="F5937" s="1" t="str" cm="1">
        <f t="array" ref="F5937">_xlfn.LET(_xlpm.rowNum,MATCH(E5937,'glossaryterms-export'!C:C,0),
IF(AND(NOT(ISBLANK(INDEX('glossaryterms-export'!H:H,_xlpm.rowNum))),ISBLANK(INDEX('glossaryterms-export'!I:I,_xlpm.rowNum))),"Ready to Fix",""))</f>
        <v/>
      </c>
    </row>
    <row r="5938" spans="6:6">
      <c r="F5938" s="1" t="str" cm="1">
        <f t="array" ref="F5938">_xlfn.LET(_xlpm.rowNum,MATCH(E5938,'glossaryterms-export'!C:C,0),
IF(AND(NOT(ISBLANK(INDEX('glossaryterms-export'!H:H,_xlpm.rowNum))),ISBLANK(INDEX('glossaryterms-export'!I:I,_xlpm.rowNum))),"Ready to Fix",""))</f>
        <v/>
      </c>
    </row>
    <row r="5939" spans="6:6">
      <c r="F5939" s="1" t="str" cm="1">
        <f t="array" ref="F5939">_xlfn.LET(_xlpm.rowNum,MATCH(E5939,'glossaryterms-export'!C:C,0),
IF(AND(NOT(ISBLANK(INDEX('glossaryterms-export'!H:H,_xlpm.rowNum))),ISBLANK(INDEX('glossaryterms-export'!I:I,_xlpm.rowNum))),"Ready to Fix",""))</f>
        <v/>
      </c>
    </row>
    <row r="5940" spans="6:6">
      <c r="F5940" s="1" t="str" cm="1">
        <f t="array" ref="F5940">_xlfn.LET(_xlpm.rowNum,MATCH(E5940,'glossaryterms-export'!C:C,0),
IF(AND(NOT(ISBLANK(INDEX('glossaryterms-export'!H:H,_xlpm.rowNum))),ISBLANK(INDEX('glossaryterms-export'!I:I,_xlpm.rowNum))),"Ready to Fix",""))</f>
        <v/>
      </c>
    </row>
    <row r="5941" spans="6:6">
      <c r="F5941" s="1" t="str" cm="1">
        <f t="array" ref="F5941">_xlfn.LET(_xlpm.rowNum,MATCH(E5941,'glossaryterms-export'!C:C,0),
IF(AND(NOT(ISBLANK(INDEX('glossaryterms-export'!H:H,_xlpm.rowNum))),ISBLANK(INDEX('glossaryterms-export'!I:I,_xlpm.rowNum))),"Ready to Fix",""))</f>
        <v/>
      </c>
    </row>
    <row r="5942" spans="6:6">
      <c r="F5942" s="1" t="str" cm="1">
        <f t="array" ref="F5942">_xlfn.LET(_xlpm.rowNum,MATCH(E5942,'glossaryterms-export'!C:C,0),
IF(AND(NOT(ISBLANK(INDEX('glossaryterms-export'!H:H,_xlpm.rowNum))),ISBLANK(INDEX('glossaryterms-export'!I:I,_xlpm.rowNum))),"Ready to Fix",""))</f>
        <v/>
      </c>
    </row>
    <row r="5943" spans="6:6">
      <c r="F5943" s="1" t="str" cm="1">
        <f t="array" ref="F5943">_xlfn.LET(_xlpm.rowNum,MATCH(E5943,'glossaryterms-export'!C:C,0),
IF(AND(NOT(ISBLANK(INDEX('glossaryterms-export'!H:H,_xlpm.rowNum))),ISBLANK(INDEX('glossaryterms-export'!I:I,_xlpm.rowNum))),"Ready to Fix",""))</f>
        <v/>
      </c>
    </row>
    <row r="5944" spans="6:6">
      <c r="F5944" s="1" t="str" cm="1">
        <f t="array" ref="F5944">_xlfn.LET(_xlpm.rowNum,MATCH(E5944,'glossaryterms-export'!C:C,0),
IF(AND(NOT(ISBLANK(INDEX('glossaryterms-export'!H:H,_xlpm.rowNum))),ISBLANK(INDEX('glossaryterms-export'!I:I,_xlpm.rowNum))),"Ready to Fix",""))</f>
        <v/>
      </c>
    </row>
    <row r="5945" spans="6:6">
      <c r="F5945" s="1" t="str" cm="1">
        <f t="array" ref="F5945">_xlfn.LET(_xlpm.rowNum,MATCH(E5945,'glossaryterms-export'!C:C,0),
IF(AND(NOT(ISBLANK(INDEX('glossaryterms-export'!H:H,_xlpm.rowNum))),ISBLANK(INDEX('glossaryterms-export'!I:I,_xlpm.rowNum))),"Ready to Fix",""))</f>
        <v/>
      </c>
    </row>
    <row r="5946" spans="6:6">
      <c r="F5946" s="1" t="str" cm="1">
        <f t="array" ref="F5946">_xlfn.LET(_xlpm.rowNum,MATCH(E5946,'glossaryterms-export'!C:C,0),
IF(AND(NOT(ISBLANK(INDEX('glossaryterms-export'!H:H,_xlpm.rowNum))),ISBLANK(INDEX('glossaryterms-export'!I:I,_xlpm.rowNum))),"Ready to Fix",""))</f>
        <v/>
      </c>
    </row>
    <row r="5947" spans="6:6">
      <c r="F5947" s="1" t="str" cm="1">
        <f t="array" ref="F5947">_xlfn.LET(_xlpm.rowNum,MATCH(E5947,'glossaryterms-export'!C:C,0),
IF(AND(NOT(ISBLANK(INDEX('glossaryterms-export'!H:H,_xlpm.rowNum))),ISBLANK(INDEX('glossaryterms-export'!I:I,_xlpm.rowNum))),"Ready to Fix",""))</f>
        <v/>
      </c>
    </row>
    <row r="5948" spans="6:6">
      <c r="F5948" s="1" t="str" cm="1">
        <f t="array" ref="F5948">_xlfn.LET(_xlpm.rowNum,MATCH(E5948,'glossaryterms-export'!C:C,0),
IF(AND(NOT(ISBLANK(INDEX('glossaryterms-export'!H:H,_xlpm.rowNum))),ISBLANK(INDEX('glossaryterms-export'!I:I,_xlpm.rowNum))),"Ready to Fix",""))</f>
        <v/>
      </c>
    </row>
    <row r="5949" spans="6:6">
      <c r="F5949" s="1" t="str" cm="1">
        <f t="array" ref="F5949">_xlfn.LET(_xlpm.rowNum,MATCH(E5949,'glossaryterms-export'!C:C,0),
IF(AND(NOT(ISBLANK(INDEX('glossaryterms-export'!H:H,_xlpm.rowNum))),ISBLANK(INDEX('glossaryterms-export'!I:I,_xlpm.rowNum))),"Ready to Fix",""))</f>
        <v/>
      </c>
    </row>
    <row r="5950" spans="6:6">
      <c r="F5950" s="1" t="str" cm="1">
        <f t="array" ref="F5950">_xlfn.LET(_xlpm.rowNum,MATCH(E5950,'glossaryterms-export'!C:C,0),
IF(AND(NOT(ISBLANK(INDEX('glossaryterms-export'!H:H,_xlpm.rowNum))),ISBLANK(INDEX('glossaryterms-export'!I:I,_xlpm.rowNum))),"Ready to Fix",""))</f>
        <v/>
      </c>
    </row>
    <row r="5951" spans="6:6">
      <c r="F5951" s="1" t="str" cm="1">
        <f t="array" ref="F5951">_xlfn.LET(_xlpm.rowNum,MATCH(E5951,'glossaryterms-export'!C:C,0),
IF(AND(NOT(ISBLANK(INDEX('glossaryterms-export'!H:H,_xlpm.rowNum))),ISBLANK(INDEX('glossaryterms-export'!I:I,_xlpm.rowNum))),"Ready to Fix",""))</f>
        <v/>
      </c>
    </row>
    <row r="5952" spans="6:6">
      <c r="F5952" s="1" t="str" cm="1">
        <f t="array" ref="F5952">_xlfn.LET(_xlpm.rowNum,MATCH(E5952,'glossaryterms-export'!C:C,0),
IF(AND(NOT(ISBLANK(INDEX('glossaryterms-export'!H:H,_xlpm.rowNum))),ISBLANK(INDEX('glossaryterms-export'!I:I,_xlpm.rowNum))),"Ready to Fix",""))</f>
        <v/>
      </c>
    </row>
    <row r="5953" spans="6:6">
      <c r="F5953" s="1" t="str" cm="1">
        <f t="array" ref="F5953">_xlfn.LET(_xlpm.rowNum,MATCH(E5953,'glossaryterms-export'!C:C,0),
IF(AND(NOT(ISBLANK(INDEX('glossaryterms-export'!H:H,_xlpm.rowNum))),ISBLANK(INDEX('glossaryterms-export'!I:I,_xlpm.rowNum))),"Ready to Fix",""))</f>
        <v/>
      </c>
    </row>
  </sheetData>
  <hyperlinks>
    <hyperlink ref="B5" r:id="rId1" xr:uid="{BC995D6A-995B-4A6E-B813-491D2182D5B4}"/>
    <hyperlink ref="B3" r:id="rId2" xr:uid="{F7BA14B1-7E41-4D1F-AEFD-7DD5FC73117B}"/>
    <hyperlink ref="B8" r:id="rId3" xr:uid="{2C1791C5-CDE6-4DE5-B15C-58FF7A8DE29E}"/>
    <hyperlink ref="B63" r:id="rId4" xr:uid="{EB354CF1-F492-4BDC-9D20-33003786F465}"/>
    <hyperlink ref="B7" r:id="rId5" xr:uid="{7542C38E-3FF3-4489-980A-AF0C8EE5AA74}"/>
    <hyperlink ref="B10" r:id="rId6" xr:uid="{3FACD534-57C3-4FBE-8456-6199FCE001EA}"/>
    <hyperlink ref="B12" r:id="rId7" xr:uid="{ECFD5054-FA48-413E-A0E5-412574B7DCCA}"/>
    <hyperlink ref="B14" r:id="rId8" xr:uid="{024B4EA0-AC8C-4462-B53D-E12AA46CDF2F}"/>
    <hyperlink ref="B46" r:id="rId9" xr:uid="{0F437BB0-6493-40C8-9E42-124B73D71153}"/>
    <hyperlink ref="B34" r:id="rId10" xr:uid="{935C9A6F-739F-4FA7-96C4-9C252697D7AE}"/>
    <hyperlink ref="B17" r:id="rId11" xr:uid="{B399415E-1D5B-475D-ACAD-90791E87D239}"/>
    <hyperlink ref="B19" r:id="rId12" xr:uid="{BCC06A41-33BF-4F86-B953-5BCEAFBAD51A}"/>
    <hyperlink ref="B68" r:id="rId13" xr:uid="{39E18CF4-F81D-42D8-B289-884F55D84672}"/>
    <hyperlink ref="B50" r:id="rId14" xr:uid="{82555A17-2CE9-4CB9-9B64-8C6275D67DBB}"/>
    <hyperlink ref="B54" r:id="rId15" xr:uid="{EE6B9BBA-2E34-421F-9542-9C741FB0F2F3}"/>
    <hyperlink ref="B15" r:id="rId16" xr:uid="{E81E5A12-36E3-4F2A-BCEC-CC346F31C3A3}"/>
    <hyperlink ref="B83" r:id="rId17" xr:uid="{3433316C-FC67-4DDB-B9B5-E8EF8B14EB5B}"/>
    <hyperlink ref="B94" r:id="rId18" xr:uid="{577D70BC-A868-41E0-8E46-0DD6D622E511}"/>
    <hyperlink ref="B141" r:id="rId19" xr:uid="{F1DE12E7-7A47-48F0-A9FD-54A5DAB17473}"/>
    <hyperlink ref="B172" r:id="rId20" xr:uid="{CE3FB697-C21A-47A0-A023-E74BDA4416B4}"/>
    <hyperlink ref="B187" r:id="rId21" xr:uid="{D01557AB-F84D-433A-ADF5-9550E44A0C14}"/>
    <hyperlink ref="B181" r:id="rId22" xr:uid="{94261B3C-9414-497A-818D-DBF5DEA0223B}"/>
    <hyperlink ref="B272" r:id="rId23" xr:uid="{5507A369-3121-4908-8D7B-7BA5A509B16B}"/>
    <hyperlink ref="B290" r:id="rId24" xr:uid="{77C84BE0-AD68-4A0F-BCD2-DCBBE8EB0A9E}"/>
    <hyperlink ref="B291" r:id="rId25" xr:uid="{94D168B7-6ABA-425F-9193-7AE206899F6E}"/>
    <hyperlink ref="B310" r:id="rId26" xr:uid="{7DF5D527-A696-4C6A-92ED-7A319ACBE423}"/>
    <hyperlink ref="B305" r:id="rId27" xr:uid="{2DF47FC4-9CE4-4671-BCDD-2E27D389160F}"/>
    <hyperlink ref="B313" r:id="rId28" xr:uid="{31109C77-8E22-4D07-A67B-E2A17BB1F6DA}"/>
    <hyperlink ref="B326" r:id="rId29" xr:uid="{04BFBEFD-2157-430A-B7AC-954CA283384D}"/>
    <hyperlink ref="B348" r:id="rId30" xr:uid="{A112B106-2A46-4508-BD01-ACE1A267F964}"/>
    <hyperlink ref="B368" r:id="rId31" xr:uid="{A8B0F378-48A3-49EC-BE35-0CA5C02CF00F}"/>
    <hyperlink ref="B11" r:id="rId32" xr:uid="{4D84143F-EAF3-46F6-B076-4D277F97E4FE}"/>
    <hyperlink ref="B28" r:id="rId33" xr:uid="{17892871-8E7B-4443-B93A-4DF090DE79A2}"/>
    <hyperlink ref="B53" r:id="rId34" xr:uid="{E31EE0AA-D703-4DE7-A479-2F2D59843214}"/>
    <hyperlink ref="B55" r:id="rId35" xr:uid="{E54B9DC7-6553-4BAC-A181-9B916F8469E3}"/>
    <hyperlink ref="B2" r:id="rId36" xr:uid="{F646F226-C5DB-4D34-A12E-5A153AE1B379}"/>
    <hyperlink ref="B119" r:id="rId37" xr:uid="{51CFC760-C135-44BA-A03F-13E59BACE4A7}"/>
    <hyperlink ref="B37" r:id="rId38" xr:uid="{43E3CBF4-74EE-486C-ABC7-4E3904A4A8E4}"/>
    <hyperlink ref="B20" r:id="rId39" xr:uid="{4F83C3A9-D310-4428-A506-D497511F0672}"/>
    <hyperlink ref="B29" r:id="rId40" xr:uid="{10D2C940-6E4B-4DC0-9164-EE907F28C898}"/>
    <hyperlink ref="B96" r:id="rId41" xr:uid="{2F566A3C-06F8-4C4F-97D9-FAF2B13DE931}"/>
    <hyperlink ref="B45" r:id="rId42" xr:uid="{298EFED8-A019-4BDB-9791-B71A3E64E269}"/>
    <hyperlink ref="B67" r:id="rId43" xr:uid="{7730E254-910B-4480-B8B0-D1C8801BE082}"/>
    <hyperlink ref="B23" r:id="rId44" xr:uid="{A577BC24-B5E1-49E9-A013-F76401AB2853}"/>
    <hyperlink ref="B245" r:id="rId45" xr:uid="{27C1966B-96C0-4B74-9EFE-BF16889A087E}"/>
    <hyperlink ref="B176" r:id="rId46" xr:uid="{FAC87F19-4F61-4B79-B80B-D75E63418563}"/>
    <hyperlink ref="B304" r:id="rId47" xr:uid="{633F640D-31E6-4CB2-8CFD-781A47446370}"/>
    <hyperlink ref="B322" r:id="rId48" xr:uid="{03ABF4BD-B5AC-4F05-A879-B5216EC88E76}"/>
    <hyperlink ref="B341" r:id="rId49" xr:uid="{D57ACD4F-FA3C-4453-B08B-2318290D571E}"/>
    <hyperlink ref="B471" r:id="rId50" xr:uid="{BD68C291-C6A4-47E4-A96F-8553F876DFFF}"/>
    <hyperlink ref="B498" r:id="rId51" xr:uid="{74A9BBD7-BE81-4D52-891A-48BDB1F73ABE}"/>
    <hyperlink ref="B558" r:id="rId52" xr:uid="{830D49B1-D908-4B83-BCDC-C98B74A91A0C}"/>
    <hyperlink ref="B720" r:id="rId53" xr:uid="{2C2E82E7-BEA9-4213-8ED6-2236E841B0D0}"/>
    <hyperlink ref="B619" r:id="rId54" xr:uid="{C67B3286-EA52-43AA-816E-73D5E8ADA638}"/>
    <hyperlink ref="B755" r:id="rId55" xr:uid="{35941303-7BBA-4EF8-91F5-F8332279E6DE}"/>
    <hyperlink ref="B760" r:id="rId56" xr:uid="{76CBAAEC-6F15-432E-8072-B7AB6E732DB5}"/>
    <hyperlink ref="B870" r:id="rId57" xr:uid="{60D41E6D-8C24-4574-99F4-2075A66F6FB8}"/>
    <hyperlink ref="B276" r:id="rId58" xr:uid="{53AE9AC5-8E40-4901-B2DC-64EB6F60653E}"/>
    <hyperlink ref="B278" r:id="rId59" xr:uid="{F77D711D-5415-43A3-BC91-58F894804906}"/>
    <hyperlink ref="B51" r:id="rId60" xr:uid="{B4A4573E-329C-4466-B25C-5A845BD4DAB6}"/>
    <hyperlink ref="B80" r:id="rId61" display="https://adl.org/resources/backgrounder/groyper-army-and-america-first" xr:uid="{524546F6-EE69-4086-BA14-127C6C76EF6A}"/>
    <hyperlink ref="B31" r:id="rId62" xr:uid="{5A9C2E61-2EDE-402F-8FEE-C52C6A1CB891}"/>
    <hyperlink ref="B38" r:id="rId63" xr:uid="{3623AA11-6AC1-45C0-8F70-9D9EAFDF7447}"/>
    <hyperlink ref="B42" r:id="rId64" xr:uid="{9018EDDD-6458-49D5-B742-248EB05D1DC5}"/>
    <hyperlink ref="B44" r:id="rId65" xr:uid="{436575A2-6219-4DBE-9AF9-AC51F4AF4278}"/>
    <hyperlink ref="B47" r:id="rId66" xr:uid="{7594C9A4-6DC6-46AE-8366-FFA20BF1F660}"/>
    <hyperlink ref="B59" r:id="rId67" xr:uid="{03497207-52DB-4144-8238-B89ECC85E3C1}"/>
    <hyperlink ref="B77" r:id="rId68" xr:uid="{42E7EF41-C929-4426-BFB4-AB9C5672BBCC}"/>
    <hyperlink ref="B518" r:id="rId69" xr:uid="{0A1A57A1-BBDE-4FDE-84A3-FE28FEBB9646}"/>
    <hyperlink ref="B1007" r:id="rId70" xr:uid="{1772721B-38A0-4A8A-AD23-B83398F6EC5A}"/>
    <hyperlink ref="B286" r:id="rId71" xr:uid="{80662BA3-6892-4D2E-931E-50CF12D6E865}"/>
    <hyperlink ref="B585" r:id="rId72" xr:uid="{8013CAE9-AADB-4CCB-A518-AD79CECF501A}"/>
    <hyperlink ref="B875" r:id="rId73" xr:uid="{692EC3AC-E904-4E14-89C4-6BCE2EB0196D}"/>
    <hyperlink ref="B723" r:id="rId74" xr:uid="{52004510-82F7-42F1-9627-0E9641021108}"/>
    <hyperlink ref="B144" r:id="rId75" xr:uid="{B978AE8E-F6FE-4F84-B58C-73964A929C2C}"/>
    <hyperlink ref="B993" r:id="rId76" xr:uid="{90C85C21-EC34-4526-91C5-50A350811D82}"/>
    <hyperlink ref="B316" r:id="rId77" xr:uid="{A622F96E-D33E-46AD-AD7B-FDD7F23BB495}"/>
    <hyperlink ref="B566" r:id="rId78" xr:uid="{E7429415-B05F-4887-8258-B668806CB105}"/>
    <hyperlink ref="B871" r:id="rId79" xr:uid="{DC4A86B9-1C51-4373-ADBA-E79510286F03}"/>
    <hyperlink ref="B1093" r:id="rId80" xr:uid="{CEEB7886-68B8-4139-9D7E-28948EF0DE7F}"/>
    <hyperlink ref="B750" r:id="rId81" xr:uid="{6B807E90-BA04-4A5A-98FD-68DCAC66D414}"/>
    <hyperlink ref="B655" r:id="rId82" xr:uid="{A2879CB2-A8D3-4E99-B64D-911B63B4673D}"/>
    <hyperlink ref="B320" r:id="rId83" xr:uid="{14DA52F5-4ED1-4B5E-B910-10C4B9FC9E62}"/>
    <hyperlink ref="B375" r:id="rId84" xr:uid="{A071CE4E-BAA8-4ED5-9880-F957BD50F23E}"/>
    <hyperlink ref="B116" r:id="rId85" xr:uid="{C79B8430-CB84-484E-A980-C2C099F68517}"/>
    <hyperlink ref="B16" r:id="rId86" xr:uid="{56B0CAAF-22B2-4443-97A3-C5981AF50A2D}"/>
    <hyperlink ref="B876" r:id="rId87" xr:uid="{B3457D22-9EC6-4D3C-A1C4-1D57526A04D2}"/>
    <hyperlink ref="B356" r:id="rId88" xr:uid="{33A67105-D830-4046-A5F1-1DCF271EB028}"/>
    <hyperlink ref="B637" r:id="rId89" xr:uid="{B111BC90-5065-4E90-89E3-D7CEFEF0FC58}"/>
    <hyperlink ref="B913" r:id="rId90" xr:uid="{BB50FDA9-F4C5-43F4-B95F-5C45AA3C759F}"/>
    <hyperlink ref="B226" r:id="rId91" xr:uid="{71401710-B231-4607-BDEC-2D9612A0CAE7}"/>
    <hyperlink ref="B768" r:id="rId92" xr:uid="{E2E9E3F2-5308-45B6-97DB-E3F00464B2EE}"/>
    <hyperlink ref="B450" r:id="rId93" xr:uid="{32CA0B20-1C5F-43EF-A0FA-5E992A22BF66}"/>
    <hyperlink ref="B95" r:id="rId94" xr:uid="{F9743DEE-FD56-43E1-A579-FCD59BD53E11}"/>
    <hyperlink ref="B1053" r:id="rId95" xr:uid="{488D4AEE-8FF6-4FB9-B165-92714DFBDE2A}"/>
    <hyperlink ref="B192" r:id="rId96" xr:uid="{C3FDC994-5CB6-4320-BDD5-698B2143BE39}"/>
    <hyperlink ref="B285" r:id="rId97" xr:uid="{D16C4131-9AC3-43E3-AB42-8374CED09C04}"/>
    <hyperlink ref="B207" r:id="rId98" xr:uid="{568B24A6-EC15-4E43-B657-504C6D644C55}"/>
    <hyperlink ref="B131" r:id="rId99" xr:uid="{81FEDAD6-1E8B-44F9-BF93-9B34E42AE86B}"/>
    <hyperlink ref="B1047" r:id="rId100" xr:uid="{C5FE187A-FCFF-4469-B25B-594ED8CE04F0}"/>
    <hyperlink ref="B836" r:id="rId101" xr:uid="{573461D6-6615-4402-A5CE-D6B43C971A2E}"/>
    <hyperlink ref="B392" r:id="rId102" xr:uid="{944A1EEE-C689-4608-92B9-A8508AC150F0}"/>
    <hyperlink ref="B891" r:id="rId103" xr:uid="{14CB7094-F23E-4250-8394-B92A2BC1C224}"/>
    <hyperlink ref="B881" r:id="rId104" xr:uid="{F33A1F8D-834F-4528-A4A6-52BEC208071A}"/>
    <hyperlink ref="B1128" r:id="rId105" xr:uid="{BEAB42D6-3F9F-46FA-8939-7D79C6139D48}"/>
    <hyperlink ref="B252" r:id="rId106" xr:uid="{FF80E8C4-9219-4101-8D9C-A3FE2718B5C4}"/>
    <hyperlink ref="B902" r:id="rId107" xr:uid="{14E8358F-7CEE-4683-8847-C348AB336171}"/>
    <hyperlink ref="B61" r:id="rId108" xr:uid="{8AFCDE55-F690-4008-9497-1061D2BEF9C2}"/>
    <hyperlink ref="B279" r:id="rId109" xr:uid="{985DB2C1-D1DF-475F-BC5C-54748158B7E5}"/>
    <hyperlink ref="B620" r:id="rId110" xr:uid="{52B57A16-428A-48EB-8D87-E8363C877059}"/>
    <hyperlink ref="B1016" r:id="rId111" xr:uid="{714D18BB-82EA-4475-B1F3-5CEFE95C8CDA}"/>
    <hyperlink ref="B1065" r:id="rId112" xr:uid="{F5F00F1B-D81E-4FBC-9DFA-6E9825D82625}"/>
    <hyperlink ref="B577" r:id="rId113" xr:uid="{37F6F0A4-94A8-44EB-A994-3496FF5309A2}"/>
    <hyperlink ref="B215" r:id="rId114" xr:uid="{1030681A-6AE9-47E2-9D27-45F5A41E03F0}"/>
    <hyperlink ref="B69" r:id="rId115" xr:uid="{A7E64A5A-58C3-46DD-83CC-F83CD991FDC0}"/>
    <hyperlink ref="B156" r:id="rId116" xr:uid="{48071EDB-D0F0-453E-9DEA-D266849EBF25}"/>
    <hyperlink ref="B383" r:id="rId117" xr:uid="{BD02BDAF-1E05-486D-AC7B-4544DDBCC831}"/>
    <hyperlink ref="B43" r:id="rId118" xr:uid="{9CE69755-B321-4619-974C-5AB8CC5BCC0B}"/>
    <hyperlink ref="B402" r:id="rId119" xr:uid="{C3577E80-2738-4A01-9CB4-FB34AF12C288}"/>
    <hyperlink ref="B537" r:id="rId120" xr:uid="{CB5D43F8-EB63-4433-8F68-433D51214C77}"/>
    <hyperlink ref="B1120" r:id="rId121" xr:uid="{E72D6C06-E7DA-4008-954F-1455DF0AE555}"/>
    <hyperlink ref="B1121" r:id="rId122" xr:uid="{BE6DD58B-5FDD-40F9-9C3D-738731FCD512}"/>
    <hyperlink ref="B456" r:id="rId123" xr:uid="{11B189B1-7AA3-46E8-AA65-7BA807571DAD}"/>
    <hyperlink ref="B514" r:id="rId124" xr:uid="{A8B8D936-6019-41C8-AB5D-B51339657865}"/>
    <hyperlink ref="B315" r:id="rId125" xr:uid="{13486357-E62D-4A9C-8B75-47F7E8E9C4E4}"/>
    <hyperlink ref="B829" r:id="rId126" xr:uid="{3599C5F4-72F0-42BF-90E9-66481DBFCDA9}"/>
    <hyperlink ref="B407" r:id="rId127" xr:uid="{E0FAC7CC-707B-4025-B256-853677B59B35}"/>
    <hyperlink ref="B627" r:id="rId128" xr:uid="{CD433CBA-D061-4FE3-9362-8504821C3903}"/>
    <hyperlink ref="B970" r:id="rId129" xr:uid="{17CD4AC2-1092-4CAC-B46E-B898E8880A33}"/>
    <hyperlink ref="B507" r:id="rId130" xr:uid="{E260D7E5-5590-47B5-A1B7-DA2525F79E68}"/>
    <hyperlink ref="B280" r:id="rId131" xr:uid="{042E491F-44A2-4945-8A73-68A9F88A3DCE}"/>
    <hyperlink ref="B613" r:id="rId132" xr:uid="{D21FAB13-859D-4529-BCAB-8EB54808F9ED}"/>
    <hyperlink ref="B214" r:id="rId133" xr:uid="{4A838450-B7A4-483A-A59F-087FCCC8B904}"/>
    <hyperlink ref="B959" r:id="rId134" xr:uid="{8A2B83A1-1502-40BA-BBE6-BA8673B02C7B}"/>
    <hyperlink ref="B65" r:id="rId135" xr:uid="{BE43BF44-7922-4BF7-9AFE-057E44850DD6}"/>
    <hyperlink ref="B645" r:id="rId136" xr:uid="{63D4295C-71C9-437E-ABF6-C17045239DE3}"/>
    <hyperlink ref="B582" r:id="rId137" xr:uid="{48EE1DB5-BDA0-4310-ABEE-E8A7278BBEA0}"/>
    <hyperlink ref="B529" r:id="rId138" xr:uid="{8EE0D025-BBE3-4470-BADB-1F74F4EE3F78}"/>
    <hyperlink ref="B540" r:id="rId139" xr:uid="{5232E063-98C8-45D9-81B7-E52BF6322917}"/>
    <hyperlink ref="B73" r:id="rId140" xr:uid="{A51DDBA1-3B97-4EF5-8831-E59846F40231}"/>
    <hyperlink ref="B728" r:id="rId141" xr:uid="{0456F5C0-2700-4ABB-A0C0-6CF6C5CB2316}"/>
    <hyperlink ref="B440" r:id="rId142" xr:uid="{AA5A7FF2-1C0F-41F7-A1B3-2E2C9D1A1A43}"/>
    <hyperlink ref="B549" r:id="rId143" xr:uid="{C4E72AEA-0EA7-4767-9133-0F44AFE34E23}"/>
    <hyperlink ref="B769" r:id="rId144" xr:uid="{0666960E-F064-44E6-9740-D470EB7B9F65}"/>
    <hyperlink ref="B879" r:id="rId145" xr:uid="{6D70EFA0-746C-40BC-B0A8-6099E2696090}"/>
    <hyperlink ref="B614" r:id="rId146" xr:uid="{C6BADFC3-78AC-496A-8001-C7A689AC0B05}"/>
    <hyperlink ref="B499" r:id="rId147" xr:uid="{1FE4EAD3-7C27-421E-880C-B08EA47FBF7B}"/>
    <hyperlink ref="B862" r:id="rId148" xr:uid="{9044D2EF-8CD9-45F2-8B12-F67B92297CA5}"/>
    <hyperlink ref="B561" r:id="rId149" xr:uid="{2E1EBD07-4F2D-4325-897F-E1B6AA40A1B4}"/>
    <hyperlink ref="B986" r:id="rId150" xr:uid="{7A9D0619-3E2B-4784-8E27-FA2B98ECE832}"/>
    <hyperlink ref="B771" r:id="rId151" xr:uid="{89B28E24-F980-4E1C-87BE-F257F5188B0D}"/>
    <hyperlink ref="B492" r:id="rId152" xr:uid="{8EC284A8-5A4E-4E81-B9AC-056457BB19ED}"/>
    <hyperlink ref="B824" r:id="rId153" xr:uid="{5D8741BD-0A56-4482-AD49-DD5973C809A7}"/>
    <hyperlink ref="B1070" r:id="rId154" xr:uid="{2A1959DF-51B4-455F-B09D-0133791A1141}"/>
    <hyperlink ref="B102" r:id="rId155" xr:uid="{A3DF7AE9-741F-401D-ADCC-939ED8D2AA26}"/>
    <hyperlink ref="B62" r:id="rId156" xr:uid="{E0D133BF-72A6-4D24-AA99-1C787D0E9106}"/>
    <hyperlink ref="B58" r:id="rId157" xr:uid="{E3E35BA5-08E9-48C6-A5A0-9EF8BCD135EB}"/>
    <hyperlink ref="B376" r:id="rId158" xr:uid="{0B0D6172-C64E-44FF-B53D-7A280746221D}"/>
    <hyperlink ref="B314" r:id="rId159" xr:uid="{145FA0EF-E6AC-4C4B-ACD9-C6657DD7FD71}"/>
    <hyperlink ref="B1" r:id="rId160" xr:uid="{022804D5-D028-47F0-AD8A-A1E590604942}"/>
    <hyperlink ref="B495" r:id="rId161" xr:uid="{201398B6-F718-4684-AE8A-ABA19DACA7F7}"/>
    <hyperlink ref="B298" r:id="rId162" xr:uid="{9B9CEDF7-C080-4D59-8631-6884271EDDC9}"/>
    <hyperlink ref="B128" r:id="rId163" xr:uid="{36140D05-14F2-4FEA-9F19-70D935A24792}"/>
    <hyperlink ref="B170" r:id="rId164" xr:uid="{1C49DB2A-98A4-4A16-9C31-34867D8187D4}"/>
    <hyperlink ref="B464" r:id="rId165" xr:uid="{ED4FC714-1DFF-4DBB-96E5-1200B73B5DC0}"/>
    <hyperlink ref="B186" r:id="rId166" xr:uid="{533CC7DC-A1F3-4321-9BBB-9D19E6A72D2D}"/>
    <hyperlink ref="B457" r:id="rId167" xr:uid="{77D7FDD6-CAC7-4417-BC76-8C9A53A180E9}"/>
    <hyperlink ref="B501" r:id="rId168" xr:uid="{C0C21D81-9800-4C20-998D-F4B49F001464}"/>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37951-9443-4AD4-82DD-BB30FE672B87}">
  <dimension ref="A1:C226"/>
  <sheetViews>
    <sheetView tabSelected="1" topLeftCell="A198" workbookViewId="0">
      <selection activeCell="C215" sqref="C215"/>
    </sheetView>
  </sheetViews>
  <sheetFormatPr defaultRowHeight="15.75"/>
  <cols>
    <col min="1" max="1" width="92.25" customWidth="1"/>
    <col min="3" max="3" width="101.875" bestFit="1" customWidth="1"/>
  </cols>
  <sheetData>
    <row r="1" spans="1:3">
      <c r="A1" s="4" t="s">
        <v>1189</v>
      </c>
      <c r="B1" s="4" t="s">
        <v>1190</v>
      </c>
      <c r="C1" s="4" t="s">
        <v>1191</v>
      </c>
    </row>
    <row r="2" spans="1:3">
      <c r="A2" s="4" t="s">
        <v>1192</v>
      </c>
      <c r="B2" s="4">
        <v>30698</v>
      </c>
      <c r="C2" s="4" t="s">
        <v>1193</v>
      </c>
    </row>
    <row r="3" spans="1:3">
      <c r="A3" s="4" t="s">
        <v>1194</v>
      </c>
      <c r="B3" s="4">
        <v>30699</v>
      </c>
      <c r="C3" s="4" t="s">
        <v>1195</v>
      </c>
    </row>
    <row r="4" spans="1:3">
      <c r="A4" s="4" t="s">
        <v>1196</v>
      </c>
      <c r="B4" s="4">
        <v>30700</v>
      </c>
      <c r="C4" s="4" t="s">
        <v>1197</v>
      </c>
    </row>
    <row r="5" spans="1:3">
      <c r="A5" s="4" t="s">
        <v>1198</v>
      </c>
      <c r="B5" s="4">
        <v>30702</v>
      </c>
      <c r="C5" s="4" t="s">
        <v>1199</v>
      </c>
    </row>
    <row r="6" spans="1:3">
      <c r="A6" s="4" t="s">
        <v>1200</v>
      </c>
      <c r="B6" s="4">
        <v>30703</v>
      </c>
      <c r="C6" s="4" t="s">
        <v>1201</v>
      </c>
    </row>
    <row r="7" spans="1:3">
      <c r="A7" s="4" t="s">
        <v>1202</v>
      </c>
      <c r="B7" s="4">
        <v>30704</v>
      </c>
      <c r="C7" s="4" t="s">
        <v>1203</v>
      </c>
    </row>
    <row r="8" spans="1:3">
      <c r="A8" s="4" t="s">
        <v>1204</v>
      </c>
      <c r="B8" s="4">
        <v>30713</v>
      </c>
      <c r="C8" s="4" t="s">
        <v>1205</v>
      </c>
    </row>
    <row r="9" spans="1:3">
      <c r="A9" s="4" t="s">
        <v>1206</v>
      </c>
      <c r="B9" s="4">
        <v>30717</v>
      </c>
      <c r="C9" s="4" t="s">
        <v>1207</v>
      </c>
    </row>
    <row r="10" spans="1:3">
      <c r="A10" s="4" t="s">
        <v>1208</v>
      </c>
      <c r="B10" s="4">
        <v>30722</v>
      </c>
      <c r="C10" s="4" t="s">
        <v>1209</v>
      </c>
    </row>
    <row r="11" spans="1:3">
      <c r="A11" s="4" t="s">
        <v>1210</v>
      </c>
      <c r="B11" s="4">
        <v>30728</v>
      </c>
      <c r="C11" s="4" t="s">
        <v>1211</v>
      </c>
    </row>
    <row r="12" spans="1:3">
      <c r="A12" s="4" t="s">
        <v>1212</v>
      </c>
      <c r="B12" s="4">
        <v>30729</v>
      </c>
      <c r="C12" s="4" t="s">
        <v>1213</v>
      </c>
    </row>
    <row r="13" spans="1:3">
      <c r="A13" s="4" t="s">
        <v>1214</v>
      </c>
      <c r="B13" s="4">
        <v>30732</v>
      </c>
      <c r="C13" s="4" t="s">
        <v>1215</v>
      </c>
    </row>
    <row r="14" spans="1:3">
      <c r="A14" s="4" t="s">
        <v>1216</v>
      </c>
      <c r="B14" s="4">
        <v>30733</v>
      </c>
      <c r="C14" s="4" t="s">
        <v>1217</v>
      </c>
    </row>
    <row r="15" spans="1:3">
      <c r="A15" s="4" t="s">
        <v>1218</v>
      </c>
      <c r="B15" s="4">
        <v>30737</v>
      </c>
      <c r="C15" s="4" t="s">
        <v>1219</v>
      </c>
    </row>
    <row r="16" spans="1:3">
      <c r="A16" s="4" t="s">
        <v>1220</v>
      </c>
      <c r="B16" s="4">
        <v>30738</v>
      </c>
      <c r="C16" s="4" t="s">
        <v>1221</v>
      </c>
    </row>
    <row r="17" spans="1:3">
      <c r="A17" s="4" t="s">
        <v>1222</v>
      </c>
      <c r="B17" s="4">
        <v>30742</v>
      </c>
      <c r="C17" s="4" t="s">
        <v>1223</v>
      </c>
    </row>
    <row r="18" spans="1:3">
      <c r="A18" s="4" t="s">
        <v>1224</v>
      </c>
      <c r="B18" s="4">
        <v>30747</v>
      </c>
      <c r="C18" s="4" t="s">
        <v>1225</v>
      </c>
    </row>
    <row r="19" spans="1:3">
      <c r="A19" s="4" t="s">
        <v>1226</v>
      </c>
      <c r="B19" s="4">
        <v>30748</v>
      </c>
      <c r="C19" s="4" t="s">
        <v>1227</v>
      </c>
    </row>
    <row r="20" spans="1:3">
      <c r="A20" s="4" t="s">
        <v>1228</v>
      </c>
      <c r="B20" s="4">
        <v>30754</v>
      </c>
      <c r="C20" s="4" t="s">
        <v>1229</v>
      </c>
    </row>
    <row r="21" spans="1:3">
      <c r="A21" s="4" t="s">
        <v>1230</v>
      </c>
      <c r="B21" s="4">
        <v>30762</v>
      </c>
      <c r="C21" s="4" t="s">
        <v>1231</v>
      </c>
    </row>
    <row r="22" spans="1:3">
      <c r="A22" s="4" t="s">
        <v>1232</v>
      </c>
      <c r="B22" s="4">
        <v>30768</v>
      </c>
      <c r="C22" s="4" t="s">
        <v>1233</v>
      </c>
    </row>
    <row r="23" spans="1:3">
      <c r="A23" s="4" t="s">
        <v>1234</v>
      </c>
      <c r="B23" s="4">
        <v>30774</v>
      </c>
      <c r="C23" s="4" t="s">
        <v>1235</v>
      </c>
    </row>
    <row r="24" spans="1:3">
      <c r="A24" s="4" t="s">
        <v>1236</v>
      </c>
      <c r="B24" s="4">
        <v>30778</v>
      </c>
      <c r="C24" s="4" t="s">
        <v>1237</v>
      </c>
    </row>
    <row r="25" spans="1:3">
      <c r="A25" s="4" t="s">
        <v>1238</v>
      </c>
      <c r="B25" s="4">
        <v>30779</v>
      </c>
      <c r="C25" s="4" t="s">
        <v>1239</v>
      </c>
    </row>
    <row r="26" spans="1:3">
      <c r="A26" s="4" t="s">
        <v>1240</v>
      </c>
      <c r="B26" s="4">
        <v>30780</v>
      </c>
      <c r="C26" s="4" t="s">
        <v>1241</v>
      </c>
    </row>
    <row r="27" spans="1:3">
      <c r="A27" s="4" t="s">
        <v>1242</v>
      </c>
      <c r="B27" s="4">
        <v>30782</v>
      </c>
      <c r="C27" s="4" t="s">
        <v>1243</v>
      </c>
    </row>
    <row r="28" spans="1:3">
      <c r="A28" s="4" t="s">
        <v>1244</v>
      </c>
      <c r="B28" s="4">
        <v>30783</v>
      </c>
      <c r="C28" s="4" t="s">
        <v>1245</v>
      </c>
    </row>
    <row r="29" spans="1:3">
      <c r="A29" s="4" t="s">
        <v>1246</v>
      </c>
      <c r="B29" s="4">
        <v>30784</v>
      </c>
      <c r="C29" s="4" t="s">
        <v>1247</v>
      </c>
    </row>
    <row r="30" spans="1:3">
      <c r="A30" s="4" t="s">
        <v>1248</v>
      </c>
      <c r="B30" s="4">
        <v>30785</v>
      </c>
      <c r="C30" s="4" t="s">
        <v>1249</v>
      </c>
    </row>
    <row r="31" spans="1:3">
      <c r="A31" s="4" t="s">
        <v>1250</v>
      </c>
      <c r="B31" s="4">
        <v>30786</v>
      </c>
      <c r="C31" s="4" t="s">
        <v>1251</v>
      </c>
    </row>
    <row r="32" spans="1:3">
      <c r="A32" s="4" t="s">
        <v>1252</v>
      </c>
      <c r="B32" s="4">
        <v>30787</v>
      </c>
      <c r="C32" s="4" t="s">
        <v>1253</v>
      </c>
    </row>
    <row r="33" spans="1:3">
      <c r="A33" s="4" t="s">
        <v>1254</v>
      </c>
      <c r="B33" s="4">
        <v>30788</v>
      </c>
      <c r="C33" s="4" t="s">
        <v>1255</v>
      </c>
    </row>
    <row r="34" spans="1:3">
      <c r="A34" s="4" t="s">
        <v>1256</v>
      </c>
      <c r="B34" s="4">
        <v>30789</v>
      </c>
      <c r="C34" s="4" t="s">
        <v>1257</v>
      </c>
    </row>
    <row r="35" spans="1:3">
      <c r="A35" s="4" t="s">
        <v>1258</v>
      </c>
      <c r="B35" s="4">
        <v>30790</v>
      </c>
      <c r="C35" s="4" t="s">
        <v>1259</v>
      </c>
    </row>
    <row r="36" spans="1:3">
      <c r="A36" s="4" t="s">
        <v>1260</v>
      </c>
      <c r="B36" s="4">
        <v>30791</v>
      </c>
      <c r="C36" s="4" t="s">
        <v>1261</v>
      </c>
    </row>
    <row r="37" spans="1:3">
      <c r="A37" s="4" t="s">
        <v>1262</v>
      </c>
      <c r="B37" s="4">
        <v>30792</v>
      </c>
      <c r="C37" s="4" t="s">
        <v>1263</v>
      </c>
    </row>
    <row r="38" spans="1:3">
      <c r="A38" s="4" t="s">
        <v>1264</v>
      </c>
      <c r="B38" s="4">
        <v>30793</v>
      </c>
      <c r="C38" s="4" t="s">
        <v>1265</v>
      </c>
    </row>
    <row r="39" spans="1:3">
      <c r="A39" s="4" t="s">
        <v>1266</v>
      </c>
      <c r="B39" s="4">
        <v>30794</v>
      </c>
      <c r="C39" s="4" t="s">
        <v>1267</v>
      </c>
    </row>
    <row r="40" spans="1:3">
      <c r="A40" s="4" t="s">
        <v>1268</v>
      </c>
      <c r="B40" s="4">
        <v>30795</v>
      </c>
      <c r="C40" s="4" t="s">
        <v>1269</v>
      </c>
    </row>
    <row r="41" spans="1:3">
      <c r="A41" s="4" t="s">
        <v>1270</v>
      </c>
      <c r="B41" s="4">
        <v>30796</v>
      </c>
      <c r="C41" s="4" t="s">
        <v>1271</v>
      </c>
    </row>
    <row r="42" spans="1:3">
      <c r="A42" s="4" t="s">
        <v>1272</v>
      </c>
      <c r="B42" s="4">
        <v>30797</v>
      </c>
      <c r="C42" s="4" t="s">
        <v>1273</v>
      </c>
    </row>
    <row r="43" spans="1:3">
      <c r="A43" s="4" t="s">
        <v>1274</v>
      </c>
      <c r="B43" s="4">
        <v>30798</v>
      </c>
      <c r="C43" s="4" t="s">
        <v>1275</v>
      </c>
    </row>
    <row r="44" spans="1:3">
      <c r="A44" s="4" t="s">
        <v>1276</v>
      </c>
      <c r="B44" s="4">
        <v>30799</v>
      </c>
      <c r="C44" s="4" t="s">
        <v>1277</v>
      </c>
    </row>
    <row r="45" spans="1:3">
      <c r="A45" s="4" t="s">
        <v>1278</v>
      </c>
      <c r="B45" s="4">
        <v>30800</v>
      </c>
      <c r="C45" s="4" t="s">
        <v>1279</v>
      </c>
    </row>
    <row r="46" spans="1:3">
      <c r="A46" s="4" t="s">
        <v>1280</v>
      </c>
      <c r="B46" s="4">
        <v>30801</v>
      </c>
      <c r="C46" s="4" t="s">
        <v>1281</v>
      </c>
    </row>
    <row r="47" spans="1:3">
      <c r="A47" s="4" t="s">
        <v>1282</v>
      </c>
      <c r="B47" s="4">
        <v>30802</v>
      </c>
      <c r="C47" s="4" t="s">
        <v>1283</v>
      </c>
    </row>
    <row r="48" spans="1:3">
      <c r="A48" s="4" t="s">
        <v>1284</v>
      </c>
      <c r="B48" s="4">
        <v>30803</v>
      </c>
      <c r="C48" s="4" t="s">
        <v>1285</v>
      </c>
    </row>
    <row r="49" spans="1:3">
      <c r="A49" s="4" t="s">
        <v>1286</v>
      </c>
      <c r="B49" s="4">
        <v>30804</v>
      </c>
      <c r="C49" s="4" t="s">
        <v>1287</v>
      </c>
    </row>
    <row r="50" spans="1:3">
      <c r="A50" s="4" t="s">
        <v>1288</v>
      </c>
      <c r="B50" s="4">
        <v>30805</v>
      </c>
      <c r="C50" s="4" t="s">
        <v>1289</v>
      </c>
    </row>
    <row r="51" spans="1:3">
      <c r="A51" s="4" t="s">
        <v>1290</v>
      </c>
      <c r="B51" s="4">
        <v>30806</v>
      </c>
      <c r="C51" s="4" t="s">
        <v>1291</v>
      </c>
    </row>
    <row r="52" spans="1:3">
      <c r="A52" s="4" t="s">
        <v>1292</v>
      </c>
      <c r="B52" s="4">
        <v>30807</v>
      </c>
      <c r="C52" s="4" t="s">
        <v>1293</v>
      </c>
    </row>
    <row r="53" spans="1:3">
      <c r="A53" s="4" t="s">
        <v>1294</v>
      </c>
      <c r="B53" s="4">
        <v>30808</v>
      </c>
      <c r="C53" s="4" t="s">
        <v>1295</v>
      </c>
    </row>
    <row r="54" spans="1:3">
      <c r="A54" s="4" t="s">
        <v>1296</v>
      </c>
      <c r="B54" s="4">
        <v>30809</v>
      </c>
      <c r="C54" s="4" t="s">
        <v>1297</v>
      </c>
    </row>
    <row r="55" spans="1:3">
      <c r="A55" s="4" t="s">
        <v>1298</v>
      </c>
      <c r="B55" s="4">
        <v>30810</v>
      </c>
      <c r="C55" s="4" t="s">
        <v>1299</v>
      </c>
    </row>
    <row r="56" spans="1:3">
      <c r="A56" s="4" t="s">
        <v>1300</v>
      </c>
      <c r="B56" s="4">
        <v>30811</v>
      </c>
      <c r="C56" s="4" t="s">
        <v>1301</v>
      </c>
    </row>
    <row r="57" spans="1:3">
      <c r="A57" s="4" t="s">
        <v>1302</v>
      </c>
      <c r="B57" s="4">
        <v>30812</v>
      </c>
      <c r="C57" s="4" t="s">
        <v>1303</v>
      </c>
    </row>
    <row r="58" spans="1:3">
      <c r="A58" s="4" t="s">
        <v>1304</v>
      </c>
      <c r="B58" s="4">
        <v>30813</v>
      </c>
      <c r="C58" s="4" t="s">
        <v>1305</v>
      </c>
    </row>
    <row r="59" spans="1:3">
      <c r="A59" s="4" t="s">
        <v>1306</v>
      </c>
      <c r="B59" s="4">
        <v>30814</v>
      </c>
      <c r="C59" s="4" t="s">
        <v>1307</v>
      </c>
    </row>
    <row r="60" spans="1:3">
      <c r="A60" s="4" t="s">
        <v>1308</v>
      </c>
      <c r="B60" s="4">
        <v>30848</v>
      </c>
      <c r="C60" s="4" t="s">
        <v>1309</v>
      </c>
    </row>
    <row r="61" spans="1:3">
      <c r="A61" s="4" t="s">
        <v>1310</v>
      </c>
      <c r="B61" s="4">
        <v>30892</v>
      </c>
      <c r="C61" s="4" t="s">
        <v>1311</v>
      </c>
    </row>
    <row r="62" spans="1:3">
      <c r="A62" s="4" t="s">
        <v>1312</v>
      </c>
      <c r="B62" s="4">
        <v>30901</v>
      </c>
      <c r="C62" s="4" t="s">
        <v>1313</v>
      </c>
    </row>
    <row r="63" spans="1:3">
      <c r="A63" s="4" t="s">
        <v>1314</v>
      </c>
      <c r="B63" s="4">
        <v>30910</v>
      </c>
      <c r="C63" s="4" t="s">
        <v>1315</v>
      </c>
    </row>
    <row r="64" spans="1:3">
      <c r="A64" s="4" t="s">
        <v>1316</v>
      </c>
      <c r="B64" s="4">
        <v>30914</v>
      </c>
      <c r="C64" s="4" t="s">
        <v>1317</v>
      </c>
    </row>
    <row r="65" spans="1:3">
      <c r="A65" s="4" t="s">
        <v>1318</v>
      </c>
      <c r="B65" s="4">
        <v>30949</v>
      </c>
      <c r="C65" s="4" t="s">
        <v>1319</v>
      </c>
    </row>
    <row r="66" spans="1:3">
      <c r="A66" s="4" t="s">
        <v>1320</v>
      </c>
      <c r="B66" s="4">
        <v>30950</v>
      </c>
      <c r="C66" s="4" t="s">
        <v>1321</v>
      </c>
    </row>
    <row r="67" spans="1:3">
      <c r="A67" s="4" t="s">
        <v>1322</v>
      </c>
      <c r="B67" s="4">
        <v>30952</v>
      </c>
      <c r="C67" s="4" t="s">
        <v>1323</v>
      </c>
    </row>
    <row r="68" spans="1:3">
      <c r="A68" s="4" t="s">
        <v>1324</v>
      </c>
      <c r="B68" s="4">
        <v>30971</v>
      </c>
      <c r="C68" s="4" t="s">
        <v>1325</v>
      </c>
    </row>
    <row r="69" spans="1:3">
      <c r="A69" s="4" t="s">
        <v>1326</v>
      </c>
      <c r="B69" s="4">
        <v>30981</v>
      </c>
      <c r="C69" s="4" t="s">
        <v>1327</v>
      </c>
    </row>
    <row r="70" spans="1:3">
      <c r="A70" s="4" t="s">
        <v>1328</v>
      </c>
      <c r="B70" s="4">
        <v>30988</v>
      </c>
      <c r="C70" s="4" t="s">
        <v>1329</v>
      </c>
    </row>
    <row r="71" spans="1:3">
      <c r="A71" s="4" t="s">
        <v>1330</v>
      </c>
      <c r="B71" s="4">
        <v>30989</v>
      </c>
      <c r="C71" s="4" t="s">
        <v>1331</v>
      </c>
    </row>
    <row r="72" spans="1:3">
      <c r="A72" s="4" t="s">
        <v>1332</v>
      </c>
      <c r="B72" s="4">
        <v>30991</v>
      </c>
      <c r="C72" s="4" t="s">
        <v>1333</v>
      </c>
    </row>
    <row r="73" spans="1:3">
      <c r="A73" s="4" t="s">
        <v>1334</v>
      </c>
      <c r="B73" s="4">
        <v>30996</v>
      </c>
      <c r="C73" s="4" t="s">
        <v>1335</v>
      </c>
    </row>
    <row r="74" spans="1:3">
      <c r="A74" s="4" t="s">
        <v>1336</v>
      </c>
      <c r="B74" s="4">
        <v>31035</v>
      </c>
      <c r="C74" s="4" t="s">
        <v>1337</v>
      </c>
    </row>
    <row r="75" spans="1:3">
      <c r="A75" s="4" t="s">
        <v>1338</v>
      </c>
      <c r="B75" s="4">
        <v>31037</v>
      </c>
      <c r="C75" s="4" t="s">
        <v>1339</v>
      </c>
    </row>
    <row r="76" spans="1:3">
      <c r="A76" s="4" t="s">
        <v>1340</v>
      </c>
      <c r="B76" s="4">
        <v>31038</v>
      </c>
      <c r="C76" s="4" t="s">
        <v>1341</v>
      </c>
    </row>
    <row r="77" spans="1:3">
      <c r="A77" s="4" t="s">
        <v>1342</v>
      </c>
      <c r="B77" s="4">
        <v>31043</v>
      </c>
      <c r="C77" s="4" t="s">
        <v>1343</v>
      </c>
    </row>
    <row r="78" spans="1:3">
      <c r="A78" s="4" t="s">
        <v>1344</v>
      </c>
      <c r="B78" s="4">
        <v>31045</v>
      </c>
      <c r="C78" s="4" t="s">
        <v>1345</v>
      </c>
    </row>
    <row r="79" spans="1:3">
      <c r="A79" s="4" t="s">
        <v>1346</v>
      </c>
      <c r="B79" s="4">
        <v>31046</v>
      </c>
      <c r="C79" s="4" t="s">
        <v>1347</v>
      </c>
    </row>
    <row r="80" spans="1:3">
      <c r="A80" s="4" t="s">
        <v>1348</v>
      </c>
      <c r="B80" s="4">
        <v>31049</v>
      </c>
      <c r="C80" s="4" t="s">
        <v>1349</v>
      </c>
    </row>
    <row r="81" spans="1:3">
      <c r="A81" s="4" t="s">
        <v>1350</v>
      </c>
      <c r="B81" s="4">
        <v>31050</v>
      </c>
      <c r="C81" s="4" t="s">
        <v>1351</v>
      </c>
    </row>
    <row r="82" spans="1:3">
      <c r="A82" s="4" t="s">
        <v>1352</v>
      </c>
      <c r="B82" s="4">
        <v>31052</v>
      </c>
      <c r="C82" s="4" t="s">
        <v>1353</v>
      </c>
    </row>
    <row r="83" spans="1:3">
      <c r="A83" s="4" t="s">
        <v>1354</v>
      </c>
      <c r="B83" s="4">
        <v>31085</v>
      </c>
      <c r="C83" s="4" t="s">
        <v>1355</v>
      </c>
    </row>
    <row r="84" spans="1:3">
      <c r="A84" s="4" t="s">
        <v>1356</v>
      </c>
      <c r="B84" s="4">
        <v>31086</v>
      </c>
      <c r="C84" s="4" t="s">
        <v>1357</v>
      </c>
    </row>
    <row r="85" spans="1:3">
      <c r="A85" s="4" t="s">
        <v>1358</v>
      </c>
      <c r="B85" s="4">
        <v>31104</v>
      </c>
      <c r="C85" s="4" t="s">
        <v>1359</v>
      </c>
    </row>
    <row r="86" spans="1:3">
      <c r="A86" s="4" t="s">
        <v>1360</v>
      </c>
      <c r="B86" s="4">
        <v>31121</v>
      </c>
      <c r="C86" s="4" t="s">
        <v>1361</v>
      </c>
    </row>
    <row r="87" spans="1:3">
      <c r="A87" s="4" t="s">
        <v>1362</v>
      </c>
      <c r="B87" s="4">
        <v>31122</v>
      </c>
      <c r="C87" s="4" t="s">
        <v>1363</v>
      </c>
    </row>
    <row r="88" spans="1:3">
      <c r="A88" s="4" t="s">
        <v>1364</v>
      </c>
      <c r="B88" s="4">
        <v>31130</v>
      </c>
      <c r="C88" s="4" t="s">
        <v>1365</v>
      </c>
    </row>
    <row r="89" spans="1:3">
      <c r="A89" s="4" t="s">
        <v>1366</v>
      </c>
      <c r="B89" s="4">
        <v>31140</v>
      </c>
      <c r="C89" s="4" t="s">
        <v>1367</v>
      </c>
    </row>
    <row r="90" spans="1:3">
      <c r="A90" s="4" t="s">
        <v>1368</v>
      </c>
      <c r="B90" s="4">
        <v>31144</v>
      </c>
      <c r="C90" s="4" t="s">
        <v>1369</v>
      </c>
    </row>
    <row r="91" spans="1:3">
      <c r="A91" s="4" t="s">
        <v>1370</v>
      </c>
      <c r="B91" s="4">
        <v>31157</v>
      </c>
      <c r="C91" s="4" t="s">
        <v>1371</v>
      </c>
    </row>
    <row r="92" spans="1:3">
      <c r="A92" s="4" t="s">
        <v>1372</v>
      </c>
      <c r="B92" s="4">
        <v>31161</v>
      </c>
      <c r="C92" s="4" t="s">
        <v>1373</v>
      </c>
    </row>
    <row r="93" spans="1:3">
      <c r="A93" s="4" t="s">
        <v>1374</v>
      </c>
      <c r="B93" s="4">
        <v>31163</v>
      </c>
      <c r="C93" s="4" t="s">
        <v>1375</v>
      </c>
    </row>
    <row r="94" spans="1:3">
      <c r="A94" s="4" t="s">
        <v>1376</v>
      </c>
      <c r="B94" s="4">
        <v>31167</v>
      </c>
      <c r="C94" s="4" t="s">
        <v>1377</v>
      </c>
    </row>
    <row r="95" spans="1:3">
      <c r="A95" s="4" t="s">
        <v>1378</v>
      </c>
      <c r="B95" s="4">
        <v>31169</v>
      </c>
      <c r="C95" s="4" t="s">
        <v>1379</v>
      </c>
    </row>
    <row r="96" spans="1:3">
      <c r="A96" s="4" t="s">
        <v>1380</v>
      </c>
      <c r="B96" s="4">
        <v>31184</v>
      </c>
      <c r="C96" s="4" t="s">
        <v>1381</v>
      </c>
    </row>
    <row r="97" spans="1:3">
      <c r="A97" s="4" t="s">
        <v>1382</v>
      </c>
      <c r="B97" s="4">
        <v>31185</v>
      </c>
      <c r="C97" s="4" t="s">
        <v>1383</v>
      </c>
    </row>
    <row r="98" spans="1:3">
      <c r="A98" s="4" t="s">
        <v>1384</v>
      </c>
      <c r="B98" s="4">
        <v>31191</v>
      </c>
      <c r="C98" s="4" t="s">
        <v>1385</v>
      </c>
    </row>
    <row r="99" spans="1:3">
      <c r="A99" s="4" t="s">
        <v>1386</v>
      </c>
      <c r="B99" s="4">
        <v>31192</v>
      </c>
      <c r="C99" s="4" t="s">
        <v>1387</v>
      </c>
    </row>
    <row r="100" spans="1:3">
      <c r="A100" s="4" t="s">
        <v>1388</v>
      </c>
      <c r="B100" s="4">
        <v>31193</v>
      </c>
      <c r="C100" s="4" t="s">
        <v>1389</v>
      </c>
    </row>
    <row r="101" spans="1:3">
      <c r="A101" s="4" t="s">
        <v>1390</v>
      </c>
      <c r="B101" s="4">
        <v>31200</v>
      </c>
      <c r="C101" s="4" t="s">
        <v>1391</v>
      </c>
    </row>
    <row r="102" spans="1:3">
      <c r="A102" s="4" t="s">
        <v>1392</v>
      </c>
      <c r="B102" s="4">
        <v>31212</v>
      </c>
      <c r="C102" s="4" t="s">
        <v>1393</v>
      </c>
    </row>
    <row r="103" spans="1:3">
      <c r="A103" s="4" t="s">
        <v>1394</v>
      </c>
      <c r="B103" s="4">
        <v>31232</v>
      </c>
      <c r="C103" s="4" t="s">
        <v>1395</v>
      </c>
    </row>
    <row r="104" spans="1:3">
      <c r="A104" s="4" t="s">
        <v>1396</v>
      </c>
      <c r="B104" s="4">
        <v>31233</v>
      </c>
      <c r="C104" s="4" t="s">
        <v>1397</v>
      </c>
    </row>
    <row r="105" spans="1:3">
      <c r="A105" s="4" t="s">
        <v>1398</v>
      </c>
      <c r="B105" s="4">
        <v>31234</v>
      </c>
      <c r="C105" s="4" t="s">
        <v>1399</v>
      </c>
    </row>
    <row r="106" spans="1:3">
      <c r="A106" s="4" t="s">
        <v>1400</v>
      </c>
      <c r="B106" s="4">
        <v>31239</v>
      </c>
      <c r="C106" s="4" t="s">
        <v>1401</v>
      </c>
    </row>
    <row r="107" spans="1:3">
      <c r="A107" s="4" t="s">
        <v>1402</v>
      </c>
      <c r="B107" s="4">
        <v>31243</v>
      </c>
      <c r="C107" s="4" t="s">
        <v>1403</v>
      </c>
    </row>
    <row r="108" spans="1:3">
      <c r="A108" s="4" t="s">
        <v>1404</v>
      </c>
      <c r="B108" s="4">
        <v>31245</v>
      </c>
      <c r="C108" s="4" t="s">
        <v>1405</v>
      </c>
    </row>
    <row r="109" spans="1:3">
      <c r="A109" s="4" t="s">
        <v>1406</v>
      </c>
      <c r="B109" s="4">
        <v>31251</v>
      </c>
      <c r="C109" s="4" t="s">
        <v>1407</v>
      </c>
    </row>
    <row r="110" spans="1:3">
      <c r="A110" s="4" t="s">
        <v>1408</v>
      </c>
      <c r="B110" s="4">
        <v>31255</v>
      </c>
      <c r="C110" s="4" t="s">
        <v>1409</v>
      </c>
    </row>
    <row r="111" spans="1:3">
      <c r="A111" s="4" t="s">
        <v>1410</v>
      </c>
      <c r="B111" s="4">
        <v>31268</v>
      </c>
      <c r="C111" s="4" t="s">
        <v>1411</v>
      </c>
    </row>
    <row r="112" spans="1:3">
      <c r="A112" s="4" t="s">
        <v>1412</v>
      </c>
      <c r="B112" s="4">
        <v>31270</v>
      </c>
      <c r="C112" s="4" t="s">
        <v>258</v>
      </c>
    </row>
    <row r="113" spans="1:3">
      <c r="A113" s="4" t="s">
        <v>1413</v>
      </c>
      <c r="B113" s="4">
        <v>31274</v>
      </c>
      <c r="C113" s="4" t="s">
        <v>1414</v>
      </c>
    </row>
    <row r="114" spans="1:3">
      <c r="A114" s="4" t="s">
        <v>1415</v>
      </c>
      <c r="B114" s="4">
        <v>31275</v>
      </c>
      <c r="C114" s="4" t="s">
        <v>1416</v>
      </c>
    </row>
    <row r="115" spans="1:3">
      <c r="A115" s="4" t="s">
        <v>1417</v>
      </c>
      <c r="B115" s="4">
        <v>31281</v>
      </c>
      <c r="C115" s="4" t="s">
        <v>1418</v>
      </c>
    </row>
    <row r="116" spans="1:3">
      <c r="A116" s="4" t="s">
        <v>1419</v>
      </c>
      <c r="B116" s="4">
        <v>31282</v>
      </c>
      <c r="C116" s="4" t="s">
        <v>36</v>
      </c>
    </row>
    <row r="117" spans="1:3">
      <c r="A117" s="4" t="s">
        <v>1420</v>
      </c>
      <c r="B117" s="4">
        <v>31286</v>
      </c>
      <c r="C117" s="4" t="s">
        <v>1421</v>
      </c>
    </row>
    <row r="118" spans="1:3">
      <c r="A118" s="4" t="s">
        <v>1422</v>
      </c>
      <c r="B118" s="4">
        <v>31297</v>
      </c>
      <c r="C118" s="4" t="s">
        <v>1423</v>
      </c>
    </row>
    <row r="119" spans="1:3">
      <c r="A119" s="4" t="s">
        <v>1424</v>
      </c>
      <c r="B119" s="4">
        <v>31304</v>
      </c>
      <c r="C119" s="4" t="s">
        <v>1425</v>
      </c>
    </row>
    <row r="120" spans="1:3">
      <c r="A120" s="4" t="s">
        <v>1426</v>
      </c>
      <c r="B120" s="4">
        <v>31310</v>
      </c>
      <c r="C120" s="4" t="s">
        <v>1427</v>
      </c>
    </row>
    <row r="121" spans="1:3">
      <c r="A121" s="4" t="s">
        <v>1428</v>
      </c>
      <c r="B121" s="4">
        <v>31315</v>
      </c>
      <c r="C121" s="4" t="s">
        <v>1429</v>
      </c>
    </row>
    <row r="122" spans="1:3">
      <c r="A122" s="4" t="s">
        <v>1430</v>
      </c>
      <c r="B122" s="4">
        <v>31319</v>
      </c>
      <c r="C122" s="4" t="s">
        <v>1431</v>
      </c>
    </row>
    <row r="123" spans="1:3">
      <c r="A123" s="4" t="s">
        <v>1432</v>
      </c>
      <c r="B123" s="4">
        <v>31320</v>
      </c>
      <c r="C123" s="4" t="s">
        <v>1433</v>
      </c>
    </row>
    <row r="124" spans="1:3">
      <c r="A124" s="4" t="s">
        <v>1434</v>
      </c>
      <c r="B124" s="4">
        <v>31321</v>
      </c>
      <c r="C124" s="4" t="s">
        <v>1435</v>
      </c>
    </row>
    <row r="125" spans="1:3">
      <c r="A125" s="4" t="s">
        <v>1436</v>
      </c>
      <c r="B125" s="4">
        <v>31322</v>
      </c>
      <c r="C125" s="4" t="s">
        <v>1437</v>
      </c>
    </row>
    <row r="126" spans="1:3">
      <c r="A126" s="4" t="s">
        <v>1438</v>
      </c>
      <c r="B126" s="4">
        <v>31324</v>
      </c>
      <c r="C126" s="4" t="s">
        <v>1439</v>
      </c>
    </row>
    <row r="127" spans="1:3">
      <c r="A127" s="4" t="s">
        <v>1440</v>
      </c>
      <c r="B127" s="4">
        <v>31325</v>
      </c>
      <c r="C127" s="4" t="s">
        <v>1441</v>
      </c>
    </row>
    <row r="128" spans="1:3">
      <c r="A128" s="4" t="s">
        <v>1442</v>
      </c>
      <c r="B128" s="4">
        <v>31327</v>
      </c>
      <c r="C128" s="4" t="s">
        <v>1443</v>
      </c>
    </row>
    <row r="129" spans="1:3">
      <c r="A129" s="4" t="s">
        <v>1444</v>
      </c>
      <c r="B129" s="4">
        <v>31330</v>
      </c>
      <c r="C129" s="4" t="s">
        <v>1445</v>
      </c>
    </row>
    <row r="130" spans="1:3">
      <c r="A130" s="4" t="s">
        <v>1446</v>
      </c>
      <c r="B130" s="4">
        <v>31345</v>
      </c>
      <c r="C130" s="4" t="s">
        <v>74</v>
      </c>
    </row>
    <row r="131" spans="1:3">
      <c r="A131" s="4" t="s">
        <v>1447</v>
      </c>
      <c r="B131" s="4">
        <v>31350</v>
      </c>
      <c r="C131" s="4" t="s">
        <v>1448</v>
      </c>
    </row>
    <row r="132" spans="1:3">
      <c r="A132" s="4" t="s">
        <v>1449</v>
      </c>
      <c r="B132" s="4">
        <v>31351</v>
      </c>
      <c r="C132" s="4" t="s">
        <v>1450</v>
      </c>
    </row>
    <row r="133" spans="1:3">
      <c r="A133" s="4" t="s">
        <v>1451</v>
      </c>
      <c r="B133" s="4">
        <v>31356</v>
      </c>
      <c r="C133" s="4" t="s">
        <v>1452</v>
      </c>
    </row>
    <row r="134" spans="1:3">
      <c r="A134" s="4" t="s">
        <v>1453</v>
      </c>
      <c r="B134" s="4">
        <v>31364</v>
      </c>
      <c r="C134" s="4" t="s">
        <v>1454</v>
      </c>
    </row>
    <row r="135" spans="1:3">
      <c r="A135" s="4" t="s">
        <v>1455</v>
      </c>
      <c r="B135" s="4">
        <v>31378</v>
      </c>
      <c r="C135" s="4" t="s">
        <v>1456</v>
      </c>
    </row>
    <row r="136" spans="1:3">
      <c r="A136" s="4" t="s">
        <v>1457</v>
      </c>
      <c r="B136" s="4">
        <v>31385</v>
      </c>
      <c r="C136" s="4" t="s">
        <v>1458</v>
      </c>
    </row>
    <row r="137" spans="1:3">
      <c r="A137" s="4" t="s">
        <v>1459</v>
      </c>
      <c r="B137" s="4">
        <v>31386</v>
      </c>
      <c r="C137" s="4" t="s">
        <v>1460</v>
      </c>
    </row>
    <row r="138" spans="1:3">
      <c r="A138" s="4" t="s">
        <v>1461</v>
      </c>
      <c r="B138" s="4">
        <v>31387</v>
      </c>
      <c r="C138" s="4" t="s">
        <v>1462</v>
      </c>
    </row>
    <row r="139" spans="1:3">
      <c r="A139" s="4" t="s">
        <v>1463</v>
      </c>
      <c r="B139" s="4">
        <v>31388</v>
      </c>
      <c r="C139" s="4" t="s">
        <v>1464</v>
      </c>
    </row>
    <row r="140" spans="1:3">
      <c r="A140" s="4" t="s">
        <v>1465</v>
      </c>
      <c r="B140" s="4">
        <v>31391</v>
      </c>
      <c r="C140" s="4" t="s">
        <v>1466</v>
      </c>
    </row>
    <row r="141" spans="1:3">
      <c r="A141" s="4" t="s">
        <v>1467</v>
      </c>
      <c r="B141" s="4">
        <v>31401</v>
      </c>
      <c r="C141" s="4" t="s">
        <v>1468</v>
      </c>
    </row>
    <row r="142" spans="1:3">
      <c r="A142" s="4" t="s">
        <v>1469</v>
      </c>
      <c r="B142" s="4">
        <v>31409</v>
      </c>
      <c r="C142" s="4" t="s">
        <v>1470</v>
      </c>
    </row>
    <row r="143" spans="1:3">
      <c r="A143" s="4" t="s">
        <v>1471</v>
      </c>
      <c r="B143" s="4">
        <v>31413</v>
      </c>
      <c r="C143" s="4" t="s">
        <v>1472</v>
      </c>
    </row>
    <row r="144" spans="1:3">
      <c r="A144" s="4" t="s">
        <v>1473</v>
      </c>
      <c r="B144" s="4">
        <v>31418</v>
      </c>
      <c r="C144" s="4" t="s">
        <v>1474</v>
      </c>
    </row>
    <row r="145" spans="1:3">
      <c r="A145" s="4" t="s">
        <v>1475</v>
      </c>
      <c r="B145" s="4">
        <v>31420</v>
      </c>
      <c r="C145" s="4" t="s">
        <v>1476</v>
      </c>
    </row>
    <row r="146" spans="1:3">
      <c r="A146" s="4" t="s">
        <v>1477</v>
      </c>
      <c r="B146" s="4">
        <v>31421</v>
      </c>
      <c r="C146" s="4" t="s">
        <v>1478</v>
      </c>
    </row>
    <row r="147" spans="1:3">
      <c r="A147" s="4" t="s">
        <v>1479</v>
      </c>
      <c r="B147" s="4">
        <v>31422</v>
      </c>
      <c r="C147" s="4" t="s">
        <v>1480</v>
      </c>
    </row>
    <row r="148" spans="1:3">
      <c r="A148" s="4" t="s">
        <v>1481</v>
      </c>
      <c r="B148" s="4">
        <v>31423</v>
      </c>
      <c r="C148" s="4" t="s">
        <v>1482</v>
      </c>
    </row>
    <row r="149" spans="1:3">
      <c r="A149" s="4" t="s">
        <v>1483</v>
      </c>
      <c r="B149" s="4">
        <v>31443</v>
      </c>
      <c r="C149" s="4" t="s">
        <v>1484</v>
      </c>
    </row>
    <row r="150" spans="1:3">
      <c r="A150" s="4" t="s">
        <v>1485</v>
      </c>
      <c r="B150" s="4">
        <v>39209</v>
      </c>
      <c r="C150" s="4" t="s">
        <v>1486</v>
      </c>
    </row>
    <row r="151" spans="1:3">
      <c r="A151" s="4" t="s">
        <v>1487</v>
      </c>
      <c r="B151" s="4">
        <v>39227</v>
      </c>
      <c r="C151" s="4" t="s">
        <v>1488</v>
      </c>
    </row>
    <row r="152" spans="1:3">
      <c r="A152" s="4" t="s">
        <v>1489</v>
      </c>
      <c r="B152" s="4">
        <v>39301</v>
      </c>
      <c r="C152" s="4" t="s">
        <v>1490</v>
      </c>
    </row>
    <row r="153" spans="1:3">
      <c r="A153" s="4" t="s">
        <v>1491</v>
      </c>
      <c r="B153" s="4">
        <v>39436</v>
      </c>
      <c r="C153" s="4" t="s">
        <v>1492</v>
      </c>
    </row>
    <row r="154" spans="1:3">
      <c r="A154" s="4" t="s">
        <v>1493</v>
      </c>
      <c r="B154" s="4">
        <v>39437</v>
      </c>
      <c r="C154" s="4" t="s">
        <v>1494</v>
      </c>
    </row>
    <row r="155" spans="1:3">
      <c r="A155" s="4" t="s">
        <v>1495</v>
      </c>
      <c r="B155" s="4">
        <v>39438</v>
      </c>
      <c r="C155" s="4" t="s">
        <v>1496</v>
      </c>
    </row>
    <row r="156" spans="1:3">
      <c r="A156" s="4" t="s">
        <v>1497</v>
      </c>
      <c r="B156" s="4">
        <v>39439</v>
      </c>
      <c r="C156" s="4" t="s">
        <v>1498</v>
      </c>
    </row>
    <row r="157" spans="1:3">
      <c r="A157" s="4" t="s">
        <v>1499</v>
      </c>
      <c r="B157" s="4">
        <v>41696</v>
      </c>
      <c r="C157" s="4" t="s">
        <v>1500</v>
      </c>
    </row>
    <row r="158" spans="1:3">
      <c r="A158" s="4" t="s">
        <v>1501</v>
      </c>
      <c r="B158" s="4">
        <v>41700</v>
      </c>
      <c r="C158" s="4" t="s">
        <v>1502</v>
      </c>
    </row>
    <row r="159" spans="1:3">
      <c r="A159" s="4" t="s">
        <v>1503</v>
      </c>
      <c r="B159" s="4">
        <v>41709</v>
      </c>
      <c r="C159" s="4" t="s">
        <v>1504</v>
      </c>
    </row>
    <row r="160" spans="1:3">
      <c r="A160" s="4" t="s">
        <v>1505</v>
      </c>
      <c r="B160" s="4">
        <v>41717</v>
      </c>
      <c r="C160" s="4" t="s">
        <v>1506</v>
      </c>
    </row>
    <row r="161" spans="1:3">
      <c r="A161" s="4" t="s">
        <v>1507</v>
      </c>
      <c r="B161" s="4">
        <v>41726</v>
      </c>
      <c r="C161" s="4" t="s">
        <v>1508</v>
      </c>
    </row>
    <row r="162" spans="1:3">
      <c r="A162" s="4" t="s">
        <v>1509</v>
      </c>
      <c r="B162" s="4">
        <v>41727</v>
      </c>
      <c r="C162" s="4" t="s">
        <v>1510</v>
      </c>
    </row>
    <row r="163" spans="1:3">
      <c r="A163" s="4" t="s">
        <v>1511</v>
      </c>
      <c r="B163" s="4">
        <v>41728</v>
      </c>
      <c r="C163" s="4" t="s">
        <v>1512</v>
      </c>
    </row>
    <row r="164" spans="1:3">
      <c r="A164" s="4" t="s">
        <v>1513</v>
      </c>
      <c r="B164" s="4">
        <v>41729</v>
      </c>
      <c r="C164" s="4" t="s">
        <v>1514</v>
      </c>
    </row>
    <row r="165" spans="1:3">
      <c r="A165" s="4" t="s">
        <v>1515</v>
      </c>
      <c r="B165" s="4">
        <v>41731</v>
      </c>
      <c r="C165" s="4" t="s">
        <v>1516</v>
      </c>
    </row>
    <row r="166" spans="1:3">
      <c r="A166" s="4" t="s">
        <v>1517</v>
      </c>
      <c r="B166" s="4">
        <v>41735</v>
      </c>
      <c r="C166" s="4" t="s">
        <v>1518</v>
      </c>
    </row>
    <row r="167" spans="1:3">
      <c r="A167" s="4" t="s">
        <v>1519</v>
      </c>
      <c r="B167" s="4">
        <v>41737</v>
      </c>
      <c r="C167" s="4" t="s">
        <v>1520</v>
      </c>
    </row>
    <row r="168" spans="1:3">
      <c r="A168" s="4" t="s">
        <v>1521</v>
      </c>
      <c r="B168" s="4">
        <v>50587</v>
      </c>
      <c r="C168" s="4" t="s">
        <v>1522</v>
      </c>
    </row>
    <row r="169" spans="1:3">
      <c r="A169" s="4" t="s">
        <v>1523</v>
      </c>
      <c r="B169" s="4">
        <v>50925</v>
      </c>
      <c r="C169" s="4" t="s">
        <v>1524</v>
      </c>
    </row>
    <row r="170" spans="1:3">
      <c r="A170" s="4" t="s">
        <v>1525</v>
      </c>
      <c r="B170" s="4">
        <v>51441</v>
      </c>
      <c r="C170" s="4" t="s">
        <v>1526</v>
      </c>
    </row>
    <row r="171" spans="1:3">
      <c r="A171" s="4" t="s">
        <v>1527</v>
      </c>
      <c r="B171" s="4">
        <v>51510</v>
      </c>
      <c r="C171" s="4" t="s">
        <v>1528</v>
      </c>
    </row>
    <row r="172" spans="1:3">
      <c r="A172" s="4" t="s">
        <v>1529</v>
      </c>
      <c r="B172" s="4">
        <v>62196</v>
      </c>
      <c r="C172" s="4" t="s">
        <v>1530</v>
      </c>
    </row>
    <row r="173" spans="1:3">
      <c r="A173" s="4" t="s">
        <v>1531</v>
      </c>
      <c r="B173" s="4">
        <v>62199</v>
      </c>
      <c r="C173" s="4" t="s">
        <v>1532</v>
      </c>
    </row>
    <row r="174" spans="1:3">
      <c r="A174" s="4" t="s">
        <v>1533</v>
      </c>
      <c r="B174" s="4">
        <v>62202</v>
      </c>
      <c r="C174" s="4" t="s">
        <v>1534</v>
      </c>
    </row>
    <row r="175" spans="1:3">
      <c r="A175" s="4" t="s">
        <v>1535</v>
      </c>
      <c r="B175" s="4">
        <v>62236</v>
      </c>
      <c r="C175" s="4" t="s">
        <v>1536</v>
      </c>
    </row>
    <row r="176" spans="1:3">
      <c r="A176" s="4" t="s">
        <v>1537</v>
      </c>
      <c r="B176" s="4">
        <v>62237</v>
      </c>
      <c r="C176" s="4" t="s">
        <v>1538</v>
      </c>
    </row>
    <row r="177" spans="1:3">
      <c r="A177" s="4" t="s">
        <v>1539</v>
      </c>
      <c r="B177" s="4">
        <v>62240</v>
      </c>
      <c r="C177" s="4" t="s">
        <v>1540</v>
      </c>
    </row>
    <row r="178" spans="1:3">
      <c r="A178" s="4" t="s">
        <v>1541</v>
      </c>
      <c r="B178" s="4">
        <v>62273</v>
      </c>
      <c r="C178" s="4" t="s">
        <v>1542</v>
      </c>
    </row>
    <row r="179" spans="1:3">
      <c r="A179" s="4" t="s">
        <v>1543</v>
      </c>
      <c r="B179" s="4">
        <v>63083</v>
      </c>
      <c r="C179" s="4" t="s">
        <v>102</v>
      </c>
    </row>
    <row r="180" spans="1:3">
      <c r="A180" s="4" t="s">
        <v>1544</v>
      </c>
      <c r="B180" s="4">
        <v>64541</v>
      </c>
      <c r="C180" s="4" t="s">
        <v>209</v>
      </c>
    </row>
    <row r="181" spans="1:3">
      <c r="A181" s="4" t="s">
        <v>1545</v>
      </c>
      <c r="B181" s="4">
        <v>66336</v>
      </c>
      <c r="C181" s="4" t="s">
        <v>57</v>
      </c>
    </row>
    <row r="182" spans="1:3">
      <c r="A182" s="4" t="s">
        <v>1546</v>
      </c>
      <c r="B182" s="4">
        <v>68739</v>
      </c>
      <c r="C182" s="4" t="s">
        <v>1547</v>
      </c>
    </row>
    <row r="183" spans="1:3">
      <c r="A183" s="4" t="s">
        <v>1548</v>
      </c>
      <c r="B183" s="4">
        <v>68806</v>
      </c>
      <c r="C183" s="4" t="s">
        <v>1549</v>
      </c>
    </row>
    <row r="184" spans="1:3">
      <c r="A184" s="4" t="s">
        <v>1550</v>
      </c>
      <c r="B184" s="4">
        <v>68807</v>
      </c>
      <c r="C184" s="4" t="s">
        <v>1551</v>
      </c>
    </row>
    <row r="185" spans="1:3">
      <c r="A185" s="4" t="s">
        <v>1552</v>
      </c>
      <c r="B185" s="4">
        <v>68809</v>
      </c>
      <c r="C185" s="4" t="s">
        <v>1553</v>
      </c>
    </row>
    <row r="186" spans="1:3">
      <c r="A186" s="4" t="s">
        <v>1554</v>
      </c>
      <c r="B186" s="4">
        <v>68811</v>
      </c>
      <c r="C186" s="4" t="s">
        <v>1555</v>
      </c>
    </row>
    <row r="187" spans="1:3">
      <c r="A187" s="4" t="s">
        <v>1556</v>
      </c>
      <c r="B187" s="4">
        <v>68813</v>
      </c>
      <c r="C187" s="4" t="s">
        <v>1557</v>
      </c>
    </row>
    <row r="188" spans="1:3">
      <c r="A188" s="4" t="s">
        <v>1558</v>
      </c>
      <c r="B188" s="4">
        <v>68814</v>
      </c>
      <c r="C188" s="4" t="s">
        <v>1559</v>
      </c>
    </row>
    <row r="189" spans="1:3">
      <c r="A189" s="4" t="s">
        <v>1560</v>
      </c>
      <c r="B189" s="4">
        <v>68815</v>
      </c>
      <c r="C189" s="4" t="s">
        <v>1561</v>
      </c>
    </row>
    <row r="190" spans="1:3">
      <c r="A190" s="4" t="s">
        <v>1562</v>
      </c>
      <c r="B190" s="4">
        <v>68861</v>
      </c>
      <c r="C190" s="4" t="s">
        <v>1563</v>
      </c>
    </row>
    <row r="191" spans="1:3">
      <c r="A191" s="4" t="s">
        <v>1564</v>
      </c>
      <c r="B191" s="4">
        <v>68862</v>
      </c>
      <c r="C191" s="4" t="s">
        <v>1565</v>
      </c>
    </row>
    <row r="192" spans="1:3">
      <c r="A192" s="4" t="s">
        <v>1566</v>
      </c>
      <c r="B192" s="4">
        <v>68863</v>
      </c>
      <c r="C192" s="4" t="s">
        <v>1567</v>
      </c>
    </row>
    <row r="193" spans="1:3">
      <c r="A193" s="4" t="s">
        <v>1568</v>
      </c>
      <c r="B193" s="4">
        <v>68864</v>
      </c>
      <c r="C193" s="4" t="s">
        <v>1569</v>
      </c>
    </row>
    <row r="194" spans="1:3">
      <c r="A194" s="4" t="s">
        <v>1570</v>
      </c>
      <c r="B194" s="4">
        <v>68865</v>
      </c>
      <c r="C194" s="4" t="s">
        <v>1571</v>
      </c>
    </row>
    <row r="195" spans="1:3">
      <c r="A195" s="4" t="s">
        <v>1572</v>
      </c>
      <c r="B195" s="4">
        <v>68866</v>
      </c>
      <c r="C195" s="4" t="s">
        <v>1573</v>
      </c>
    </row>
    <row r="196" spans="1:3">
      <c r="A196" s="4" t="s">
        <v>1574</v>
      </c>
      <c r="B196" s="4">
        <v>68868</v>
      </c>
      <c r="C196" s="4" t="s">
        <v>1575</v>
      </c>
    </row>
    <row r="197" spans="1:3">
      <c r="A197" s="4" t="s">
        <v>1576</v>
      </c>
      <c r="B197" s="4">
        <v>68869</v>
      </c>
      <c r="C197" s="4" t="s">
        <v>1577</v>
      </c>
    </row>
    <row r="198" spans="1:3">
      <c r="A198" s="4" t="s">
        <v>1578</v>
      </c>
      <c r="B198" s="4">
        <v>81264</v>
      </c>
      <c r="C198" s="4" t="s">
        <v>1579</v>
      </c>
    </row>
    <row r="199" spans="1:3">
      <c r="A199" s="4" t="s">
        <v>1580</v>
      </c>
      <c r="B199" s="4">
        <v>81265</v>
      </c>
      <c r="C199" s="4" t="s">
        <v>1581</v>
      </c>
    </row>
    <row r="200" spans="1:3">
      <c r="A200" s="4" t="s">
        <v>1582</v>
      </c>
      <c r="B200" s="4">
        <v>81326</v>
      </c>
      <c r="C200" s="4" t="s">
        <v>1583</v>
      </c>
    </row>
    <row r="201" spans="1:3">
      <c r="A201" s="4" t="s">
        <v>1584</v>
      </c>
      <c r="B201" s="4">
        <v>82961</v>
      </c>
      <c r="C201" s="4" t="s">
        <v>1585</v>
      </c>
    </row>
    <row r="202" spans="1:3">
      <c r="A202" s="4" t="s">
        <v>1586</v>
      </c>
      <c r="B202" s="4">
        <v>82977</v>
      </c>
      <c r="C202" s="4" t="s">
        <v>1587</v>
      </c>
    </row>
    <row r="203" spans="1:3">
      <c r="A203" s="4" t="s">
        <v>1588</v>
      </c>
      <c r="B203" s="4">
        <v>83028</v>
      </c>
      <c r="C203" s="4" t="s">
        <v>1589</v>
      </c>
    </row>
    <row r="204" spans="1:3">
      <c r="A204" s="4" t="s">
        <v>1590</v>
      </c>
      <c r="B204" s="4">
        <v>83057</v>
      </c>
      <c r="C204" s="4" t="s">
        <v>1591</v>
      </c>
    </row>
    <row r="205" spans="1:3">
      <c r="A205" s="4" t="s">
        <v>1592</v>
      </c>
      <c r="B205" s="4">
        <v>83075</v>
      </c>
      <c r="C205" s="4" t="s">
        <v>1593</v>
      </c>
    </row>
    <row r="206" spans="1:3">
      <c r="A206" s="4" t="s">
        <v>1594</v>
      </c>
      <c r="B206" s="4">
        <v>84789</v>
      </c>
      <c r="C206" s="4" t="s">
        <v>1595</v>
      </c>
    </row>
    <row r="207" spans="1:3">
      <c r="A207" s="4" t="s">
        <v>1596</v>
      </c>
      <c r="B207" s="4">
        <v>86366</v>
      </c>
      <c r="C207" s="4" t="s">
        <v>1597</v>
      </c>
    </row>
    <row r="208" spans="1:3">
      <c r="A208" s="4" t="s">
        <v>1598</v>
      </c>
      <c r="B208" s="4">
        <v>86374</v>
      </c>
      <c r="C208" s="4" t="s">
        <v>1599</v>
      </c>
    </row>
    <row r="209" spans="1:3">
      <c r="A209" s="4" t="s">
        <v>1600</v>
      </c>
      <c r="B209" s="4">
        <v>86381</v>
      </c>
      <c r="C209" s="4" t="s">
        <v>1601</v>
      </c>
    </row>
    <row r="210" spans="1:3">
      <c r="A210" s="4" t="s">
        <v>1602</v>
      </c>
      <c r="B210" s="4">
        <v>86409</v>
      </c>
      <c r="C210" s="4" t="s">
        <v>1603</v>
      </c>
    </row>
    <row r="211" spans="1:3">
      <c r="A211" s="4" t="s">
        <v>1604</v>
      </c>
      <c r="B211" s="4">
        <v>86620</v>
      </c>
      <c r="C211" s="4" t="s">
        <v>92</v>
      </c>
    </row>
    <row r="212" spans="1:3">
      <c r="A212" s="4" t="s">
        <v>1605</v>
      </c>
      <c r="B212" s="4">
        <v>91781</v>
      </c>
      <c r="C212" s="4" t="s">
        <v>70</v>
      </c>
    </row>
    <row r="213" spans="1:3">
      <c r="A213" s="4" t="s">
        <v>1606</v>
      </c>
      <c r="B213" s="4">
        <v>91807</v>
      </c>
      <c r="C213" s="4" t="s">
        <v>1607</v>
      </c>
    </row>
    <row r="214" spans="1:3">
      <c r="A214" s="4">
        <v>764</v>
      </c>
      <c r="B214" s="4">
        <v>92206</v>
      </c>
      <c r="C214" s="4" t="s">
        <v>5</v>
      </c>
    </row>
    <row r="215" spans="1:3">
      <c r="A215" s="4" t="s">
        <v>1608</v>
      </c>
      <c r="B215" s="4">
        <v>92372</v>
      </c>
      <c r="C215" s="10" t="s">
        <v>1609</v>
      </c>
    </row>
    <row r="216" spans="1:3">
      <c r="A216" s="4" t="s">
        <v>1610</v>
      </c>
      <c r="B216" s="4">
        <v>92705</v>
      </c>
      <c r="C216" s="4" t="s">
        <v>1611</v>
      </c>
    </row>
    <row r="217" spans="1:3">
      <c r="A217" s="4" t="s">
        <v>1612</v>
      </c>
      <c r="B217" s="4">
        <v>92712</v>
      </c>
      <c r="C217" s="4" t="s">
        <v>1613</v>
      </c>
    </row>
    <row r="218" spans="1:3">
      <c r="A218" s="4" t="s">
        <v>1614</v>
      </c>
      <c r="B218" s="4">
        <v>92733</v>
      </c>
      <c r="C218" s="4" t="s">
        <v>1615</v>
      </c>
    </row>
    <row r="219" spans="1:3">
      <c r="A219" s="4" t="s">
        <v>1616</v>
      </c>
      <c r="B219" s="4">
        <v>92734</v>
      </c>
      <c r="C219" s="4" t="s">
        <v>1617</v>
      </c>
    </row>
    <row r="220" spans="1:3">
      <c r="A220" s="4" t="s">
        <v>1618</v>
      </c>
      <c r="B220" s="4">
        <v>92792</v>
      </c>
      <c r="C220" s="4" t="s">
        <v>1619</v>
      </c>
    </row>
    <row r="221" spans="1:3">
      <c r="A221" s="4" t="s">
        <v>1620</v>
      </c>
      <c r="B221" s="4">
        <v>92804</v>
      </c>
      <c r="C221" s="4" t="s">
        <v>1621</v>
      </c>
    </row>
    <row r="222" spans="1:3">
      <c r="A222" s="4" t="s">
        <v>1622</v>
      </c>
      <c r="B222" s="4">
        <v>92805</v>
      </c>
      <c r="C222" s="4" t="s">
        <v>1623</v>
      </c>
    </row>
    <row r="223" spans="1:3">
      <c r="A223" s="4" t="s">
        <v>1624</v>
      </c>
      <c r="B223" s="4">
        <v>92842</v>
      </c>
      <c r="C223" s="4" t="s">
        <v>1625</v>
      </c>
    </row>
    <row r="224" spans="1:3">
      <c r="A224" s="4" t="s">
        <v>1626</v>
      </c>
      <c r="B224" s="4">
        <v>93187</v>
      </c>
      <c r="C224" s="4" t="s">
        <v>1627</v>
      </c>
    </row>
    <row r="225" spans="1:3">
      <c r="A225" s="4" t="s">
        <v>1628</v>
      </c>
      <c r="B225" s="4">
        <v>93196</v>
      </c>
      <c r="C225" s="4" t="s">
        <v>1629</v>
      </c>
    </row>
    <row r="226" spans="1:3">
      <c r="A226" s="4" t="s">
        <v>1630</v>
      </c>
      <c r="B226" s="4">
        <v>93229</v>
      </c>
      <c r="C226" s="4" t="s">
        <v>1631</v>
      </c>
    </row>
  </sheetData>
  <hyperlinks>
    <hyperlink ref="C215" r:id="rId1" xr:uid="{B9EE85CB-72A7-4372-BA60-190287C5C37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414D-152E-1346-B9CC-4DE3FA35C9ED}">
  <dimension ref="A1:M1091"/>
  <sheetViews>
    <sheetView zoomScale="135" zoomScaleNormal="135" workbookViewId="0">
      <pane xSplit="3" ySplit="1" topLeftCell="F951" activePane="bottomRight" state="frozen"/>
      <selection pane="bottomRight" activeCell="F951" sqref="F951"/>
      <selection pane="bottomLeft" activeCell="A2" sqref="A2"/>
      <selection pane="topRight" activeCell="C1" sqref="C1"/>
    </sheetView>
  </sheetViews>
  <sheetFormatPr defaultColWidth="10.875" defaultRowHeight="54" customHeight="1"/>
  <cols>
    <col min="1" max="1" width="10.875" style="1"/>
    <col min="2" max="2" width="19.875" style="1" customWidth="1"/>
    <col min="3" max="3" width="64.25" style="1" customWidth="1"/>
    <col min="4" max="4" width="13.125" style="1" customWidth="1"/>
    <col min="5" max="5" width="29.375" style="1" customWidth="1"/>
    <col min="6" max="6" width="75.375" style="1" customWidth="1"/>
    <col min="7" max="7" width="65.25" style="1" customWidth="1"/>
    <col min="8" max="8" width="62.625" style="24" customWidth="1"/>
    <col min="9" max="9" width="41.375" style="24" customWidth="1"/>
    <col min="10" max="10" width="62.125" style="1" customWidth="1"/>
    <col min="11" max="11" width="14.125" style="1" customWidth="1"/>
    <col min="12" max="12" width="38.75" style="39" customWidth="1"/>
    <col min="13" max="13" width="48.25" style="1" customWidth="1"/>
    <col min="14" max="16383" width="10.875" style="1"/>
    <col min="16384" max="16384" width="10.875" style="1" bestFit="1" customWidth="1"/>
  </cols>
  <sheetData>
    <row r="1" spans="1:12" s="3" customFormat="1" ht="54" customHeight="1">
      <c r="B1" s="3" t="s">
        <v>1632</v>
      </c>
      <c r="C1" s="12" t="s">
        <v>1633</v>
      </c>
      <c r="D1" s="3" t="s">
        <v>1634</v>
      </c>
      <c r="E1" s="3" t="s">
        <v>1635</v>
      </c>
      <c r="F1" s="3" t="s">
        <v>1636</v>
      </c>
      <c r="G1" s="20" t="s">
        <v>1637</v>
      </c>
      <c r="H1" s="23" t="s">
        <v>1638</v>
      </c>
      <c r="I1" s="23" t="s">
        <v>1639</v>
      </c>
      <c r="J1" s="3" t="s">
        <v>1640</v>
      </c>
      <c r="K1" s="3" t="s">
        <v>1641</v>
      </c>
      <c r="L1" s="38" t="s">
        <v>1642</v>
      </c>
    </row>
    <row r="2" spans="1:12" ht="54" customHeight="1">
      <c r="A2" s="1">
        <v>681</v>
      </c>
      <c r="B2" s="1" t="s">
        <v>1643</v>
      </c>
      <c r="C2" s="1" t="s">
        <v>1644</v>
      </c>
      <c r="D2" s="1" t="s">
        <v>1645</v>
      </c>
      <c r="E2" s="1" t="s">
        <v>1646</v>
      </c>
      <c r="F2" s="1" t="s">
        <v>1647</v>
      </c>
      <c r="G2" s="7" t="s">
        <v>22</v>
      </c>
      <c r="H2" s="14" t="s">
        <v>22</v>
      </c>
      <c r="I2" s="25" t="s">
        <v>20</v>
      </c>
      <c r="K2" s="1" t="s">
        <v>1648</v>
      </c>
      <c r="L2" s="1" t="s">
        <v>1649</v>
      </c>
    </row>
    <row r="3" spans="1:12" ht="54" customHeight="1">
      <c r="A3" s="1">
        <v>854</v>
      </c>
      <c r="B3" s="1" t="s">
        <v>1650</v>
      </c>
      <c r="C3" s="1" t="s">
        <v>1651</v>
      </c>
      <c r="D3" s="1" t="s">
        <v>1652</v>
      </c>
      <c r="E3" s="1" t="s">
        <v>1653</v>
      </c>
      <c r="F3" s="1" t="s">
        <v>1654</v>
      </c>
      <c r="G3" s="6"/>
    </row>
    <row r="4" spans="1:12" ht="54" customHeight="1">
      <c r="A4" s="1">
        <v>49779</v>
      </c>
      <c r="B4" s="1" t="s">
        <v>1655</v>
      </c>
      <c r="C4" s="1" t="s">
        <v>1656</v>
      </c>
      <c r="D4" s="1" t="s">
        <v>1652</v>
      </c>
      <c r="E4" s="1" t="s">
        <v>1657</v>
      </c>
      <c r="F4" s="1" t="s">
        <v>1658</v>
      </c>
      <c r="G4" s="7" t="s">
        <v>15</v>
      </c>
      <c r="H4" s="14" t="s">
        <v>15</v>
      </c>
      <c r="I4" s="25" t="s">
        <v>20</v>
      </c>
      <c r="K4" s="1" t="s">
        <v>1648</v>
      </c>
      <c r="L4" s="39" t="s">
        <v>1659</v>
      </c>
    </row>
    <row r="5" spans="1:12" ht="54" customHeight="1">
      <c r="A5" s="1">
        <v>82979</v>
      </c>
      <c r="B5" s="1" t="s">
        <v>1660</v>
      </c>
      <c r="C5" s="1" t="s">
        <v>1661</v>
      </c>
      <c r="D5" s="1" t="s">
        <v>1652</v>
      </c>
      <c r="E5" s="1" t="s">
        <v>1662</v>
      </c>
      <c r="F5" s="1" t="s">
        <v>1663</v>
      </c>
      <c r="G5" s="6"/>
    </row>
    <row r="6" spans="1:12" ht="54" customHeight="1">
      <c r="A6" s="1">
        <v>71</v>
      </c>
      <c r="B6" s="1" t="s">
        <v>1664</v>
      </c>
      <c r="C6" s="1" t="s">
        <v>1665</v>
      </c>
      <c r="D6" s="1" t="s">
        <v>1652</v>
      </c>
      <c r="E6" s="1" t="s">
        <v>1666</v>
      </c>
      <c r="F6" s="1" t="s">
        <v>1667</v>
      </c>
      <c r="G6" s="7" t="s">
        <v>1668</v>
      </c>
      <c r="H6" s="14" t="s">
        <v>1668</v>
      </c>
      <c r="I6" s="25"/>
      <c r="K6" s="1" t="s">
        <v>1669</v>
      </c>
      <c r="L6" s="39" t="s">
        <v>1670</v>
      </c>
    </row>
    <row r="7" spans="1:12" ht="54" customHeight="1">
      <c r="A7" s="1">
        <v>685</v>
      </c>
      <c r="B7" s="1" t="s">
        <v>1671</v>
      </c>
      <c r="C7" s="1" t="s">
        <v>1672</v>
      </c>
      <c r="D7" s="1" t="s">
        <v>1652</v>
      </c>
      <c r="E7" s="1" t="s">
        <v>1673</v>
      </c>
      <c r="F7" s="1" t="s">
        <v>1674</v>
      </c>
      <c r="G7" s="6"/>
    </row>
    <row r="8" spans="1:12" ht="54" customHeight="1">
      <c r="A8" s="1">
        <v>700</v>
      </c>
      <c r="B8" s="1" t="s">
        <v>1675</v>
      </c>
      <c r="C8" s="1" t="s">
        <v>1676</v>
      </c>
      <c r="D8" s="1" t="s">
        <v>1652</v>
      </c>
      <c r="E8" s="1" t="s">
        <v>1673</v>
      </c>
      <c r="F8" s="1" t="s">
        <v>1677</v>
      </c>
      <c r="G8" s="6"/>
    </row>
    <row r="9" spans="1:12" ht="54" customHeight="1">
      <c r="A9" s="1">
        <v>713</v>
      </c>
      <c r="B9" s="1" t="s">
        <v>1678</v>
      </c>
      <c r="C9" s="1" t="s">
        <v>1679</v>
      </c>
      <c r="D9" s="1" t="s">
        <v>1652</v>
      </c>
      <c r="E9" s="1" t="s">
        <v>1680</v>
      </c>
      <c r="F9" s="1" t="s">
        <v>1681</v>
      </c>
      <c r="G9" s="7" t="s">
        <v>25</v>
      </c>
      <c r="H9" s="14" t="s">
        <v>25</v>
      </c>
      <c r="I9" s="25" t="s">
        <v>20</v>
      </c>
      <c r="K9" s="1" t="s">
        <v>1682</v>
      </c>
      <c r="L9" s="39" t="s">
        <v>1683</v>
      </c>
    </row>
    <row r="10" spans="1:12" ht="54" customHeight="1">
      <c r="A10" s="1">
        <v>92203</v>
      </c>
      <c r="B10" s="1" t="s">
        <v>1684</v>
      </c>
      <c r="C10" s="1" t="s">
        <v>1685</v>
      </c>
      <c r="D10" s="1" t="s">
        <v>1652</v>
      </c>
      <c r="F10" s="1" t="s">
        <v>1686</v>
      </c>
      <c r="G10" s="7" t="s">
        <v>5</v>
      </c>
      <c r="H10" s="14" t="s">
        <v>5</v>
      </c>
      <c r="I10" s="25" t="s">
        <v>20</v>
      </c>
      <c r="K10" s="1" t="s">
        <v>1669</v>
      </c>
      <c r="L10" s="39" t="s">
        <v>1687</v>
      </c>
    </row>
    <row r="11" spans="1:12" ht="54" customHeight="1">
      <c r="A11" s="1">
        <v>92202</v>
      </c>
      <c r="B11" s="1" t="s">
        <v>1688</v>
      </c>
      <c r="C11" s="1" t="s">
        <v>1689</v>
      </c>
      <c r="D11" s="1" t="s">
        <v>1652</v>
      </c>
      <c r="F11" s="1" t="s">
        <v>1690</v>
      </c>
      <c r="G11" s="7" t="s">
        <v>5</v>
      </c>
      <c r="H11" s="14" t="s">
        <v>5</v>
      </c>
      <c r="I11" s="10" t="s">
        <v>20</v>
      </c>
      <c r="K11" s="1" t="s">
        <v>1669</v>
      </c>
      <c r="L11" s="39" t="s">
        <v>1691</v>
      </c>
    </row>
    <row r="12" spans="1:12" ht="54" customHeight="1">
      <c r="A12" s="1">
        <v>92204</v>
      </c>
      <c r="B12" s="1" t="s">
        <v>1692</v>
      </c>
      <c r="C12" s="1" t="s">
        <v>1693</v>
      </c>
      <c r="D12" s="1" t="s">
        <v>1652</v>
      </c>
      <c r="F12" s="1" t="s">
        <v>1694</v>
      </c>
      <c r="G12" s="7" t="s">
        <v>5</v>
      </c>
      <c r="H12" s="14" t="s">
        <v>5</v>
      </c>
      <c r="I12" s="25" t="s">
        <v>20</v>
      </c>
      <c r="K12" s="1" t="s">
        <v>1669</v>
      </c>
      <c r="L12" s="39" t="s">
        <v>1691</v>
      </c>
    </row>
    <row r="13" spans="1:12" ht="54" customHeight="1">
      <c r="A13" s="1">
        <v>92201</v>
      </c>
      <c r="B13" s="1" t="s">
        <v>1695</v>
      </c>
      <c r="C13" s="1" t="s">
        <v>1696</v>
      </c>
      <c r="D13" s="1" t="s">
        <v>1652</v>
      </c>
      <c r="F13" s="1" t="s">
        <v>1697</v>
      </c>
      <c r="G13" s="7" t="s">
        <v>5</v>
      </c>
      <c r="H13" s="14" t="s">
        <v>5</v>
      </c>
      <c r="I13" s="25" t="s">
        <v>20</v>
      </c>
      <c r="K13" s="1" t="s">
        <v>1669</v>
      </c>
      <c r="L13" s="39" t="s">
        <v>1691</v>
      </c>
    </row>
    <row r="14" spans="1:12" ht="54" customHeight="1">
      <c r="A14" s="1">
        <v>566</v>
      </c>
      <c r="B14" s="1" t="s">
        <v>1698</v>
      </c>
      <c r="C14" s="1" t="s">
        <v>1699</v>
      </c>
      <c r="D14" s="1" t="s">
        <v>1700</v>
      </c>
      <c r="E14" s="1" t="s">
        <v>1653</v>
      </c>
      <c r="F14" s="1" t="s">
        <v>1701</v>
      </c>
      <c r="G14" s="7" t="s">
        <v>1702</v>
      </c>
      <c r="H14" s="14" t="s">
        <v>1702</v>
      </c>
      <c r="I14" s="14"/>
      <c r="J14" s="1" t="s">
        <v>1703</v>
      </c>
      <c r="K14" s="1" t="s">
        <v>1648</v>
      </c>
      <c r="L14" s="39" t="s">
        <v>1704</v>
      </c>
    </row>
    <row r="15" spans="1:12" ht="54" customHeight="1">
      <c r="A15" s="1">
        <v>630</v>
      </c>
      <c r="B15" s="1" t="s">
        <v>1705</v>
      </c>
      <c r="C15" s="1" t="s">
        <v>1706</v>
      </c>
      <c r="D15" s="1" t="s">
        <v>1700</v>
      </c>
      <c r="E15" s="1" t="s">
        <v>1653</v>
      </c>
      <c r="F15" s="1" t="s">
        <v>1707</v>
      </c>
      <c r="G15" s="7" t="s">
        <v>92</v>
      </c>
      <c r="H15" s="22" t="s">
        <v>92</v>
      </c>
      <c r="I15" s="22" t="s">
        <v>20</v>
      </c>
      <c r="K15" s="1" t="s">
        <v>1648</v>
      </c>
      <c r="L15" s="39" t="s">
        <v>1704</v>
      </c>
    </row>
    <row r="16" spans="1:12" ht="54" customHeight="1">
      <c r="A16" s="1">
        <v>563</v>
      </c>
      <c r="B16" s="1" t="s">
        <v>1708</v>
      </c>
      <c r="C16" s="1" t="s">
        <v>1709</v>
      </c>
      <c r="D16" s="1" t="s">
        <v>1700</v>
      </c>
      <c r="E16" s="1" t="s">
        <v>1710</v>
      </c>
      <c r="F16" s="1" t="s">
        <v>1711</v>
      </c>
      <c r="G16" s="7" t="s">
        <v>1712</v>
      </c>
      <c r="H16" s="14" t="s">
        <v>1712</v>
      </c>
      <c r="I16" s="14"/>
      <c r="J16" s="1" t="s">
        <v>1703</v>
      </c>
      <c r="K16" s="1" t="s">
        <v>1648</v>
      </c>
      <c r="L16" s="39" t="s">
        <v>1704</v>
      </c>
    </row>
    <row r="17" spans="1:12" ht="54" customHeight="1">
      <c r="A17" s="1">
        <v>813</v>
      </c>
      <c r="B17" s="1" t="s">
        <v>1713</v>
      </c>
      <c r="C17" s="1" t="s">
        <v>1714</v>
      </c>
      <c r="D17" s="1" t="s">
        <v>1715</v>
      </c>
      <c r="E17" s="1" t="s">
        <v>1653</v>
      </c>
      <c r="F17" s="1" t="s">
        <v>1716</v>
      </c>
      <c r="G17" s="7" t="s">
        <v>15</v>
      </c>
      <c r="H17" s="14" t="s">
        <v>15</v>
      </c>
      <c r="I17" s="14" t="s">
        <v>20</v>
      </c>
      <c r="L17" s="39" t="s">
        <v>1717</v>
      </c>
    </row>
    <row r="18" spans="1:12" ht="54" customHeight="1">
      <c r="A18" s="1">
        <v>649</v>
      </c>
      <c r="B18" s="1" t="s">
        <v>1718</v>
      </c>
      <c r="C18" s="1" t="s">
        <v>1719</v>
      </c>
      <c r="D18" s="1" t="s">
        <v>1720</v>
      </c>
      <c r="E18" s="1" t="s">
        <v>1653</v>
      </c>
      <c r="F18" s="1" t="s">
        <v>1721</v>
      </c>
      <c r="G18" s="7" t="s">
        <v>1722</v>
      </c>
      <c r="H18" s="14" t="s">
        <v>1722</v>
      </c>
      <c r="I18" s="10"/>
      <c r="K18" s="1" t="s">
        <v>1648</v>
      </c>
      <c r="L18" s="39" t="s">
        <v>1704</v>
      </c>
    </row>
    <row r="19" spans="1:12" ht="54" customHeight="1">
      <c r="A19" s="1">
        <v>742</v>
      </c>
      <c r="B19" s="1" t="s">
        <v>1723</v>
      </c>
      <c r="C19" s="1" t="s">
        <v>1724</v>
      </c>
      <c r="D19" s="1" t="s">
        <v>1720</v>
      </c>
      <c r="E19" s="1" t="s">
        <v>1653</v>
      </c>
      <c r="F19" s="1" t="s">
        <v>1725</v>
      </c>
      <c r="G19" s="6"/>
      <c r="K19" s="1" t="s">
        <v>1648</v>
      </c>
      <c r="L19" s="39" t="s">
        <v>1704</v>
      </c>
    </row>
    <row r="20" spans="1:12" ht="54" customHeight="1">
      <c r="A20" s="1">
        <v>743</v>
      </c>
      <c r="B20" s="1" t="s">
        <v>1726</v>
      </c>
      <c r="C20" s="1" t="s">
        <v>1727</v>
      </c>
      <c r="D20" s="1" t="s">
        <v>1720</v>
      </c>
      <c r="E20" s="1" t="s">
        <v>1653</v>
      </c>
      <c r="F20" s="1" t="s">
        <v>1728</v>
      </c>
      <c r="G20" s="7" t="s">
        <v>1729</v>
      </c>
      <c r="H20" s="22" t="s">
        <v>1729</v>
      </c>
      <c r="I20" s="22"/>
      <c r="K20" s="1" t="s">
        <v>1648</v>
      </c>
      <c r="L20" s="39" t="s">
        <v>1704</v>
      </c>
    </row>
    <row r="21" spans="1:12" ht="54" customHeight="1">
      <c r="A21" s="1">
        <v>639</v>
      </c>
      <c r="B21" s="1" t="s">
        <v>1730</v>
      </c>
      <c r="C21" s="1" t="s">
        <v>1731</v>
      </c>
      <c r="D21" s="1" t="s">
        <v>1720</v>
      </c>
      <c r="E21" s="1" t="s">
        <v>1646</v>
      </c>
      <c r="F21" s="1" t="s">
        <v>1732</v>
      </c>
      <c r="G21" s="7" t="s">
        <v>22</v>
      </c>
      <c r="H21" s="14" t="s">
        <v>22</v>
      </c>
      <c r="I21" s="25" t="s">
        <v>20</v>
      </c>
    </row>
    <row r="22" spans="1:12" ht="54" customHeight="1">
      <c r="A22" s="1">
        <v>43297</v>
      </c>
      <c r="B22" s="1" t="s">
        <v>1733</v>
      </c>
      <c r="C22" s="1" t="s">
        <v>1734</v>
      </c>
      <c r="D22" s="1" t="s">
        <v>1720</v>
      </c>
      <c r="E22" s="1" t="s">
        <v>1646</v>
      </c>
      <c r="F22" s="1" t="s">
        <v>1735</v>
      </c>
      <c r="G22" s="7" t="s">
        <v>1736</v>
      </c>
      <c r="H22" s="14" t="s">
        <v>1736</v>
      </c>
      <c r="I22" s="10"/>
    </row>
    <row r="23" spans="1:12" ht="54" customHeight="1">
      <c r="A23" s="1">
        <v>839</v>
      </c>
      <c r="B23" s="1" t="s">
        <v>1737</v>
      </c>
      <c r="C23" s="9" t="s">
        <v>1738</v>
      </c>
      <c r="D23" s="1" t="s">
        <v>1720</v>
      </c>
      <c r="E23" s="1" t="s">
        <v>1646</v>
      </c>
      <c r="F23" s="1" t="s">
        <v>1739</v>
      </c>
      <c r="G23" s="7" t="s">
        <v>22</v>
      </c>
      <c r="H23" s="14" t="s">
        <v>22</v>
      </c>
      <c r="I23" s="10" t="s">
        <v>20</v>
      </c>
      <c r="K23" s="1" t="s">
        <v>1648</v>
      </c>
      <c r="L23" s="1" t="s">
        <v>1649</v>
      </c>
    </row>
    <row r="24" spans="1:12" ht="54" customHeight="1">
      <c r="A24" s="1">
        <v>68856</v>
      </c>
      <c r="B24" s="1" t="s">
        <v>1740</v>
      </c>
      <c r="C24" s="1" t="s">
        <v>1741</v>
      </c>
      <c r="D24" s="1" t="s">
        <v>1720</v>
      </c>
      <c r="E24" s="1" t="s">
        <v>1657</v>
      </c>
      <c r="F24" s="1" t="s">
        <v>1742</v>
      </c>
      <c r="G24" s="6"/>
    </row>
    <row r="25" spans="1:12" ht="54" customHeight="1">
      <c r="A25" s="1">
        <v>844</v>
      </c>
      <c r="B25" s="1" t="s">
        <v>1743</v>
      </c>
      <c r="C25" s="1" t="s">
        <v>1744</v>
      </c>
      <c r="D25" s="1" t="s">
        <v>1720</v>
      </c>
      <c r="E25" s="1" t="s">
        <v>1657</v>
      </c>
      <c r="F25" s="1" t="s">
        <v>1745</v>
      </c>
      <c r="G25" s="7" t="s">
        <v>36</v>
      </c>
      <c r="H25" s="14" t="s">
        <v>36</v>
      </c>
      <c r="I25" s="10" t="s">
        <v>20</v>
      </c>
    </row>
    <row r="26" spans="1:12" ht="54" customHeight="1">
      <c r="A26" s="1">
        <v>91823</v>
      </c>
      <c r="B26" s="1" t="s">
        <v>1746</v>
      </c>
      <c r="C26" s="1" t="s">
        <v>1747</v>
      </c>
      <c r="D26" s="1" t="s">
        <v>1720</v>
      </c>
      <c r="E26" s="1" t="s">
        <v>1748</v>
      </c>
      <c r="F26" s="1" t="s">
        <v>1749</v>
      </c>
      <c r="G26" s="6" t="s">
        <v>1750</v>
      </c>
    </row>
    <row r="27" spans="1:12" ht="54" customHeight="1">
      <c r="A27" s="1">
        <v>799</v>
      </c>
      <c r="B27" s="1" t="s">
        <v>1751</v>
      </c>
      <c r="C27" s="1" t="s">
        <v>1752</v>
      </c>
      <c r="D27" s="1" t="s">
        <v>1720</v>
      </c>
      <c r="E27" s="1" t="s">
        <v>1753</v>
      </c>
      <c r="F27" s="1" t="s">
        <v>1754</v>
      </c>
      <c r="G27" s="6" t="s">
        <v>1755</v>
      </c>
      <c r="K27" s="1" t="s">
        <v>1756</v>
      </c>
      <c r="L27" s="39" t="s">
        <v>1757</v>
      </c>
    </row>
    <row r="28" spans="1:12" ht="54" customHeight="1">
      <c r="A28" s="1">
        <v>77</v>
      </c>
      <c r="B28" s="1" t="s">
        <v>1758</v>
      </c>
      <c r="C28" s="1" t="s">
        <v>1759</v>
      </c>
      <c r="D28" s="1" t="s">
        <v>1760</v>
      </c>
      <c r="E28" s="1" t="s">
        <v>1653</v>
      </c>
      <c r="F28" s="1" t="s">
        <v>1761</v>
      </c>
      <c r="G28" s="7" t="s">
        <v>1762</v>
      </c>
      <c r="H28" s="14" t="s">
        <v>1762</v>
      </c>
      <c r="I28" s="25"/>
      <c r="K28" s="1" t="s">
        <v>1648</v>
      </c>
      <c r="L28" s="39" t="s">
        <v>1704</v>
      </c>
    </row>
    <row r="29" spans="1:12" ht="54" customHeight="1">
      <c r="A29" s="1">
        <v>773</v>
      </c>
      <c r="B29" s="1" t="s">
        <v>1763</v>
      </c>
      <c r="C29" s="1" t="s">
        <v>1764</v>
      </c>
      <c r="D29" s="1" t="s">
        <v>1765</v>
      </c>
      <c r="E29" s="1" t="s">
        <v>1657</v>
      </c>
      <c r="F29" s="1" t="s">
        <v>1766</v>
      </c>
      <c r="G29" s="7" t="s">
        <v>15</v>
      </c>
      <c r="H29" s="22" t="s">
        <v>15</v>
      </c>
      <c r="I29" s="22" t="s">
        <v>20</v>
      </c>
      <c r="K29" s="1" t="s">
        <v>1648</v>
      </c>
      <c r="L29" s="39" t="s">
        <v>1659</v>
      </c>
    </row>
    <row r="30" spans="1:12" ht="54" customHeight="1">
      <c r="A30" s="1">
        <v>867</v>
      </c>
      <c r="B30" s="1" t="s">
        <v>1767</v>
      </c>
      <c r="C30" s="1" t="s">
        <v>1768</v>
      </c>
      <c r="D30" s="1" t="s">
        <v>1769</v>
      </c>
      <c r="E30" s="1" t="s">
        <v>1653</v>
      </c>
      <c r="F30" s="1" t="s">
        <v>1770</v>
      </c>
      <c r="G30" s="7" t="s">
        <v>1771</v>
      </c>
      <c r="H30" s="14" t="s">
        <v>1771</v>
      </c>
      <c r="I30" s="10" t="s">
        <v>20</v>
      </c>
      <c r="K30" s="1" t="s">
        <v>1756</v>
      </c>
      <c r="L30" s="39" t="s">
        <v>1757</v>
      </c>
    </row>
    <row r="31" spans="1:12" ht="54" customHeight="1">
      <c r="A31" s="1">
        <v>569</v>
      </c>
      <c r="B31" s="1" t="s">
        <v>1772</v>
      </c>
      <c r="C31" s="1" t="s">
        <v>1773</v>
      </c>
      <c r="D31" s="1" t="s">
        <v>1769</v>
      </c>
      <c r="E31" s="1" t="s">
        <v>1657</v>
      </c>
      <c r="F31" s="1" t="s">
        <v>1774</v>
      </c>
      <c r="G31" s="7" t="s">
        <v>15</v>
      </c>
      <c r="H31" s="14" t="s">
        <v>15</v>
      </c>
      <c r="I31" s="14" t="s">
        <v>20</v>
      </c>
      <c r="J31" s="1" t="s">
        <v>1775</v>
      </c>
    </row>
    <row r="32" spans="1:12" ht="54" customHeight="1">
      <c r="A32" s="1">
        <v>740</v>
      </c>
      <c r="B32" s="1" t="s">
        <v>1776</v>
      </c>
      <c r="C32" s="1" t="s">
        <v>1777</v>
      </c>
      <c r="D32" s="1" t="s">
        <v>1769</v>
      </c>
      <c r="E32" s="1" t="s">
        <v>1657</v>
      </c>
      <c r="F32" s="1" t="s">
        <v>1778</v>
      </c>
      <c r="G32" s="7" t="s">
        <v>15</v>
      </c>
      <c r="H32" s="14" t="s">
        <v>15</v>
      </c>
      <c r="I32" s="25" t="s">
        <v>20</v>
      </c>
      <c r="K32" s="1" t="s">
        <v>1648</v>
      </c>
      <c r="L32" s="39" t="s">
        <v>1659</v>
      </c>
    </row>
    <row r="33" spans="1:12" ht="54" customHeight="1">
      <c r="A33" s="1">
        <v>3</v>
      </c>
      <c r="B33" s="1" t="s">
        <v>1779</v>
      </c>
      <c r="C33" s="1" t="s">
        <v>1780</v>
      </c>
      <c r="D33" s="1" t="s">
        <v>1769</v>
      </c>
      <c r="E33" s="1" t="s">
        <v>1753</v>
      </c>
      <c r="F33" s="1" t="s">
        <v>1781</v>
      </c>
      <c r="G33" s="7" t="s">
        <v>87</v>
      </c>
      <c r="H33" s="14" t="s">
        <v>87</v>
      </c>
      <c r="I33" s="14"/>
      <c r="J33" s="1" t="s">
        <v>1703</v>
      </c>
    </row>
    <row r="34" spans="1:12" ht="54" customHeight="1">
      <c r="A34" s="1">
        <v>2</v>
      </c>
      <c r="B34" s="1" t="s">
        <v>1782</v>
      </c>
      <c r="C34" s="1" t="s">
        <v>1783</v>
      </c>
      <c r="D34" s="1" t="s">
        <v>1784</v>
      </c>
      <c r="E34" s="1" t="s">
        <v>1653</v>
      </c>
      <c r="F34" s="1" t="s">
        <v>1785</v>
      </c>
      <c r="G34" s="7" t="s">
        <v>1373</v>
      </c>
      <c r="H34" s="14" t="s">
        <v>1373</v>
      </c>
      <c r="I34" s="14" t="s">
        <v>20</v>
      </c>
      <c r="J34" s="1" t="s">
        <v>1786</v>
      </c>
      <c r="K34" s="1" t="s">
        <v>1648</v>
      </c>
      <c r="L34" s="39" t="s">
        <v>1704</v>
      </c>
    </row>
    <row r="35" spans="1:12" ht="54" customHeight="1">
      <c r="A35" s="1">
        <v>4</v>
      </c>
      <c r="B35" s="1" t="s">
        <v>1787</v>
      </c>
      <c r="C35" s="1" t="s">
        <v>1788</v>
      </c>
      <c r="D35" s="1" t="s">
        <v>1784</v>
      </c>
      <c r="E35" s="1" t="s">
        <v>1653</v>
      </c>
      <c r="F35" s="1" t="s">
        <v>1789</v>
      </c>
      <c r="G35" s="7" t="s">
        <v>1790</v>
      </c>
      <c r="H35" s="14" t="s">
        <v>1790</v>
      </c>
      <c r="I35" s="14"/>
      <c r="J35" s="1" t="s">
        <v>1703</v>
      </c>
      <c r="K35" s="1" t="s">
        <v>1648</v>
      </c>
      <c r="L35" s="39" t="s">
        <v>1704</v>
      </c>
    </row>
    <row r="36" spans="1:12" ht="54" customHeight="1">
      <c r="A36" s="1">
        <v>865</v>
      </c>
      <c r="B36" s="1" t="s">
        <v>1791</v>
      </c>
      <c r="C36" s="1" t="s">
        <v>1792</v>
      </c>
      <c r="D36" s="1" t="s">
        <v>1784</v>
      </c>
      <c r="E36" s="1" t="s">
        <v>1653</v>
      </c>
      <c r="F36" s="1" t="s">
        <v>1793</v>
      </c>
      <c r="G36" s="7" t="s">
        <v>1794</v>
      </c>
      <c r="H36" s="14" t="s">
        <v>1794</v>
      </c>
      <c r="I36" s="14"/>
      <c r="J36" s="1" t="s">
        <v>1703</v>
      </c>
      <c r="K36" s="1" t="s">
        <v>1648</v>
      </c>
      <c r="L36" s="39" t="s">
        <v>1704</v>
      </c>
    </row>
    <row r="37" spans="1:12" ht="54" customHeight="1">
      <c r="A37" s="1">
        <v>565</v>
      </c>
      <c r="B37" s="1" t="s">
        <v>1795</v>
      </c>
      <c r="C37" s="1" t="s">
        <v>1796</v>
      </c>
      <c r="D37" s="1" t="s">
        <v>1784</v>
      </c>
      <c r="E37" s="1" t="s">
        <v>1653</v>
      </c>
      <c r="F37" s="1" t="s">
        <v>1797</v>
      </c>
      <c r="G37" s="7" t="s">
        <v>1798</v>
      </c>
      <c r="H37" s="14" t="s">
        <v>1798</v>
      </c>
      <c r="I37" s="14"/>
      <c r="J37" s="1" t="s">
        <v>1703</v>
      </c>
      <c r="K37" s="1" t="s">
        <v>1648</v>
      </c>
      <c r="L37" s="39" t="s">
        <v>1704</v>
      </c>
    </row>
    <row r="38" spans="1:12" ht="54" customHeight="1">
      <c r="A38" s="1">
        <v>574</v>
      </c>
      <c r="B38" s="1" t="s">
        <v>1799</v>
      </c>
      <c r="C38" s="1" t="s">
        <v>1800</v>
      </c>
      <c r="D38" s="1" t="s">
        <v>1784</v>
      </c>
      <c r="E38" s="1" t="s">
        <v>1653</v>
      </c>
      <c r="F38" s="1" t="s">
        <v>1801</v>
      </c>
      <c r="G38" s="7" t="s">
        <v>1802</v>
      </c>
      <c r="H38" s="14" t="s">
        <v>1802</v>
      </c>
      <c r="I38" s="14"/>
      <c r="J38" s="1" t="s">
        <v>1703</v>
      </c>
      <c r="K38" s="1" t="s">
        <v>1648</v>
      </c>
      <c r="L38" s="39" t="s">
        <v>1704</v>
      </c>
    </row>
    <row r="39" spans="1:12" ht="54" customHeight="1">
      <c r="A39" s="1">
        <v>6</v>
      </c>
      <c r="B39" s="1" t="s">
        <v>1803</v>
      </c>
      <c r="C39" s="1" t="s">
        <v>1804</v>
      </c>
      <c r="D39" s="1" t="s">
        <v>1784</v>
      </c>
      <c r="E39" s="1" t="s">
        <v>1653</v>
      </c>
      <c r="F39" s="1" t="s">
        <v>1805</v>
      </c>
      <c r="G39" s="7" t="s">
        <v>1806</v>
      </c>
      <c r="H39" s="13" t="s">
        <v>1807</v>
      </c>
      <c r="I39" s="13"/>
      <c r="J39" s="1" t="s">
        <v>1808</v>
      </c>
      <c r="K39" s="1" t="s">
        <v>1756</v>
      </c>
      <c r="L39" s="39" t="s">
        <v>1809</v>
      </c>
    </row>
    <row r="40" spans="1:12" ht="54" customHeight="1">
      <c r="A40" s="1">
        <v>585</v>
      </c>
      <c r="B40" s="1" t="s">
        <v>1810</v>
      </c>
      <c r="C40" s="1" t="s">
        <v>1811</v>
      </c>
      <c r="D40" s="1" t="s">
        <v>1784</v>
      </c>
      <c r="E40" s="1" t="s">
        <v>1653</v>
      </c>
      <c r="F40" s="1" t="s">
        <v>1812</v>
      </c>
      <c r="G40" s="7" t="s">
        <v>1813</v>
      </c>
      <c r="H40" s="14" t="s">
        <v>1813</v>
      </c>
      <c r="I40" s="14"/>
      <c r="J40" s="1" t="s">
        <v>1703</v>
      </c>
      <c r="K40" s="1" t="s">
        <v>1648</v>
      </c>
      <c r="L40" s="39" t="s">
        <v>1704</v>
      </c>
    </row>
    <row r="41" spans="1:12" ht="54" customHeight="1">
      <c r="A41" s="1">
        <v>593</v>
      </c>
      <c r="B41" s="1" t="s">
        <v>1814</v>
      </c>
      <c r="C41" s="1" t="s">
        <v>1815</v>
      </c>
      <c r="D41" s="1" t="s">
        <v>1784</v>
      </c>
      <c r="E41" s="1" t="s">
        <v>1653</v>
      </c>
      <c r="F41" s="1" t="s">
        <v>1816</v>
      </c>
      <c r="G41" s="7" t="s">
        <v>1817</v>
      </c>
      <c r="H41" s="14" t="s">
        <v>1817</v>
      </c>
      <c r="I41" s="25"/>
      <c r="J41" s="1" t="s">
        <v>1703</v>
      </c>
      <c r="K41" s="1" t="s">
        <v>1648</v>
      </c>
      <c r="L41" s="39" t="s">
        <v>1704</v>
      </c>
    </row>
    <row r="42" spans="1:12" ht="54" customHeight="1">
      <c r="A42" s="1">
        <v>39</v>
      </c>
      <c r="B42" s="1" t="s">
        <v>1818</v>
      </c>
      <c r="C42" s="1" t="s">
        <v>1819</v>
      </c>
      <c r="D42" s="1" t="s">
        <v>1784</v>
      </c>
      <c r="E42" s="1" t="s">
        <v>1653</v>
      </c>
      <c r="F42" s="1" t="s">
        <v>1820</v>
      </c>
      <c r="G42"/>
      <c r="H42" s="14" t="s">
        <v>1821</v>
      </c>
      <c r="I42" s="25"/>
    </row>
    <row r="43" spans="1:12" ht="54" customHeight="1">
      <c r="A43" s="1">
        <v>41</v>
      </c>
      <c r="B43" s="1" t="s">
        <v>1822</v>
      </c>
      <c r="C43" s="1" t="s">
        <v>1823</v>
      </c>
      <c r="D43" s="1" t="s">
        <v>1784</v>
      </c>
      <c r="E43" s="1" t="s">
        <v>1653</v>
      </c>
      <c r="F43" s="1" t="s">
        <v>1824</v>
      </c>
      <c r="G43" s="7" t="s">
        <v>1825</v>
      </c>
      <c r="H43" s="14" t="s">
        <v>1825</v>
      </c>
      <c r="I43" s="25"/>
    </row>
    <row r="44" spans="1:12" ht="54" customHeight="1">
      <c r="A44" s="1">
        <v>66</v>
      </c>
      <c r="B44" s="1" t="s">
        <v>1826</v>
      </c>
      <c r="C44" s="1" t="s">
        <v>1827</v>
      </c>
      <c r="D44" s="1" t="s">
        <v>1784</v>
      </c>
      <c r="E44" s="1" t="s">
        <v>1653</v>
      </c>
      <c r="F44" s="1" t="s">
        <v>1828</v>
      </c>
      <c r="G44" s="7" t="s">
        <v>1829</v>
      </c>
      <c r="H44" s="14" t="s">
        <v>1829</v>
      </c>
      <c r="I44" s="25"/>
      <c r="K44" s="1" t="s">
        <v>1648</v>
      </c>
      <c r="L44" s="39" t="s">
        <v>1704</v>
      </c>
    </row>
    <row r="45" spans="1:12" ht="54" customHeight="1">
      <c r="A45" s="1">
        <v>75</v>
      </c>
      <c r="B45" s="1" t="s">
        <v>1830</v>
      </c>
      <c r="C45" s="1" t="s">
        <v>1831</v>
      </c>
      <c r="D45" s="1" t="s">
        <v>1784</v>
      </c>
      <c r="E45" s="1" t="s">
        <v>1653</v>
      </c>
      <c r="F45" s="1" t="s">
        <v>1832</v>
      </c>
      <c r="G45" s="7" t="s">
        <v>1833</v>
      </c>
      <c r="H45" s="14" t="s">
        <v>1833</v>
      </c>
      <c r="I45" s="25"/>
      <c r="K45" s="1" t="s">
        <v>1648</v>
      </c>
      <c r="L45" s="39" t="s">
        <v>1704</v>
      </c>
    </row>
    <row r="46" spans="1:12" ht="54" customHeight="1">
      <c r="A46" s="1">
        <v>628</v>
      </c>
      <c r="B46" s="1" t="s">
        <v>1834</v>
      </c>
      <c r="C46" s="1" t="s">
        <v>1835</v>
      </c>
      <c r="D46" s="1" t="s">
        <v>1784</v>
      </c>
      <c r="E46" s="1" t="s">
        <v>1653</v>
      </c>
      <c r="F46" s="1" t="s">
        <v>1836</v>
      </c>
      <c r="G46" s="7" t="s">
        <v>1833</v>
      </c>
      <c r="H46" s="14" t="s">
        <v>1833</v>
      </c>
      <c r="I46" s="25"/>
      <c r="K46" s="1" t="s">
        <v>1648</v>
      </c>
      <c r="L46" s="39" t="s">
        <v>1704</v>
      </c>
    </row>
    <row r="47" spans="1:12" ht="54" customHeight="1">
      <c r="A47" s="1">
        <v>128</v>
      </c>
      <c r="B47" s="1" t="s">
        <v>1837</v>
      </c>
      <c r="C47" s="1" t="s">
        <v>1838</v>
      </c>
      <c r="D47" s="1" t="s">
        <v>1784</v>
      </c>
      <c r="E47" s="1" t="s">
        <v>1653</v>
      </c>
      <c r="G47" s="7" t="s">
        <v>1839</v>
      </c>
      <c r="H47" s="14" t="s">
        <v>1839</v>
      </c>
      <c r="I47" s="10"/>
      <c r="K47" s="1" t="s">
        <v>1648</v>
      </c>
      <c r="L47" s="39" t="s">
        <v>1704</v>
      </c>
    </row>
    <row r="48" spans="1:12" ht="54" customHeight="1">
      <c r="A48" s="1">
        <v>133</v>
      </c>
      <c r="B48" s="1" t="s">
        <v>1840</v>
      </c>
      <c r="C48" s="1" t="s">
        <v>1841</v>
      </c>
      <c r="D48" s="1" t="s">
        <v>1784</v>
      </c>
      <c r="E48" s="1" t="s">
        <v>1653</v>
      </c>
      <c r="F48" s="1" t="s">
        <v>1842</v>
      </c>
      <c r="G48" s="6"/>
    </row>
    <row r="49" spans="1:12" ht="54" customHeight="1">
      <c r="A49" s="1">
        <v>134</v>
      </c>
      <c r="B49" s="1" t="s">
        <v>1843</v>
      </c>
      <c r="C49" s="1" t="s">
        <v>1844</v>
      </c>
      <c r="D49" s="1" t="s">
        <v>1784</v>
      </c>
      <c r="E49" s="1" t="s">
        <v>1653</v>
      </c>
      <c r="F49" s="1" t="s">
        <v>1845</v>
      </c>
      <c r="G49" s="7" t="s">
        <v>1846</v>
      </c>
      <c r="H49" s="14" t="s">
        <v>1846</v>
      </c>
      <c r="I49" s="10"/>
      <c r="K49" s="1" t="s">
        <v>1756</v>
      </c>
      <c r="L49" s="39" t="s">
        <v>1809</v>
      </c>
    </row>
    <row r="50" spans="1:12" ht="54" customHeight="1">
      <c r="A50" s="1">
        <v>145</v>
      </c>
      <c r="B50" s="1" t="s">
        <v>1847</v>
      </c>
      <c r="C50" s="1" t="s">
        <v>1848</v>
      </c>
      <c r="D50" s="1" t="s">
        <v>1784</v>
      </c>
      <c r="E50" s="1" t="s">
        <v>1653</v>
      </c>
      <c r="F50" s="1" t="s">
        <v>1849</v>
      </c>
      <c r="G50" s="6"/>
      <c r="K50" s="1" t="s">
        <v>1648</v>
      </c>
      <c r="L50" s="39" t="s">
        <v>1704</v>
      </c>
    </row>
    <row r="51" spans="1:12" ht="54" customHeight="1">
      <c r="A51" s="1">
        <v>171</v>
      </c>
      <c r="B51" s="1" t="s">
        <v>1850</v>
      </c>
      <c r="C51" s="1" t="s">
        <v>1851</v>
      </c>
      <c r="D51" s="1" t="s">
        <v>1784</v>
      </c>
      <c r="E51" s="1" t="s">
        <v>1653</v>
      </c>
      <c r="F51" s="1" t="s">
        <v>1852</v>
      </c>
      <c r="G51" s="7" t="s">
        <v>1853</v>
      </c>
      <c r="H51" s="14" t="s">
        <v>1853</v>
      </c>
      <c r="I51" s="10"/>
      <c r="K51" s="1" t="s">
        <v>1648</v>
      </c>
      <c r="L51" s="39" t="s">
        <v>1704</v>
      </c>
    </row>
    <row r="52" spans="1:12" ht="54" customHeight="1">
      <c r="A52" s="1">
        <v>174</v>
      </c>
      <c r="B52" s="1" t="s">
        <v>1854</v>
      </c>
      <c r="C52" s="1" t="s">
        <v>1855</v>
      </c>
      <c r="D52" s="1" t="s">
        <v>1784</v>
      </c>
      <c r="E52" s="1" t="s">
        <v>1653</v>
      </c>
      <c r="F52" s="1" t="s">
        <v>1856</v>
      </c>
      <c r="G52" s="7" t="s">
        <v>1857</v>
      </c>
      <c r="H52" s="14" t="s">
        <v>1857</v>
      </c>
      <c r="I52" s="10"/>
      <c r="K52" s="1" t="s">
        <v>1648</v>
      </c>
      <c r="L52" s="39" t="s">
        <v>1704</v>
      </c>
    </row>
    <row r="53" spans="1:12" ht="54" customHeight="1">
      <c r="A53" s="1">
        <v>177</v>
      </c>
      <c r="B53" s="1" t="s">
        <v>1858</v>
      </c>
      <c r="C53" s="1" t="s">
        <v>1859</v>
      </c>
      <c r="D53" s="1" t="s">
        <v>1784</v>
      </c>
      <c r="E53" s="1" t="s">
        <v>1653</v>
      </c>
      <c r="F53" s="1" t="s">
        <v>1860</v>
      </c>
      <c r="G53" s="7" t="s">
        <v>1861</v>
      </c>
      <c r="H53" s="14" t="s">
        <v>1861</v>
      </c>
      <c r="K53" s="1" t="s">
        <v>1648</v>
      </c>
      <c r="L53" s="39" t="s">
        <v>1704</v>
      </c>
    </row>
    <row r="54" spans="1:12" ht="54" customHeight="1">
      <c r="A54" s="1">
        <v>207</v>
      </c>
      <c r="B54" s="1" t="s">
        <v>1862</v>
      </c>
      <c r="C54" s="1" t="s">
        <v>1863</v>
      </c>
      <c r="D54" s="1" t="s">
        <v>1784</v>
      </c>
      <c r="E54" s="1" t="s">
        <v>1653</v>
      </c>
      <c r="F54" s="1" t="s">
        <v>1864</v>
      </c>
      <c r="G54" s="7" t="s">
        <v>1865</v>
      </c>
      <c r="H54" s="14" t="s">
        <v>1865</v>
      </c>
      <c r="I54" s="10"/>
      <c r="K54" s="1" t="s">
        <v>1648</v>
      </c>
      <c r="L54" s="39" t="s">
        <v>1704</v>
      </c>
    </row>
    <row r="55" spans="1:12" ht="54" customHeight="1">
      <c r="A55" s="1">
        <v>222</v>
      </c>
      <c r="B55" s="1" t="s">
        <v>1866</v>
      </c>
      <c r="C55" s="1" t="s">
        <v>1867</v>
      </c>
      <c r="D55" s="1" t="s">
        <v>1784</v>
      </c>
      <c r="E55" s="1" t="s">
        <v>1653</v>
      </c>
      <c r="F55" s="1" t="s">
        <v>1868</v>
      </c>
      <c r="G55" s="7" t="s">
        <v>1869</v>
      </c>
      <c r="H55" s="14" t="s">
        <v>1869</v>
      </c>
      <c r="K55" s="1" t="s">
        <v>1648</v>
      </c>
      <c r="L55" s="39" t="s">
        <v>1704</v>
      </c>
    </row>
    <row r="56" spans="1:12" ht="54" customHeight="1">
      <c r="A56" s="1">
        <v>229</v>
      </c>
      <c r="B56" s="1" t="s">
        <v>1870</v>
      </c>
      <c r="C56" s="1" t="s">
        <v>1871</v>
      </c>
      <c r="D56" s="1" t="s">
        <v>1784</v>
      </c>
      <c r="E56" s="1" t="s">
        <v>1653</v>
      </c>
      <c r="F56" s="1" t="s">
        <v>1872</v>
      </c>
      <c r="G56" s="7" t="s">
        <v>1873</v>
      </c>
      <c r="H56" s="14" t="s">
        <v>1873</v>
      </c>
      <c r="I56" s="10"/>
      <c r="K56" s="1" t="s">
        <v>1648</v>
      </c>
      <c r="L56" s="39" t="s">
        <v>1704</v>
      </c>
    </row>
    <row r="57" spans="1:12" ht="54" customHeight="1">
      <c r="A57" s="1">
        <v>671</v>
      </c>
      <c r="B57" s="1" t="s">
        <v>1874</v>
      </c>
      <c r="C57" s="1" t="s">
        <v>1875</v>
      </c>
      <c r="D57" s="1" t="s">
        <v>1784</v>
      </c>
      <c r="E57" s="1" t="s">
        <v>1653</v>
      </c>
      <c r="F57" s="1" t="s">
        <v>1876</v>
      </c>
      <c r="G57" s="29" t="s">
        <v>223</v>
      </c>
      <c r="H57" s="22" t="s">
        <v>223</v>
      </c>
      <c r="I57" s="22" t="s">
        <v>20</v>
      </c>
    </row>
    <row r="58" spans="1:12" ht="54" customHeight="1">
      <c r="A58" s="1">
        <v>258</v>
      </c>
      <c r="B58" s="1" t="s">
        <v>1877</v>
      </c>
      <c r="C58" s="1" t="s">
        <v>1878</v>
      </c>
      <c r="D58" s="1" t="s">
        <v>1784</v>
      </c>
      <c r="E58" s="1" t="s">
        <v>1653</v>
      </c>
      <c r="F58" s="1" t="s">
        <v>1879</v>
      </c>
      <c r="G58" s="7" t="s">
        <v>1880</v>
      </c>
      <c r="H58" s="14" t="s">
        <v>1880</v>
      </c>
      <c r="I58" s="10"/>
      <c r="K58" s="1" t="s">
        <v>1648</v>
      </c>
      <c r="L58" s="39" t="s">
        <v>1704</v>
      </c>
    </row>
    <row r="59" spans="1:12" ht="54" customHeight="1">
      <c r="A59" s="1">
        <v>259</v>
      </c>
      <c r="B59" s="1" t="s">
        <v>1881</v>
      </c>
      <c r="C59" s="1" t="s">
        <v>1882</v>
      </c>
      <c r="D59" s="1" t="s">
        <v>1784</v>
      </c>
      <c r="E59" s="1" t="s">
        <v>1653</v>
      </c>
      <c r="F59" s="1" t="s">
        <v>1883</v>
      </c>
      <c r="G59" s="7" t="s">
        <v>1884</v>
      </c>
      <c r="H59" s="14" t="s">
        <v>1884</v>
      </c>
      <c r="I59" s="10"/>
      <c r="K59" s="1" t="s">
        <v>1648</v>
      </c>
      <c r="L59" s="39" t="s">
        <v>1704</v>
      </c>
    </row>
    <row r="60" spans="1:12" ht="54" customHeight="1">
      <c r="A60" s="1">
        <v>277</v>
      </c>
      <c r="B60" s="1" t="s">
        <v>1885</v>
      </c>
      <c r="C60" s="1" t="s">
        <v>1886</v>
      </c>
      <c r="D60" s="1" t="s">
        <v>1784</v>
      </c>
      <c r="E60" s="1" t="s">
        <v>1653</v>
      </c>
      <c r="F60" s="1" t="s">
        <v>1887</v>
      </c>
      <c r="G60" s="6"/>
      <c r="K60" s="1" t="s">
        <v>1756</v>
      </c>
      <c r="L60" s="50" t="s">
        <v>1757</v>
      </c>
    </row>
    <row r="61" spans="1:12" ht="54" customHeight="1">
      <c r="A61" s="1">
        <v>279</v>
      </c>
      <c r="B61" s="1" t="s">
        <v>1888</v>
      </c>
      <c r="C61" s="1" t="s">
        <v>1889</v>
      </c>
      <c r="D61" s="1" t="s">
        <v>1784</v>
      </c>
      <c r="E61" s="1" t="s">
        <v>1653</v>
      </c>
      <c r="F61" s="1" t="s">
        <v>1890</v>
      </c>
      <c r="G61" s="7" t="s">
        <v>1794</v>
      </c>
      <c r="H61" s="14" t="s">
        <v>1794</v>
      </c>
      <c r="I61" s="10"/>
      <c r="K61" s="1" t="s">
        <v>1756</v>
      </c>
      <c r="L61" s="50" t="s">
        <v>1757</v>
      </c>
    </row>
    <row r="62" spans="1:12" ht="54" customHeight="1">
      <c r="A62" s="1">
        <v>294</v>
      </c>
      <c r="B62" s="1" t="s">
        <v>1891</v>
      </c>
      <c r="C62" s="1" t="s">
        <v>1892</v>
      </c>
      <c r="D62" s="1" t="s">
        <v>1784</v>
      </c>
      <c r="E62" s="1" t="s">
        <v>1653</v>
      </c>
      <c r="F62" s="1" t="s">
        <v>1893</v>
      </c>
      <c r="G62" s="7" t="s">
        <v>1894</v>
      </c>
      <c r="H62" s="22" t="s">
        <v>1894</v>
      </c>
      <c r="I62" s="22"/>
      <c r="K62" s="1" t="s">
        <v>1648</v>
      </c>
      <c r="L62" s="39" t="s">
        <v>1704</v>
      </c>
    </row>
    <row r="63" spans="1:12" ht="54" customHeight="1">
      <c r="A63" s="1">
        <v>304</v>
      </c>
      <c r="B63" s="1" t="s">
        <v>1895</v>
      </c>
      <c r="C63" s="1" t="s">
        <v>1896</v>
      </c>
      <c r="D63" s="1" t="s">
        <v>1784</v>
      </c>
      <c r="E63" s="1" t="s">
        <v>1653</v>
      </c>
      <c r="F63" s="1" t="s">
        <v>1897</v>
      </c>
      <c r="G63" s="7" t="s">
        <v>1898</v>
      </c>
      <c r="H63" s="14" t="s">
        <v>1898</v>
      </c>
      <c r="I63" s="25"/>
      <c r="K63" s="1" t="s">
        <v>1648</v>
      </c>
      <c r="L63" s="39" t="s">
        <v>1704</v>
      </c>
    </row>
    <row r="64" spans="1:12" ht="54" customHeight="1">
      <c r="A64" s="1">
        <v>305</v>
      </c>
      <c r="B64" s="1" t="s">
        <v>1899</v>
      </c>
      <c r="C64" s="1" t="s">
        <v>1900</v>
      </c>
      <c r="D64" s="1" t="s">
        <v>1784</v>
      </c>
      <c r="E64" s="1" t="s">
        <v>1653</v>
      </c>
      <c r="F64" s="1" t="s">
        <v>1901</v>
      </c>
      <c r="G64" s="7" t="s">
        <v>1902</v>
      </c>
      <c r="H64" s="14" t="s">
        <v>1902</v>
      </c>
      <c r="I64" s="25"/>
      <c r="K64" s="1" t="s">
        <v>1648</v>
      </c>
      <c r="L64" s="39" t="s">
        <v>1704</v>
      </c>
    </row>
    <row r="65" spans="1:12" ht="54" customHeight="1">
      <c r="A65" s="1">
        <v>321</v>
      </c>
      <c r="B65" s="1" t="s">
        <v>1903</v>
      </c>
      <c r="C65" s="1" t="s">
        <v>1904</v>
      </c>
      <c r="D65" s="1" t="s">
        <v>1784</v>
      </c>
      <c r="E65" s="1" t="s">
        <v>1653</v>
      </c>
      <c r="F65" s="1" t="s">
        <v>1905</v>
      </c>
      <c r="G65" s="7" t="s">
        <v>1906</v>
      </c>
      <c r="H65" s="14" t="s">
        <v>1906</v>
      </c>
      <c r="I65" s="25"/>
      <c r="K65" s="1" t="s">
        <v>1648</v>
      </c>
      <c r="L65" s="39" t="s">
        <v>1704</v>
      </c>
    </row>
    <row r="66" spans="1:12" ht="54" customHeight="1">
      <c r="A66" s="1">
        <v>324</v>
      </c>
      <c r="B66" s="1" t="s">
        <v>1907</v>
      </c>
      <c r="C66" s="1" t="s">
        <v>1908</v>
      </c>
      <c r="D66" s="1" t="s">
        <v>1784</v>
      </c>
      <c r="E66" s="1" t="s">
        <v>1653</v>
      </c>
      <c r="F66" s="1" t="s">
        <v>1909</v>
      </c>
      <c r="G66" s="7" t="s">
        <v>1910</v>
      </c>
      <c r="H66" s="14" t="s">
        <v>1910</v>
      </c>
      <c r="I66" s="25"/>
      <c r="K66" s="1" t="s">
        <v>1648</v>
      </c>
      <c r="L66" s="39" t="s">
        <v>1704</v>
      </c>
    </row>
    <row r="67" spans="1:12" ht="54" customHeight="1">
      <c r="A67" s="1">
        <v>340</v>
      </c>
      <c r="B67" s="1" t="s">
        <v>1911</v>
      </c>
      <c r="C67" s="1" t="s">
        <v>1912</v>
      </c>
      <c r="D67" s="1" t="s">
        <v>1784</v>
      </c>
      <c r="E67" s="1" t="s">
        <v>1653</v>
      </c>
      <c r="F67" s="1" t="s">
        <v>1913</v>
      </c>
      <c r="G67" s="7" t="s">
        <v>1914</v>
      </c>
      <c r="H67" s="14" t="s">
        <v>1914</v>
      </c>
      <c r="I67" s="25"/>
      <c r="K67" s="1" t="s">
        <v>1648</v>
      </c>
      <c r="L67" s="39" t="s">
        <v>1704</v>
      </c>
    </row>
    <row r="68" spans="1:12" ht="54" customHeight="1">
      <c r="A68" s="1">
        <v>351</v>
      </c>
      <c r="B68" s="1" t="s">
        <v>1915</v>
      </c>
      <c r="C68" s="1" t="s">
        <v>1916</v>
      </c>
      <c r="D68" s="1" t="s">
        <v>1784</v>
      </c>
      <c r="E68" s="1" t="s">
        <v>1653</v>
      </c>
      <c r="F68" s="1" t="s">
        <v>1917</v>
      </c>
      <c r="G68" s="7" t="s">
        <v>1918</v>
      </c>
      <c r="H68" s="14" t="s">
        <v>1918</v>
      </c>
      <c r="I68" s="25"/>
      <c r="K68" s="1" t="s">
        <v>1648</v>
      </c>
      <c r="L68" s="39" t="s">
        <v>1704</v>
      </c>
    </row>
    <row r="69" spans="1:12" ht="54" customHeight="1">
      <c r="A69" s="1">
        <v>357</v>
      </c>
      <c r="B69" s="1" t="s">
        <v>1919</v>
      </c>
      <c r="C69" s="1" t="s">
        <v>1920</v>
      </c>
      <c r="D69" s="1" t="s">
        <v>1784</v>
      </c>
      <c r="E69" s="1" t="s">
        <v>1653</v>
      </c>
      <c r="F69" s="1" t="s">
        <v>1921</v>
      </c>
      <c r="G69" s="7" t="s">
        <v>1922</v>
      </c>
      <c r="H69" s="14" t="s">
        <v>1922</v>
      </c>
      <c r="I69" s="25"/>
      <c r="K69" s="1" t="s">
        <v>1648</v>
      </c>
      <c r="L69" s="39" t="s">
        <v>1704</v>
      </c>
    </row>
    <row r="70" spans="1:12" ht="54" customHeight="1">
      <c r="A70" s="1">
        <v>389</v>
      </c>
      <c r="B70" s="1" t="s">
        <v>1923</v>
      </c>
      <c r="C70" s="1" t="s">
        <v>1924</v>
      </c>
      <c r="D70" s="1" t="s">
        <v>1784</v>
      </c>
      <c r="E70" s="1" t="s">
        <v>1653</v>
      </c>
      <c r="F70" s="1" t="s">
        <v>1925</v>
      </c>
      <c r="G70" s="7" t="s">
        <v>92</v>
      </c>
      <c r="H70" s="22" t="s">
        <v>92</v>
      </c>
      <c r="I70" s="22" t="s">
        <v>20</v>
      </c>
    </row>
    <row r="71" spans="1:12" ht="54" customHeight="1">
      <c r="A71" s="1">
        <v>391</v>
      </c>
      <c r="B71" s="1" t="s">
        <v>1926</v>
      </c>
      <c r="C71" s="1" t="s">
        <v>1927</v>
      </c>
      <c r="D71" s="1" t="s">
        <v>1784</v>
      </c>
      <c r="E71" s="1" t="s">
        <v>1653</v>
      </c>
      <c r="F71" s="1" t="s">
        <v>1928</v>
      </c>
      <c r="G71" s="7" t="s">
        <v>92</v>
      </c>
      <c r="H71" s="14" t="s">
        <v>92</v>
      </c>
      <c r="I71" s="25" t="s">
        <v>20</v>
      </c>
    </row>
    <row r="72" spans="1:12" ht="54" customHeight="1">
      <c r="A72" s="1">
        <v>393</v>
      </c>
      <c r="B72" s="1" t="s">
        <v>1929</v>
      </c>
      <c r="C72" s="1" t="s">
        <v>1930</v>
      </c>
      <c r="D72" s="1" t="s">
        <v>1784</v>
      </c>
      <c r="E72" s="1" t="s">
        <v>1653</v>
      </c>
      <c r="F72" s="1" t="s">
        <v>1931</v>
      </c>
      <c r="G72" s="7" t="s">
        <v>1932</v>
      </c>
      <c r="H72" s="14" t="s">
        <v>1932</v>
      </c>
      <c r="I72" s="25"/>
    </row>
    <row r="73" spans="1:12" ht="54" customHeight="1">
      <c r="A73" s="1">
        <v>397</v>
      </c>
      <c r="B73" s="1" t="s">
        <v>1933</v>
      </c>
      <c r="C73" s="1" t="s">
        <v>1934</v>
      </c>
      <c r="D73" s="1" t="s">
        <v>1784</v>
      </c>
      <c r="E73" s="1" t="s">
        <v>1653</v>
      </c>
      <c r="F73" s="1" t="s">
        <v>1935</v>
      </c>
      <c r="G73" s="7" t="s">
        <v>1936</v>
      </c>
      <c r="H73" s="14" t="s">
        <v>1936</v>
      </c>
      <c r="I73" s="25"/>
    </row>
    <row r="74" spans="1:12" ht="54" customHeight="1">
      <c r="A74" s="1">
        <v>398</v>
      </c>
      <c r="B74" s="1" t="s">
        <v>1937</v>
      </c>
      <c r="C74" s="1" t="s">
        <v>1938</v>
      </c>
      <c r="D74" s="1" t="s">
        <v>1784</v>
      </c>
      <c r="E74" s="1" t="s">
        <v>1653</v>
      </c>
      <c r="F74" s="1" t="s">
        <v>1939</v>
      </c>
      <c r="G74" s="7" t="s">
        <v>1936</v>
      </c>
      <c r="H74" s="14" t="s">
        <v>1936</v>
      </c>
      <c r="I74" s="25"/>
    </row>
    <row r="75" spans="1:12" ht="54" customHeight="1">
      <c r="A75" s="1">
        <v>707</v>
      </c>
      <c r="B75" s="1" t="s">
        <v>1940</v>
      </c>
      <c r="C75" s="1" t="s">
        <v>1941</v>
      </c>
      <c r="D75" s="1" t="s">
        <v>1784</v>
      </c>
      <c r="E75" s="1" t="s">
        <v>1653</v>
      </c>
      <c r="F75" s="1" t="s">
        <v>1942</v>
      </c>
      <c r="G75" s="7" t="s">
        <v>1943</v>
      </c>
      <c r="H75" s="14" t="s">
        <v>1943</v>
      </c>
      <c r="I75" s="25"/>
      <c r="K75" s="1" t="s">
        <v>1648</v>
      </c>
      <c r="L75" s="39" t="s">
        <v>1704</v>
      </c>
    </row>
    <row r="76" spans="1:12" ht="54" customHeight="1">
      <c r="A76" s="1">
        <v>723</v>
      </c>
      <c r="B76" s="1" t="s">
        <v>1944</v>
      </c>
      <c r="C76" s="1" t="s">
        <v>1945</v>
      </c>
      <c r="D76" s="1" t="s">
        <v>1784</v>
      </c>
      <c r="E76" s="1" t="s">
        <v>1653</v>
      </c>
      <c r="F76" s="1" t="s">
        <v>1946</v>
      </c>
      <c r="G76" s="7" t="s">
        <v>1947</v>
      </c>
      <c r="H76" s="22" t="s">
        <v>1947</v>
      </c>
      <c r="I76" s="22"/>
      <c r="K76" s="1" t="s">
        <v>1648</v>
      </c>
      <c r="L76" s="39" t="s">
        <v>1704</v>
      </c>
    </row>
    <row r="77" spans="1:12" ht="54" customHeight="1">
      <c r="A77" s="1">
        <v>425</v>
      </c>
      <c r="B77" s="1" t="s">
        <v>1948</v>
      </c>
      <c r="C77" s="1" t="s">
        <v>1949</v>
      </c>
      <c r="D77" s="1" t="s">
        <v>1784</v>
      </c>
      <c r="E77" s="1" t="s">
        <v>1653</v>
      </c>
      <c r="F77" s="1" t="s">
        <v>1950</v>
      </c>
      <c r="G77" s="7" t="s">
        <v>1951</v>
      </c>
      <c r="H77" s="14" t="s">
        <v>1951</v>
      </c>
      <c r="I77" s="25"/>
      <c r="K77" s="1" t="s">
        <v>1648</v>
      </c>
      <c r="L77" s="39" t="s">
        <v>1704</v>
      </c>
    </row>
    <row r="78" spans="1:12" ht="54" customHeight="1">
      <c r="A78" s="1">
        <v>429</v>
      </c>
      <c r="B78" s="1" t="s">
        <v>1952</v>
      </c>
      <c r="C78" s="1" t="s">
        <v>1953</v>
      </c>
      <c r="D78" s="1" t="s">
        <v>1784</v>
      </c>
      <c r="E78" s="1" t="s">
        <v>1653</v>
      </c>
      <c r="F78" s="1" t="s">
        <v>1954</v>
      </c>
      <c r="G78" s="7" t="s">
        <v>1955</v>
      </c>
      <c r="H78" s="14" t="s">
        <v>1955</v>
      </c>
      <c r="I78" s="25"/>
      <c r="K78" s="1" t="s">
        <v>1648</v>
      </c>
      <c r="L78" s="39" t="s">
        <v>1704</v>
      </c>
    </row>
    <row r="79" spans="1:12" ht="54" customHeight="1">
      <c r="A79" s="1">
        <v>442</v>
      </c>
      <c r="B79" s="1" t="s">
        <v>1956</v>
      </c>
      <c r="C79" s="1" t="s">
        <v>1957</v>
      </c>
      <c r="D79" s="1" t="s">
        <v>1784</v>
      </c>
      <c r="E79" s="1" t="s">
        <v>1653</v>
      </c>
      <c r="F79" s="1" t="s">
        <v>1958</v>
      </c>
      <c r="G79" s="7" t="s">
        <v>1959</v>
      </c>
      <c r="H79" s="14" t="s">
        <v>1959</v>
      </c>
      <c r="I79" s="10"/>
      <c r="K79" s="1" t="s">
        <v>1648</v>
      </c>
      <c r="L79" s="39" t="s">
        <v>1704</v>
      </c>
    </row>
    <row r="80" spans="1:12" ht="54" customHeight="1">
      <c r="A80" s="1">
        <v>444</v>
      </c>
      <c r="B80" s="1" t="s">
        <v>1960</v>
      </c>
      <c r="C80" s="1" t="s">
        <v>1961</v>
      </c>
      <c r="D80" s="1" t="s">
        <v>1784</v>
      </c>
      <c r="E80" s="1" t="s">
        <v>1653</v>
      </c>
      <c r="F80" s="1" t="s">
        <v>1962</v>
      </c>
      <c r="G80" s="29" t="s">
        <v>223</v>
      </c>
      <c r="H80" s="14" t="s">
        <v>223</v>
      </c>
      <c r="I80" s="10" t="s">
        <v>20</v>
      </c>
      <c r="K80" s="1" t="s">
        <v>1648</v>
      </c>
      <c r="L80" s="39" t="s">
        <v>1704</v>
      </c>
    </row>
    <row r="81" spans="1:12" ht="54" customHeight="1">
      <c r="A81" s="1">
        <v>445</v>
      </c>
      <c r="B81" s="1" t="s">
        <v>1963</v>
      </c>
      <c r="C81" s="1" t="s">
        <v>1964</v>
      </c>
      <c r="D81" s="1" t="s">
        <v>1784</v>
      </c>
      <c r="E81" s="1" t="s">
        <v>1653</v>
      </c>
      <c r="F81" s="1" t="s">
        <v>1965</v>
      </c>
      <c r="G81" s="7" t="s">
        <v>92</v>
      </c>
      <c r="H81" s="14" t="s">
        <v>92</v>
      </c>
      <c r="I81" s="10" t="s">
        <v>20</v>
      </c>
      <c r="J81" s="1" t="s">
        <v>1966</v>
      </c>
      <c r="K81" s="1" t="s">
        <v>1648</v>
      </c>
      <c r="L81" s="39" t="s">
        <v>1704</v>
      </c>
    </row>
    <row r="82" spans="1:12" ht="54" customHeight="1">
      <c r="A82" s="1">
        <v>464</v>
      </c>
      <c r="B82" s="1" t="s">
        <v>1967</v>
      </c>
      <c r="C82" s="1" t="s">
        <v>1968</v>
      </c>
      <c r="D82" s="1" t="s">
        <v>1784</v>
      </c>
      <c r="E82" s="1" t="s">
        <v>1653</v>
      </c>
      <c r="F82" s="1" t="s">
        <v>1969</v>
      </c>
      <c r="G82" s="7" t="s">
        <v>1970</v>
      </c>
      <c r="H82" s="14" t="s">
        <v>1970</v>
      </c>
      <c r="I82" s="14"/>
      <c r="K82" s="1" t="s">
        <v>1648</v>
      </c>
      <c r="L82" s="39" t="s">
        <v>1704</v>
      </c>
    </row>
    <row r="83" spans="1:12" ht="54" customHeight="1">
      <c r="A83" s="1">
        <v>516</v>
      </c>
      <c r="B83" s="1" t="s">
        <v>1971</v>
      </c>
      <c r="C83" s="1" t="s">
        <v>1972</v>
      </c>
      <c r="D83" s="1" t="s">
        <v>1784</v>
      </c>
      <c r="E83" s="1" t="s">
        <v>1653</v>
      </c>
      <c r="F83" s="1" t="s">
        <v>1973</v>
      </c>
      <c r="G83" s="6"/>
      <c r="K83" s="1" t="s">
        <v>1648</v>
      </c>
      <c r="L83" s="39" t="s">
        <v>1704</v>
      </c>
    </row>
    <row r="84" spans="1:12" ht="54" customHeight="1">
      <c r="A84" s="1">
        <v>846</v>
      </c>
      <c r="B84" s="1" t="s">
        <v>1483</v>
      </c>
      <c r="C84" s="9" t="s">
        <v>1974</v>
      </c>
      <c r="D84" s="1" t="s">
        <v>1784</v>
      </c>
      <c r="E84" s="1" t="s">
        <v>1653</v>
      </c>
      <c r="F84" s="1" t="s">
        <v>1975</v>
      </c>
      <c r="G84" s="8" t="s">
        <v>1976</v>
      </c>
      <c r="H84" s="14" t="s">
        <v>1976</v>
      </c>
      <c r="I84" s="10" t="s">
        <v>20</v>
      </c>
      <c r="K84" s="1" t="s">
        <v>1648</v>
      </c>
      <c r="L84" s="39" t="s">
        <v>1704</v>
      </c>
    </row>
    <row r="85" spans="1:12" ht="54" customHeight="1">
      <c r="A85" s="1">
        <v>849</v>
      </c>
      <c r="B85" s="1" t="s">
        <v>1977</v>
      </c>
      <c r="C85" s="1" t="s">
        <v>1978</v>
      </c>
      <c r="D85" s="1" t="s">
        <v>1784</v>
      </c>
      <c r="E85" s="1" t="s">
        <v>1653</v>
      </c>
      <c r="F85" s="1" t="s">
        <v>1979</v>
      </c>
      <c r="G85" s="6"/>
      <c r="K85" s="1" t="s">
        <v>1648</v>
      </c>
      <c r="L85" s="39" t="s">
        <v>1704</v>
      </c>
    </row>
    <row r="86" spans="1:12" ht="54" customHeight="1">
      <c r="A86" s="1">
        <v>851</v>
      </c>
      <c r="B86" s="1" t="s">
        <v>1980</v>
      </c>
      <c r="C86" s="1" t="s">
        <v>1981</v>
      </c>
      <c r="D86" s="1" t="s">
        <v>1784</v>
      </c>
      <c r="E86" s="1" t="s">
        <v>1653</v>
      </c>
      <c r="F86" s="1" t="s">
        <v>1982</v>
      </c>
      <c r="G86" s="6"/>
      <c r="K86" s="1" t="s">
        <v>1648</v>
      </c>
      <c r="L86" s="39" t="s">
        <v>1704</v>
      </c>
    </row>
    <row r="87" spans="1:12" ht="54" customHeight="1">
      <c r="A87" s="1">
        <v>852</v>
      </c>
      <c r="B87" s="1" t="s">
        <v>1983</v>
      </c>
      <c r="C87" s="1" t="s">
        <v>1984</v>
      </c>
      <c r="D87" s="1" t="s">
        <v>1784</v>
      </c>
      <c r="E87" s="1" t="s">
        <v>1653</v>
      </c>
      <c r="F87" s="1" t="s">
        <v>1985</v>
      </c>
      <c r="G87" s="6"/>
      <c r="K87" s="1" t="s">
        <v>1648</v>
      </c>
      <c r="L87" s="39" t="s">
        <v>1704</v>
      </c>
    </row>
    <row r="88" spans="1:12" ht="54" customHeight="1">
      <c r="A88" s="1">
        <v>538</v>
      </c>
      <c r="B88" s="1" t="s">
        <v>1986</v>
      </c>
      <c r="C88" s="1" t="s">
        <v>1987</v>
      </c>
      <c r="D88" s="1" t="s">
        <v>1784</v>
      </c>
      <c r="E88" s="1" t="s">
        <v>1653</v>
      </c>
      <c r="F88" s="1" t="s">
        <v>1988</v>
      </c>
      <c r="G88" s="7" t="s">
        <v>1989</v>
      </c>
      <c r="H88" s="14" t="s">
        <v>1989</v>
      </c>
      <c r="I88" s="10" t="s">
        <v>20</v>
      </c>
      <c r="K88" s="1" t="s">
        <v>1648</v>
      </c>
      <c r="L88" s="39" t="s">
        <v>1704</v>
      </c>
    </row>
    <row r="89" spans="1:12" ht="54" customHeight="1">
      <c r="A89" s="1">
        <v>540</v>
      </c>
      <c r="B89" s="1" t="s">
        <v>1990</v>
      </c>
      <c r="C89" s="9" t="s">
        <v>1991</v>
      </c>
      <c r="D89" s="1" t="s">
        <v>1784</v>
      </c>
      <c r="E89" s="1" t="s">
        <v>1653</v>
      </c>
      <c r="F89" s="1" t="s">
        <v>1992</v>
      </c>
      <c r="G89" s="7" t="s">
        <v>1993</v>
      </c>
      <c r="H89" s="14" t="s">
        <v>1993</v>
      </c>
      <c r="I89" s="10" t="s">
        <v>20</v>
      </c>
      <c r="K89" s="1" t="s">
        <v>1756</v>
      </c>
      <c r="L89" s="39" t="s">
        <v>1757</v>
      </c>
    </row>
    <row r="90" spans="1:12" ht="54" customHeight="1">
      <c r="A90" s="1">
        <v>578</v>
      </c>
      <c r="B90" s="1" t="s">
        <v>1994</v>
      </c>
      <c r="C90" s="1" t="s">
        <v>1995</v>
      </c>
      <c r="D90" s="1" t="s">
        <v>1784</v>
      </c>
      <c r="E90" s="1" t="s">
        <v>1710</v>
      </c>
      <c r="F90" s="1" t="s">
        <v>1996</v>
      </c>
      <c r="G90" s="7" t="s">
        <v>1997</v>
      </c>
      <c r="H90" s="14" t="s">
        <v>1997</v>
      </c>
      <c r="I90" s="14"/>
      <c r="J90" s="1" t="s">
        <v>1703</v>
      </c>
      <c r="K90" s="1" t="s">
        <v>1648</v>
      </c>
      <c r="L90" s="39" t="s">
        <v>1704</v>
      </c>
    </row>
    <row r="91" spans="1:12" ht="54" customHeight="1">
      <c r="A91" s="1">
        <v>836</v>
      </c>
      <c r="B91" s="1" t="s">
        <v>1998</v>
      </c>
      <c r="C91" s="1" t="s">
        <v>1999</v>
      </c>
      <c r="D91" s="1" t="s">
        <v>1784</v>
      </c>
      <c r="E91" s="1" t="s">
        <v>1710</v>
      </c>
      <c r="F91" s="1" t="s">
        <v>2000</v>
      </c>
      <c r="G91" s="6"/>
      <c r="K91" s="1" t="s">
        <v>1756</v>
      </c>
      <c r="L91" s="39" t="s">
        <v>1809</v>
      </c>
    </row>
    <row r="92" spans="1:12" ht="54" customHeight="1">
      <c r="A92" s="1">
        <v>283</v>
      </c>
      <c r="B92" s="1" t="s">
        <v>2001</v>
      </c>
      <c r="C92" s="1" t="s">
        <v>2002</v>
      </c>
      <c r="D92" s="1" t="s">
        <v>1784</v>
      </c>
      <c r="E92" s="1" t="s">
        <v>2003</v>
      </c>
      <c r="F92" s="1" t="s">
        <v>2004</v>
      </c>
      <c r="G92" s="6"/>
      <c r="K92" s="1" t="s">
        <v>1648</v>
      </c>
      <c r="L92" s="39" t="s">
        <v>1704</v>
      </c>
    </row>
    <row r="93" spans="1:12" ht="54" customHeight="1">
      <c r="A93" s="1">
        <v>68722</v>
      </c>
      <c r="B93" s="1" t="s">
        <v>2005</v>
      </c>
      <c r="C93" s="1" t="s">
        <v>2006</v>
      </c>
      <c r="D93" s="1" t="s">
        <v>1784</v>
      </c>
      <c r="E93" s="1" t="s">
        <v>1646</v>
      </c>
      <c r="F93" s="1" t="s">
        <v>2007</v>
      </c>
      <c r="G93" s="7" t="s">
        <v>2008</v>
      </c>
      <c r="H93" s="14" t="s">
        <v>2008</v>
      </c>
      <c r="I93" s="14"/>
      <c r="J93" s="1" t="s">
        <v>1703</v>
      </c>
    </row>
    <row r="94" spans="1:12" ht="54" customHeight="1">
      <c r="A94" s="1">
        <v>35</v>
      </c>
      <c r="B94" s="1" t="s">
        <v>2009</v>
      </c>
      <c r="C94" s="1" t="s">
        <v>2010</v>
      </c>
      <c r="D94" s="1" t="s">
        <v>1784</v>
      </c>
      <c r="E94" s="1" t="s">
        <v>1646</v>
      </c>
      <c r="F94" s="1" t="s">
        <v>2011</v>
      </c>
      <c r="G94" s="6"/>
    </row>
    <row r="95" spans="1:12" ht="54" customHeight="1">
      <c r="A95" s="1">
        <v>148</v>
      </c>
      <c r="B95" s="1" t="s">
        <v>2012</v>
      </c>
      <c r="C95" s="1" t="s">
        <v>2013</v>
      </c>
      <c r="D95" s="1" t="s">
        <v>1784</v>
      </c>
      <c r="E95" s="1" t="s">
        <v>1646</v>
      </c>
      <c r="F95" s="1" t="s">
        <v>2014</v>
      </c>
      <c r="G95" s="29" t="s">
        <v>223</v>
      </c>
      <c r="H95" s="14" t="s">
        <v>223</v>
      </c>
      <c r="I95" s="10" t="s">
        <v>20</v>
      </c>
    </row>
    <row r="96" spans="1:12" ht="54" customHeight="1">
      <c r="A96" s="1">
        <v>179</v>
      </c>
      <c r="B96" s="1" t="s">
        <v>2015</v>
      </c>
      <c r="C96" s="1" t="s">
        <v>2016</v>
      </c>
      <c r="D96" s="1" t="s">
        <v>1784</v>
      </c>
      <c r="E96" s="1" t="s">
        <v>1646</v>
      </c>
      <c r="F96" s="1" t="s">
        <v>2017</v>
      </c>
      <c r="G96" s="7" t="s">
        <v>22</v>
      </c>
      <c r="H96" s="14" t="s">
        <v>22</v>
      </c>
      <c r="I96" s="25" t="s">
        <v>20</v>
      </c>
      <c r="K96" s="1" t="s">
        <v>1648</v>
      </c>
      <c r="L96" s="1" t="s">
        <v>1649</v>
      </c>
    </row>
    <row r="97" spans="1:12" ht="54" customHeight="1">
      <c r="A97" s="1">
        <v>195</v>
      </c>
      <c r="B97" s="1" t="s">
        <v>2018</v>
      </c>
      <c r="C97" s="1" t="s">
        <v>2019</v>
      </c>
      <c r="D97" s="1" t="s">
        <v>1784</v>
      </c>
      <c r="E97" s="1" t="s">
        <v>1646</v>
      </c>
      <c r="F97" s="1" t="s">
        <v>2020</v>
      </c>
      <c r="G97" s="7" t="s">
        <v>22</v>
      </c>
      <c r="H97" s="22" t="s">
        <v>22</v>
      </c>
      <c r="I97" s="22" t="s">
        <v>20</v>
      </c>
      <c r="L97" s="1"/>
    </row>
    <row r="98" spans="1:12" ht="54" customHeight="1">
      <c r="A98" s="1">
        <v>232</v>
      </c>
      <c r="B98" s="1" t="s">
        <v>2021</v>
      </c>
      <c r="C98" s="1" t="s">
        <v>2022</v>
      </c>
      <c r="D98" s="1" t="s">
        <v>1784</v>
      </c>
      <c r="E98" s="1" t="s">
        <v>1646</v>
      </c>
      <c r="F98" s="1" t="s">
        <v>2023</v>
      </c>
      <c r="G98" s="7" t="s">
        <v>22</v>
      </c>
      <c r="H98" s="14" t="s">
        <v>22</v>
      </c>
      <c r="I98" s="25" t="s">
        <v>20</v>
      </c>
    </row>
    <row r="99" spans="1:12" ht="54" customHeight="1">
      <c r="A99" s="1">
        <v>672</v>
      </c>
      <c r="B99" s="1" t="s">
        <v>2024</v>
      </c>
      <c r="C99" s="1" t="s">
        <v>2025</v>
      </c>
      <c r="D99" s="1" t="s">
        <v>1784</v>
      </c>
      <c r="E99" s="1" t="s">
        <v>1646</v>
      </c>
      <c r="F99" s="1" t="s">
        <v>2026</v>
      </c>
      <c r="G99" s="29" t="s">
        <v>223</v>
      </c>
      <c r="H99" s="14" t="s">
        <v>223</v>
      </c>
      <c r="I99" s="10" t="s">
        <v>20</v>
      </c>
    </row>
    <row r="100" spans="1:12" ht="54" customHeight="1">
      <c r="A100" s="1">
        <v>698</v>
      </c>
      <c r="B100" s="1" t="s">
        <v>2027</v>
      </c>
      <c r="C100" s="1" t="s">
        <v>2028</v>
      </c>
      <c r="D100" s="1" t="s">
        <v>1784</v>
      </c>
      <c r="E100" s="1" t="s">
        <v>1646</v>
      </c>
      <c r="F100" s="1" t="s">
        <v>2029</v>
      </c>
      <c r="G100" s="7" t="s">
        <v>22</v>
      </c>
      <c r="H100" s="14" t="s">
        <v>22</v>
      </c>
      <c r="I100" s="25" t="s">
        <v>20</v>
      </c>
    </row>
    <row r="101" spans="1:12" ht="54" customHeight="1">
      <c r="A101" s="1">
        <v>731</v>
      </c>
      <c r="B101" s="1" t="s">
        <v>2030</v>
      </c>
      <c r="C101" s="1" t="s">
        <v>2031</v>
      </c>
      <c r="D101" s="1" t="s">
        <v>1784</v>
      </c>
      <c r="E101" s="1" t="s">
        <v>1646</v>
      </c>
      <c r="F101" s="1" t="s">
        <v>2032</v>
      </c>
      <c r="G101" s="7" t="s">
        <v>2033</v>
      </c>
      <c r="H101" s="14" t="s">
        <v>2033</v>
      </c>
      <c r="I101" s="10"/>
      <c r="K101" s="1" t="s">
        <v>1648</v>
      </c>
      <c r="L101" s="1" t="s">
        <v>1649</v>
      </c>
    </row>
    <row r="102" spans="1:12" ht="54" customHeight="1">
      <c r="A102" s="1">
        <v>732</v>
      </c>
      <c r="B102" s="1" t="s">
        <v>2034</v>
      </c>
      <c r="C102" s="1" t="s">
        <v>2035</v>
      </c>
      <c r="D102" s="1" t="s">
        <v>1784</v>
      </c>
      <c r="E102" s="1" t="s">
        <v>1646</v>
      </c>
      <c r="F102" s="1" t="s">
        <v>2036</v>
      </c>
      <c r="G102" s="29" t="s">
        <v>223</v>
      </c>
      <c r="H102" s="14" t="s">
        <v>223</v>
      </c>
      <c r="I102" s="25" t="s">
        <v>20</v>
      </c>
    </row>
    <row r="103" spans="1:12" ht="54" customHeight="1">
      <c r="A103" s="1">
        <v>738</v>
      </c>
      <c r="B103" s="1" t="s">
        <v>2037</v>
      </c>
      <c r="C103" s="1" t="s">
        <v>2038</v>
      </c>
      <c r="D103" s="1" t="s">
        <v>1784</v>
      </c>
      <c r="E103" s="1" t="s">
        <v>1646</v>
      </c>
      <c r="F103" s="1" t="s">
        <v>2039</v>
      </c>
      <c r="G103" s="29" t="s">
        <v>223</v>
      </c>
      <c r="H103" s="22" t="s">
        <v>223</v>
      </c>
      <c r="I103" s="22" t="s">
        <v>20</v>
      </c>
    </row>
    <row r="104" spans="1:12" ht="54" customHeight="1">
      <c r="A104" s="1">
        <v>744</v>
      </c>
      <c r="B104" s="1" t="s">
        <v>2040</v>
      </c>
      <c r="C104" s="1" t="s">
        <v>2041</v>
      </c>
      <c r="D104" s="1" t="s">
        <v>1784</v>
      </c>
      <c r="E104" s="1" t="s">
        <v>1646</v>
      </c>
      <c r="F104" s="1" t="s">
        <v>2042</v>
      </c>
      <c r="G104" s="7" t="s">
        <v>22</v>
      </c>
      <c r="H104" s="14" t="s">
        <v>22</v>
      </c>
      <c r="I104" s="25" t="s">
        <v>20</v>
      </c>
    </row>
    <row r="105" spans="1:12" ht="54" customHeight="1">
      <c r="A105" s="1">
        <v>747</v>
      </c>
      <c r="B105" s="1" t="s">
        <v>2043</v>
      </c>
      <c r="C105" s="1" t="s">
        <v>2044</v>
      </c>
      <c r="D105" s="1" t="s">
        <v>1784</v>
      </c>
      <c r="E105" s="1" t="s">
        <v>1646</v>
      </c>
      <c r="F105" s="1" t="s">
        <v>2045</v>
      </c>
      <c r="G105" s="29" t="s">
        <v>223</v>
      </c>
      <c r="H105" s="22" t="s">
        <v>223</v>
      </c>
      <c r="I105" s="22" t="s">
        <v>20</v>
      </c>
      <c r="K105" s="1" t="s">
        <v>1648</v>
      </c>
      <c r="L105" s="1" t="s">
        <v>1649</v>
      </c>
    </row>
    <row r="106" spans="1:12" ht="54" customHeight="1">
      <c r="A106" s="1">
        <v>68725</v>
      </c>
      <c r="B106" s="1" t="s">
        <v>2046</v>
      </c>
      <c r="C106" s="1" t="s">
        <v>2047</v>
      </c>
      <c r="D106" s="1" t="s">
        <v>1784</v>
      </c>
      <c r="E106" s="1" t="s">
        <v>1646</v>
      </c>
      <c r="F106" s="1" t="s">
        <v>2048</v>
      </c>
      <c r="G106" s="7" t="s">
        <v>2049</v>
      </c>
      <c r="H106" s="14" t="s">
        <v>2049</v>
      </c>
    </row>
    <row r="107" spans="1:12" ht="54" customHeight="1">
      <c r="A107" s="1">
        <v>505</v>
      </c>
      <c r="B107" s="1" t="s">
        <v>2050</v>
      </c>
      <c r="C107" s="1" t="s">
        <v>2051</v>
      </c>
      <c r="D107" s="1" t="s">
        <v>1784</v>
      </c>
      <c r="E107" s="1" t="s">
        <v>1646</v>
      </c>
      <c r="F107" s="1" t="s">
        <v>2052</v>
      </c>
      <c r="G107" s="7" t="s">
        <v>22</v>
      </c>
      <c r="H107" s="14" t="s">
        <v>22</v>
      </c>
      <c r="I107" s="14" t="s">
        <v>20</v>
      </c>
      <c r="K107" s="1" t="s">
        <v>1648</v>
      </c>
      <c r="L107" s="1" t="s">
        <v>1649</v>
      </c>
    </row>
    <row r="108" spans="1:12" ht="54" customHeight="1">
      <c r="A108" s="1">
        <v>841</v>
      </c>
      <c r="B108" s="1" t="s">
        <v>2053</v>
      </c>
      <c r="C108" s="1" t="s">
        <v>2054</v>
      </c>
      <c r="D108" s="1" t="s">
        <v>1784</v>
      </c>
      <c r="E108" s="1" t="s">
        <v>1646</v>
      </c>
      <c r="F108" s="1" t="s">
        <v>2055</v>
      </c>
      <c r="G108" s="7" t="s">
        <v>2056</v>
      </c>
      <c r="H108" s="14" t="s">
        <v>2056</v>
      </c>
      <c r="I108" s="10"/>
      <c r="K108" s="1" t="s">
        <v>1756</v>
      </c>
      <c r="L108" s="39" t="s">
        <v>1809</v>
      </c>
    </row>
    <row r="109" spans="1:12" ht="54" customHeight="1">
      <c r="A109" s="1">
        <v>779</v>
      </c>
      <c r="B109" s="1" t="s">
        <v>2057</v>
      </c>
      <c r="C109" s="1" t="s">
        <v>2058</v>
      </c>
      <c r="D109" s="1" t="s">
        <v>1784</v>
      </c>
      <c r="E109" s="1" t="s">
        <v>2059</v>
      </c>
      <c r="F109" s="1" t="s">
        <v>2060</v>
      </c>
      <c r="G109" s="7" t="s">
        <v>2061</v>
      </c>
      <c r="H109" s="14" t="s">
        <v>2061</v>
      </c>
      <c r="I109" s="10" t="s">
        <v>20</v>
      </c>
      <c r="K109" s="1" t="s">
        <v>1756</v>
      </c>
      <c r="L109" s="39" t="s">
        <v>1809</v>
      </c>
    </row>
    <row r="110" spans="1:12" ht="54" customHeight="1">
      <c r="A110" s="1">
        <v>87</v>
      </c>
      <c r="B110" s="1" t="s">
        <v>2062</v>
      </c>
      <c r="C110" s="1" t="s">
        <v>2063</v>
      </c>
      <c r="D110" s="1" t="s">
        <v>1784</v>
      </c>
      <c r="E110" s="1" t="s">
        <v>2064</v>
      </c>
      <c r="F110" s="1" t="s">
        <v>2065</v>
      </c>
      <c r="G110" s="29" t="s">
        <v>223</v>
      </c>
      <c r="H110" s="22" t="s">
        <v>223</v>
      </c>
      <c r="I110" s="22" t="s">
        <v>20</v>
      </c>
    </row>
    <row r="111" spans="1:12" ht="54" customHeight="1">
      <c r="A111" s="1">
        <v>92382</v>
      </c>
      <c r="B111" s="1" t="s">
        <v>2066</v>
      </c>
      <c r="C111" s="1" t="s">
        <v>2067</v>
      </c>
      <c r="D111" s="1" t="s">
        <v>1784</v>
      </c>
      <c r="E111" s="1" t="s">
        <v>2068</v>
      </c>
      <c r="F111" s="1" t="s">
        <v>2069</v>
      </c>
      <c r="G111" s="7" t="s">
        <v>38</v>
      </c>
      <c r="H111" s="14" t="s">
        <v>38</v>
      </c>
      <c r="I111" s="25" t="s">
        <v>20</v>
      </c>
    </row>
    <row r="112" spans="1:12" ht="54" customHeight="1">
      <c r="A112" s="1">
        <v>49729</v>
      </c>
      <c r="B112" s="1" t="s">
        <v>2070</v>
      </c>
      <c r="C112" s="1" t="s">
        <v>2071</v>
      </c>
      <c r="D112" s="1" t="s">
        <v>1784</v>
      </c>
      <c r="E112" s="1" t="s">
        <v>2072</v>
      </c>
      <c r="F112" s="1" t="s">
        <v>2073</v>
      </c>
      <c r="G112" s="7" t="s">
        <v>25</v>
      </c>
      <c r="H112" s="22" t="s">
        <v>25</v>
      </c>
      <c r="I112" s="22" t="s">
        <v>20</v>
      </c>
    </row>
    <row r="113" spans="1:12" ht="54" customHeight="1">
      <c r="A113" s="1">
        <v>556</v>
      </c>
      <c r="B113" s="1" t="s">
        <v>2074</v>
      </c>
      <c r="C113" s="1" t="s">
        <v>2075</v>
      </c>
      <c r="D113" s="1" t="s">
        <v>1784</v>
      </c>
      <c r="E113" s="1" t="s">
        <v>1657</v>
      </c>
      <c r="F113" s="1" t="s">
        <v>2076</v>
      </c>
      <c r="G113" s="7" t="s">
        <v>235</v>
      </c>
      <c r="H113" s="14" t="s">
        <v>235</v>
      </c>
      <c r="I113" s="14" t="s">
        <v>20</v>
      </c>
      <c r="J113" s="1" t="s">
        <v>1703</v>
      </c>
    </row>
    <row r="114" spans="1:12" ht="54" customHeight="1">
      <c r="A114" s="1">
        <v>557</v>
      </c>
      <c r="B114" s="1" t="s">
        <v>2077</v>
      </c>
      <c r="C114" s="1" t="s">
        <v>2078</v>
      </c>
      <c r="D114" s="1" t="s">
        <v>1784</v>
      </c>
      <c r="E114" s="1" t="s">
        <v>1657</v>
      </c>
      <c r="F114" s="1" t="s">
        <v>2079</v>
      </c>
      <c r="G114" s="7" t="s">
        <v>235</v>
      </c>
      <c r="H114" s="14" t="s">
        <v>235</v>
      </c>
      <c r="I114" s="14" t="s">
        <v>20</v>
      </c>
      <c r="J114" s="1" t="s">
        <v>1703</v>
      </c>
    </row>
    <row r="115" spans="1:12" ht="54" customHeight="1">
      <c r="A115" s="1">
        <v>17</v>
      </c>
      <c r="B115" s="1" t="s">
        <v>2080</v>
      </c>
      <c r="C115" s="1" t="s">
        <v>2081</v>
      </c>
      <c r="D115" s="1" t="s">
        <v>1784</v>
      </c>
      <c r="E115" s="1" t="s">
        <v>1657</v>
      </c>
      <c r="F115" s="1" t="s">
        <v>2082</v>
      </c>
      <c r="G115" s="7" t="s">
        <v>235</v>
      </c>
      <c r="H115" s="14" t="s">
        <v>235</v>
      </c>
      <c r="I115" s="14" t="s">
        <v>20</v>
      </c>
      <c r="J115" s="1" t="s">
        <v>2083</v>
      </c>
    </row>
    <row r="116" spans="1:12" ht="54" customHeight="1">
      <c r="A116" s="1">
        <v>606</v>
      </c>
      <c r="B116" s="1" t="s">
        <v>2084</v>
      </c>
      <c r="C116" s="1" t="s">
        <v>2085</v>
      </c>
      <c r="D116" s="1" t="s">
        <v>1784</v>
      </c>
      <c r="E116" s="1" t="s">
        <v>1657</v>
      </c>
      <c r="F116" s="1" t="s">
        <v>2086</v>
      </c>
      <c r="G116" s="8" t="s">
        <v>28</v>
      </c>
      <c r="H116" s="14" t="s">
        <v>28</v>
      </c>
      <c r="I116" s="25" t="s">
        <v>20</v>
      </c>
      <c r="K116" s="1" t="s">
        <v>2087</v>
      </c>
      <c r="L116" s="39" t="s">
        <v>2088</v>
      </c>
    </row>
    <row r="117" spans="1:12" ht="54" customHeight="1">
      <c r="A117" s="1">
        <v>49730</v>
      </c>
      <c r="B117" s="1" t="s">
        <v>2089</v>
      </c>
      <c r="C117" s="1" t="s">
        <v>2090</v>
      </c>
      <c r="D117" s="1" t="s">
        <v>1784</v>
      </c>
      <c r="E117" s="1" t="s">
        <v>1657</v>
      </c>
      <c r="F117" s="1" t="s">
        <v>2091</v>
      </c>
      <c r="G117" s="7" t="s">
        <v>15</v>
      </c>
      <c r="H117" s="14" t="s">
        <v>15</v>
      </c>
      <c r="I117" s="25" t="s">
        <v>20</v>
      </c>
    </row>
    <row r="118" spans="1:12" ht="54" customHeight="1">
      <c r="A118" s="1">
        <v>49731</v>
      </c>
      <c r="B118" s="1" t="s">
        <v>2092</v>
      </c>
      <c r="C118" s="1" t="s">
        <v>2093</v>
      </c>
      <c r="D118" s="1" t="s">
        <v>1784</v>
      </c>
      <c r="E118" s="1" t="s">
        <v>1657</v>
      </c>
      <c r="F118" s="1" t="s">
        <v>2094</v>
      </c>
      <c r="G118" s="7" t="s">
        <v>15</v>
      </c>
      <c r="H118" s="22" t="s">
        <v>15</v>
      </c>
      <c r="I118" s="22" t="s">
        <v>20</v>
      </c>
    </row>
    <row r="119" spans="1:12" ht="54" customHeight="1">
      <c r="A119" s="1">
        <v>49732</v>
      </c>
      <c r="B119" s="1" t="s">
        <v>2095</v>
      </c>
      <c r="C119" s="1" t="s">
        <v>2096</v>
      </c>
      <c r="D119" s="1" t="s">
        <v>1784</v>
      </c>
      <c r="E119" s="1" t="s">
        <v>1657</v>
      </c>
      <c r="F119" s="1" t="s">
        <v>2097</v>
      </c>
      <c r="G119" s="7" t="s">
        <v>15</v>
      </c>
      <c r="H119" s="22" t="s">
        <v>15</v>
      </c>
      <c r="I119" s="22" t="s">
        <v>20</v>
      </c>
    </row>
    <row r="120" spans="1:12" ht="54" customHeight="1">
      <c r="A120" s="1">
        <v>76</v>
      </c>
      <c r="B120" s="1" t="s">
        <v>2098</v>
      </c>
      <c r="C120" s="1" t="s">
        <v>2099</v>
      </c>
      <c r="D120" s="1" t="s">
        <v>1784</v>
      </c>
      <c r="E120" s="1" t="s">
        <v>1657</v>
      </c>
      <c r="F120" s="1" t="s">
        <v>2100</v>
      </c>
      <c r="G120" s="29" t="s">
        <v>223</v>
      </c>
      <c r="H120" s="22" t="s">
        <v>223</v>
      </c>
      <c r="I120" s="22" t="s">
        <v>20</v>
      </c>
    </row>
    <row r="121" spans="1:12" ht="54" customHeight="1">
      <c r="A121" s="1">
        <v>49735</v>
      </c>
      <c r="B121" s="1" t="s">
        <v>2101</v>
      </c>
      <c r="C121" s="1" t="s">
        <v>2102</v>
      </c>
      <c r="D121" s="1" t="s">
        <v>1784</v>
      </c>
      <c r="E121" s="1" t="s">
        <v>1657</v>
      </c>
      <c r="F121" s="1" t="s">
        <v>2103</v>
      </c>
      <c r="G121" s="7" t="s">
        <v>15</v>
      </c>
      <c r="H121" s="22" t="s">
        <v>15</v>
      </c>
    </row>
    <row r="122" spans="1:12" ht="54" customHeight="1">
      <c r="A122" s="1">
        <v>111</v>
      </c>
      <c r="B122" s="1" t="s">
        <v>2104</v>
      </c>
      <c r="C122" s="1" t="s">
        <v>2105</v>
      </c>
      <c r="D122" s="1" t="s">
        <v>1784</v>
      </c>
      <c r="E122" s="1" t="s">
        <v>1657</v>
      </c>
      <c r="F122" s="1" t="s">
        <v>2106</v>
      </c>
      <c r="G122" s="6"/>
    </row>
    <row r="123" spans="1:12" ht="54" customHeight="1">
      <c r="A123" s="1">
        <v>49744</v>
      </c>
      <c r="B123" s="1" t="s">
        <v>2107</v>
      </c>
      <c r="C123" s="1" t="s">
        <v>2108</v>
      </c>
      <c r="D123" s="1" t="s">
        <v>1784</v>
      </c>
      <c r="E123" s="1" t="s">
        <v>1657</v>
      </c>
      <c r="F123" s="1" t="s">
        <v>2109</v>
      </c>
      <c r="G123" s="7" t="s">
        <v>15</v>
      </c>
      <c r="H123" s="14" t="s">
        <v>15</v>
      </c>
      <c r="I123" s="25" t="s">
        <v>20</v>
      </c>
    </row>
    <row r="124" spans="1:12" ht="54" customHeight="1">
      <c r="A124" s="1">
        <v>49749</v>
      </c>
      <c r="B124" s="1" t="s">
        <v>2110</v>
      </c>
      <c r="C124" s="1" t="s">
        <v>2111</v>
      </c>
      <c r="D124" s="1" t="s">
        <v>1784</v>
      </c>
      <c r="E124" s="1" t="s">
        <v>1657</v>
      </c>
      <c r="F124" s="1" t="s">
        <v>2112</v>
      </c>
      <c r="G124" s="7" t="s">
        <v>15</v>
      </c>
      <c r="J124" s="1" t="s">
        <v>2113</v>
      </c>
    </row>
    <row r="125" spans="1:12" ht="54" customHeight="1">
      <c r="A125" s="1">
        <v>49750</v>
      </c>
      <c r="B125" s="1" t="s">
        <v>2114</v>
      </c>
      <c r="C125" s="1" t="s">
        <v>2115</v>
      </c>
      <c r="D125" s="1" t="s">
        <v>1784</v>
      </c>
      <c r="E125" s="1" t="s">
        <v>1657</v>
      </c>
      <c r="F125" s="1" t="s">
        <v>2116</v>
      </c>
      <c r="G125" s="6"/>
    </row>
    <row r="126" spans="1:12" ht="54" customHeight="1">
      <c r="A126" s="1">
        <v>49751</v>
      </c>
      <c r="B126" s="1" t="s">
        <v>2117</v>
      </c>
      <c r="C126" s="1" t="s">
        <v>2118</v>
      </c>
      <c r="D126" s="1" t="s">
        <v>1784</v>
      </c>
      <c r="E126" s="1" t="s">
        <v>1657</v>
      </c>
      <c r="F126" s="1" t="s">
        <v>2119</v>
      </c>
      <c r="G126" s="7" t="s">
        <v>15</v>
      </c>
      <c r="H126" s="14" t="s">
        <v>15</v>
      </c>
      <c r="I126" s="10" t="s">
        <v>20</v>
      </c>
    </row>
    <row r="127" spans="1:12" ht="54" customHeight="1">
      <c r="A127" s="1">
        <v>49754</v>
      </c>
      <c r="B127" s="1" t="s">
        <v>2120</v>
      </c>
      <c r="C127" s="1" t="s">
        <v>2121</v>
      </c>
      <c r="D127" s="1" t="s">
        <v>1784</v>
      </c>
      <c r="E127" s="1" t="s">
        <v>1657</v>
      </c>
      <c r="F127" s="1" t="s">
        <v>2122</v>
      </c>
      <c r="G127" s="6"/>
    </row>
    <row r="128" spans="1:12" ht="54" customHeight="1">
      <c r="A128" s="1">
        <v>176</v>
      </c>
      <c r="B128" s="1" t="s">
        <v>2123</v>
      </c>
      <c r="C128" s="1" t="s">
        <v>2124</v>
      </c>
      <c r="D128" s="1" t="s">
        <v>1784</v>
      </c>
      <c r="E128" s="1" t="s">
        <v>1657</v>
      </c>
      <c r="F128" s="1" t="s">
        <v>2125</v>
      </c>
      <c r="G128" s="7" t="s">
        <v>15</v>
      </c>
      <c r="J128" s="1" t="s">
        <v>2126</v>
      </c>
    </row>
    <row r="129" spans="1:12" ht="54" customHeight="1">
      <c r="A129" s="1">
        <v>49758</v>
      </c>
      <c r="B129" s="1" t="s">
        <v>2127</v>
      </c>
      <c r="C129" s="1" t="s">
        <v>2128</v>
      </c>
      <c r="D129" s="1" t="s">
        <v>1784</v>
      </c>
      <c r="E129" s="1" t="s">
        <v>1657</v>
      </c>
      <c r="F129" s="1" t="s">
        <v>2129</v>
      </c>
      <c r="G129" s="7" t="s">
        <v>2130</v>
      </c>
      <c r="I129" s="24" t="s">
        <v>2131</v>
      </c>
    </row>
    <row r="130" spans="1:12" ht="54" customHeight="1">
      <c r="A130" s="1">
        <v>186</v>
      </c>
      <c r="B130" s="1" t="s">
        <v>2132</v>
      </c>
      <c r="C130" s="1" t="s">
        <v>2133</v>
      </c>
      <c r="D130" s="1" t="s">
        <v>1784</v>
      </c>
      <c r="E130" s="1" t="s">
        <v>1657</v>
      </c>
      <c r="F130" s="1" t="s">
        <v>2134</v>
      </c>
      <c r="G130" s="7" t="s">
        <v>36</v>
      </c>
      <c r="I130" s="24" t="s">
        <v>2135</v>
      </c>
      <c r="J130" s="1" t="s">
        <v>2136</v>
      </c>
      <c r="K130" s="1" t="s">
        <v>2137</v>
      </c>
      <c r="L130" s="39" t="s">
        <v>2138</v>
      </c>
    </row>
    <row r="131" spans="1:12" ht="54" customHeight="1">
      <c r="A131" s="1">
        <v>188</v>
      </c>
      <c r="B131" s="1" t="s">
        <v>2139</v>
      </c>
      <c r="C131" s="1" t="s">
        <v>2140</v>
      </c>
      <c r="D131" s="1" t="s">
        <v>1784</v>
      </c>
      <c r="E131" s="1" t="s">
        <v>1657</v>
      </c>
      <c r="F131" s="1" t="s">
        <v>2141</v>
      </c>
      <c r="G131" s="7" t="s">
        <v>36</v>
      </c>
      <c r="H131" s="22" t="s">
        <v>36</v>
      </c>
      <c r="I131" s="22" t="s">
        <v>20</v>
      </c>
      <c r="J131" s="1" t="s">
        <v>2142</v>
      </c>
    </row>
    <row r="132" spans="1:12" ht="54" customHeight="1">
      <c r="A132" s="1">
        <v>49761</v>
      </c>
      <c r="B132" s="1" t="s">
        <v>2143</v>
      </c>
      <c r="C132" s="1" t="s">
        <v>2144</v>
      </c>
      <c r="D132" s="1" t="s">
        <v>1784</v>
      </c>
      <c r="E132" s="1" t="s">
        <v>1657</v>
      </c>
      <c r="F132" s="1" t="s">
        <v>2145</v>
      </c>
      <c r="G132" s="7" t="s">
        <v>2146</v>
      </c>
      <c r="H132" s="22" t="s">
        <v>2146</v>
      </c>
    </row>
    <row r="133" spans="1:12" ht="54" customHeight="1">
      <c r="A133" s="1">
        <v>204</v>
      </c>
      <c r="B133" s="1" t="s">
        <v>2147</v>
      </c>
      <c r="C133" s="1" t="s">
        <v>2148</v>
      </c>
      <c r="D133" s="1" t="s">
        <v>1784</v>
      </c>
      <c r="E133" s="1" t="s">
        <v>1657</v>
      </c>
      <c r="F133" s="1" t="s">
        <v>2149</v>
      </c>
      <c r="G133" s="29" t="s">
        <v>223</v>
      </c>
      <c r="H133" s="22" t="s">
        <v>223</v>
      </c>
      <c r="I133" s="22" t="s">
        <v>20</v>
      </c>
    </row>
    <row r="134" spans="1:12" ht="54" customHeight="1">
      <c r="A134" s="1">
        <v>316</v>
      </c>
      <c r="B134" s="1" t="s">
        <v>2150</v>
      </c>
      <c r="C134" s="1" t="s">
        <v>2151</v>
      </c>
      <c r="D134" s="1" t="s">
        <v>1784</v>
      </c>
      <c r="E134" s="1" t="s">
        <v>1657</v>
      </c>
      <c r="F134" s="1" t="s">
        <v>2152</v>
      </c>
      <c r="G134" s="7" t="s">
        <v>2153</v>
      </c>
      <c r="H134" s="14" t="s">
        <v>2153</v>
      </c>
      <c r="I134" s="10"/>
    </row>
    <row r="135" spans="1:12" ht="54" customHeight="1">
      <c r="A135" s="1">
        <v>49769</v>
      </c>
      <c r="B135" s="1" t="s">
        <v>2154</v>
      </c>
      <c r="C135" s="1" t="s">
        <v>2155</v>
      </c>
      <c r="D135" s="1" t="s">
        <v>1784</v>
      </c>
      <c r="E135" s="1" t="s">
        <v>1657</v>
      </c>
      <c r="F135" s="1" t="s">
        <v>2156</v>
      </c>
      <c r="G135" s="7" t="s">
        <v>15</v>
      </c>
      <c r="J135" s="1" t="s">
        <v>2157</v>
      </c>
    </row>
    <row r="136" spans="1:12" ht="54" customHeight="1">
      <c r="A136" s="1">
        <v>697</v>
      </c>
      <c r="B136" s="1" t="s">
        <v>2158</v>
      </c>
      <c r="C136" s="1" t="s">
        <v>2159</v>
      </c>
      <c r="D136" s="1" t="s">
        <v>1784</v>
      </c>
      <c r="E136" s="1" t="s">
        <v>1657</v>
      </c>
      <c r="F136" s="1" t="s">
        <v>2160</v>
      </c>
      <c r="G136" s="7" t="s">
        <v>2161</v>
      </c>
      <c r="H136" s="14" t="s">
        <v>2161</v>
      </c>
      <c r="I136" s="25"/>
    </row>
    <row r="137" spans="1:12" ht="54" customHeight="1">
      <c r="A137" s="1">
        <v>49771</v>
      </c>
      <c r="B137" s="1" t="s">
        <v>2162</v>
      </c>
      <c r="C137" s="1" t="s">
        <v>2163</v>
      </c>
      <c r="D137" s="1" t="s">
        <v>1784</v>
      </c>
      <c r="E137" s="1" t="s">
        <v>1657</v>
      </c>
      <c r="F137" s="1" t="s">
        <v>2164</v>
      </c>
      <c r="G137" s="7" t="s">
        <v>15</v>
      </c>
      <c r="H137" s="22" t="s">
        <v>15</v>
      </c>
      <c r="I137" s="22" t="s">
        <v>20</v>
      </c>
    </row>
    <row r="138" spans="1:12" ht="54" customHeight="1">
      <c r="A138" s="1">
        <v>49773</v>
      </c>
      <c r="B138" s="1" t="s">
        <v>2165</v>
      </c>
      <c r="C138" s="1" t="s">
        <v>2166</v>
      </c>
      <c r="D138" s="1" t="s">
        <v>1784</v>
      </c>
      <c r="E138" s="1" t="s">
        <v>1657</v>
      </c>
      <c r="F138" s="1" t="s">
        <v>2167</v>
      </c>
      <c r="G138" s="7" t="s">
        <v>15</v>
      </c>
      <c r="H138" s="14" t="s">
        <v>15</v>
      </c>
      <c r="I138" s="25" t="s">
        <v>20</v>
      </c>
    </row>
    <row r="139" spans="1:12" ht="54" customHeight="1">
      <c r="A139" s="1">
        <v>737</v>
      </c>
      <c r="B139" s="1" t="s">
        <v>2168</v>
      </c>
      <c r="C139" s="1" t="s">
        <v>2169</v>
      </c>
      <c r="D139" s="1" t="s">
        <v>1784</v>
      </c>
      <c r="E139" s="1" t="s">
        <v>1657</v>
      </c>
      <c r="F139" s="1" t="s">
        <v>2170</v>
      </c>
      <c r="G139" s="10" t="s">
        <v>36</v>
      </c>
      <c r="H139" s="14" t="s">
        <v>36</v>
      </c>
      <c r="I139" s="25" t="s">
        <v>20</v>
      </c>
      <c r="K139" s="1" t="s">
        <v>2137</v>
      </c>
      <c r="L139" s="39" t="s">
        <v>2171</v>
      </c>
    </row>
    <row r="140" spans="1:12" ht="54" customHeight="1">
      <c r="A140" s="1">
        <v>49778</v>
      </c>
      <c r="B140" s="1" t="s">
        <v>2172</v>
      </c>
      <c r="C140" s="1" t="s">
        <v>2173</v>
      </c>
      <c r="D140" s="1" t="s">
        <v>1784</v>
      </c>
      <c r="E140" s="1" t="s">
        <v>1657</v>
      </c>
      <c r="F140" s="1" t="s">
        <v>2174</v>
      </c>
      <c r="G140" s="7" t="s">
        <v>15</v>
      </c>
      <c r="H140" s="14" t="s">
        <v>15</v>
      </c>
      <c r="I140" s="25" t="s">
        <v>20</v>
      </c>
      <c r="K140" s="1" t="s">
        <v>1648</v>
      </c>
      <c r="L140" s="39" t="s">
        <v>1659</v>
      </c>
    </row>
    <row r="141" spans="1:12" ht="54" customHeight="1">
      <c r="A141" s="1">
        <v>739</v>
      </c>
      <c r="B141" s="1" t="s">
        <v>2175</v>
      </c>
      <c r="C141" s="1" t="s">
        <v>2176</v>
      </c>
      <c r="D141" s="1" t="s">
        <v>1784</v>
      </c>
      <c r="E141" s="1" t="s">
        <v>1657</v>
      </c>
      <c r="F141" s="1" t="s">
        <v>2177</v>
      </c>
      <c r="G141" s="7" t="s">
        <v>15</v>
      </c>
      <c r="H141" s="14" t="s">
        <v>15</v>
      </c>
      <c r="I141" s="25" t="s">
        <v>20</v>
      </c>
      <c r="K141" s="1" t="s">
        <v>1648</v>
      </c>
      <c r="L141" s="39" t="s">
        <v>1659</v>
      </c>
    </row>
    <row r="142" spans="1:12" ht="54" customHeight="1">
      <c r="A142" s="1">
        <v>49780</v>
      </c>
      <c r="B142" s="1" t="s">
        <v>2178</v>
      </c>
      <c r="C142" s="1" t="s">
        <v>2179</v>
      </c>
      <c r="D142" s="1" t="s">
        <v>1784</v>
      </c>
      <c r="E142" s="1" t="s">
        <v>1657</v>
      </c>
      <c r="F142" s="1" t="s">
        <v>2180</v>
      </c>
      <c r="G142" s="7" t="s">
        <v>15</v>
      </c>
      <c r="H142" s="14" t="s">
        <v>15</v>
      </c>
      <c r="I142" s="25" t="s">
        <v>20</v>
      </c>
      <c r="K142" s="1" t="s">
        <v>1648</v>
      </c>
      <c r="L142" s="39" t="s">
        <v>1659</v>
      </c>
    </row>
    <row r="143" spans="1:12" ht="54" customHeight="1">
      <c r="A143" s="1">
        <v>49781</v>
      </c>
      <c r="B143" s="1" t="s">
        <v>2181</v>
      </c>
      <c r="C143" s="1" t="s">
        <v>2182</v>
      </c>
      <c r="D143" s="1" t="s">
        <v>1784</v>
      </c>
      <c r="E143" s="1" t="s">
        <v>1657</v>
      </c>
      <c r="F143" s="1" t="s">
        <v>2183</v>
      </c>
      <c r="G143" s="7" t="s">
        <v>15</v>
      </c>
      <c r="H143" s="14" t="s">
        <v>15</v>
      </c>
      <c r="I143" s="25" t="s">
        <v>20</v>
      </c>
      <c r="K143" s="1" t="s">
        <v>1648</v>
      </c>
      <c r="L143" s="39" t="s">
        <v>1659</v>
      </c>
    </row>
    <row r="144" spans="1:12" ht="54" customHeight="1">
      <c r="A144" s="1">
        <v>49782</v>
      </c>
      <c r="B144" s="1" t="s">
        <v>2184</v>
      </c>
      <c r="C144" s="1" t="s">
        <v>2185</v>
      </c>
      <c r="D144" s="1" t="s">
        <v>1784</v>
      </c>
      <c r="E144" s="1" t="s">
        <v>1657</v>
      </c>
      <c r="F144" s="1" t="s">
        <v>2186</v>
      </c>
      <c r="G144" s="7" t="s">
        <v>15</v>
      </c>
      <c r="H144" s="14" t="s">
        <v>15</v>
      </c>
      <c r="I144" s="25" t="s">
        <v>20</v>
      </c>
      <c r="K144" s="1" t="s">
        <v>1648</v>
      </c>
      <c r="L144" s="39" t="s">
        <v>1659</v>
      </c>
    </row>
    <row r="145" spans="1:12" ht="54" customHeight="1">
      <c r="A145" s="1">
        <v>62709</v>
      </c>
      <c r="B145" s="1" t="s">
        <v>2187</v>
      </c>
      <c r="C145" s="1" t="s">
        <v>2188</v>
      </c>
      <c r="D145" s="1" t="s">
        <v>1784</v>
      </c>
      <c r="E145" s="1" t="s">
        <v>1657</v>
      </c>
      <c r="F145" s="1" t="s">
        <v>2189</v>
      </c>
      <c r="G145" s="7" t="s">
        <v>2190</v>
      </c>
      <c r="K145" s="1" t="s">
        <v>2087</v>
      </c>
      <c r="L145" s="39" t="s">
        <v>2191</v>
      </c>
    </row>
    <row r="146" spans="1:12" ht="54" customHeight="1">
      <c r="A146" s="1">
        <v>49786</v>
      </c>
      <c r="B146" s="1" t="s">
        <v>2192</v>
      </c>
      <c r="C146" s="1" t="s">
        <v>2193</v>
      </c>
      <c r="D146" s="1" t="s">
        <v>1784</v>
      </c>
      <c r="E146" s="1" t="s">
        <v>1657</v>
      </c>
      <c r="F146" s="1" t="s">
        <v>2194</v>
      </c>
      <c r="G146" s="7" t="s">
        <v>15</v>
      </c>
      <c r="H146" s="22" t="s">
        <v>15</v>
      </c>
      <c r="I146" s="22" t="s">
        <v>20</v>
      </c>
      <c r="K146" s="1" t="s">
        <v>1648</v>
      </c>
      <c r="L146" s="39" t="s">
        <v>1659</v>
      </c>
    </row>
    <row r="147" spans="1:12" ht="54" customHeight="1">
      <c r="A147" s="1">
        <v>461</v>
      </c>
      <c r="B147" s="1">
        <v>461</v>
      </c>
      <c r="C147" s="1" t="s">
        <v>2195</v>
      </c>
      <c r="D147" s="1" t="s">
        <v>1784</v>
      </c>
      <c r="E147" s="1" t="s">
        <v>1657</v>
      </c>
      <c r="F147" s="1" t="s">
        <v>2196</v>
      </c>
      <c r="G147" s="6"/>
    </row>
    <row r="148" spans="1:12" ht="54" customHeight="1">
      <c r="A148" s="1">
        <v>49788</v>
      </c>
      <c r="B148" s="1" t="s">
        <v>2197</v>
      </c>
      <c r="C148" s="1" t="s">
        <v>2198</v>
      </c>
      <c r="D148" s="1" t="s">
        <v>1784</v>
      </c>
      <c r="E148" s="1" t="s">
        <v>1657</v>
      </c>
      <c r="F148" s="1" t="s">
        <v>2199</v>
      </c>
      <c r="G148" s="7" t="s">
        <v>15</v>
      </c>
      <c r="J148" s="1" t="s">
        <v>2200</v>
      </c>
      <c r="K148" s="1" t="s">
        <v>1648</v>
      </c>
      <c r="L148" s="39" t="s">
        <v>1659</v>
      </c>
    </row>
    <row r="149" spans="1:12" ht="54" customHeight="1">
      <c r="A149" s="1">
        <v>49790</v>
      </c>
      <c r="B149" s="1" t="s">
        <v>2201</v>
      </c>
      <c r="C149" s="1" t="s">
        <v>2202</v>
      </c>
      <c r="D149" s="1" t="s">
        <v>1784</v>
      </c>
      <c r="E149" s="1" t="s">
        <v>1657</v>
      </c>
      <c r="F149" s="1" t="s">
        <v>2203</v>
      </c>
      <c r="G149" s="7" t="s">
        <v>15</v>
      </c>
      <c r="J149" s="1" t="s">
        <v>2204</v>
      </c>
      <c r="K149" s="1" t="s">
        <v>1648</v>
      </c>
      <c r="L149" s="39" t="s">
        <v>1659</v>
      </c>
    </row>
    <row r="150" spans="1:12" ht="54" customHeight="1">
      <c r="A150" s="1">
        <v>510</v>
      </c>
      <c r="B150" s="1" t="s">
        <v>2205</v>
      </c>
      <c r="C150" t="s">
        <v>2206</v>
      </c>
      <c r="D150" s="1" t="s">
        <v>1784</v>
      </c>
      <c r="E150" s="1" t="s">
        <v>1657</v>
      </c>
      <c r="F150" s="1" t="s">
        <v>2207</v>
      </c>
      <c r="G150" s="7" t="s">
        <v>235</v>
      </c>
      <c r="J150" s="1" t="s">
        <v>2208</v>
      </c>
    </row>
    <row r="151" spans="1:12" ht="54" customHeight="1">
      <c r="A151" s="1">
        <v>49792</v>
      </c>
      <c r="B151" s="1" t="s">
        <v>2209</v>
      </c>
      <c r="C151" s="1" t="s">
        <v>2210</v>
      </c>
      <c r="D151" s="1" t="s">
        <v>1784</v>
      </c>
      <c r="E151" s="1" t="s">
        <v>1657</v>
      </c>
      <c r="F151" s="1" t="s">
        <v>2211</v>
      </c>
      <c r="G151" s="6"/>
    </row>
    <row r="152" spans="1:12" ht="54" customHeight="1">
      <c r="A152" s="1">
        <v>539</v>
      </c>
      <c r="B152" s="1" t="s">
        <v>2212</v>
      </c>
      <c r="C152" s="1" t="s">
        <v>2213</v>
      </c>
      <c r="D152" s="1" t="s">
        <v>1784</v>
      </c>
      <c r="E152" s="1" t="s">
        <v>1657</v>
      </c>
      <c r="F152" s="1" t="s">
        <v>2214</v>
      </c>
      <c r="G152" s="7" t="s">
        <v>15</v>
      </c>
      <c r="H152" s="14" t="s">
        <v>15</v>
      </c>
      <c r="I152" s="10" t="s">
        <v>20</v>
      </c>
      <c r="K152" s="1" t="s">
        <v>1648</v>
      </c>
      <c r="L152" s="39" t="s">
        <v>1659</v>
      </c>
    </row>
    <row r="153" spans="1:12" ht="54" customHeight="1">
      <c r="A153" s="1">
        <v>49794</v>
      </c>
      <c r="B153" s="1" t="s">
        <v>2215</v>
      </c>
      <c r="C153" s="1" t="s">
        <v>2216</v>
      </c>
      <c r="D153" s="1" t="s">
        <v>1784</v>
      </c>
      <c r="E153" s="1" t="s">
        <v>1657</v>
      </c>
      <c r="F153" s="1" t="s">
        <v>2217</v>
      </c>
      <c r="G153" s="7" t="s">
        <v>15</v>
      </c>
      <c r="J153" s="1" t="s">
        <v>2218</v>
      </c>
    </row>
    <row r="154" spans="1:12" ht="54" customHeight="1">
      <c r="A154" s="1">
        <v>91812</v>
      </c>
      <c r="B154" s="1" t="s">
        <v>2219</v>
      </c>
      <c r="C154" s="1" t="s">
        <v>2220</v>
      </c>
      <c r="D154" s="1" t="s">
        <v>1784</v>
      </c>
      <c r="E154" s="1" t="s">
        <v>2221</v>
      </c>
      <c r="F154" s="1" t="s">
        <v>2222</v>
      </c>
      <c r="G154" s="6"/>
      <c r="K154" s="1" t="s">
        <v>1756</v>
      </c>
      <c r="L154" s="39" t="s">
        <v>1757</v>
      </c>
    </row>
    <row r="155" spans="1:12" ht="54" customHeight="1">
      <c r="A155" s="1">
        <v>92389</v>
      </c>
      <c r="B155" s="1" t="s">
        <v>2223</v>
      </c>
      <c r="C155" s="1" t="s">
        <v>2224</v>
      </c>
      <c r="D155" s="1" t="s">
        <v>1784</v>
      </c>
      <c r="E155" s="1" t="s">
        <v>2225</v>
      </c>
      <c r="F155" s="1" t="s">
        <v>2226</v>
      </c>
      <c r="G155" s="7" t="s">
        <v>38</v>
      </c>
      <c r="H155" s="14" t="s">
        <v>38</v>
      </c>
      <c r="I155" s="25" t="s">
        <v>20</v>
      </c>
      <c r="K155" s="1" t="s">
        <v>1756</v>
      </c>
      <c r="L155" s="46" t="s">
        <v>1809</v>
      </c>
    </row>
    <row r="156" spans="1:12" ht="54" customHeight="1">
      <c r="A156" s="1">
        <v>92391</v>
      </c>
      <c r="B156" s="1" t="s">
        <v>2227</v>
      </c>
      <c r="C156" s="1" t="s">
        <v>2228</v>
      </c>
      <c r="D156" s="1" t="s">
        <v>1784</v>
      </c>
      <c r="E156" s="1" t="s">
        <v>2229</v>
      </c>
      <c r="F156" s="1" t="s">
        <v>2230</v>
      </c>
      <c r="G156" s="7" t="s">
        <v>38</v>
      </c>
      <c r="H156" s="14" t="s">
        <v>38</v>
      </c>
      <c r="I156" s="25" t="s">
        <v>20</v>
      </c>
      <c r="K156" s="1" t="s">
        <v>1756</v>
      </c>
      <c r="L156" s="39" t="s">
        <v>1757</v>
      </c>
    </row>
    <row r="157" spans="1:12" ht="54" customHeight="1">
      <c r="A157" s="1">
        <v>92387</v>
      </c>
      <c r="B157" s="1" t="s">
        <v>2231</v>
      </c>
      <c r="C157" s="1" t="s">
        <v>2232</v>
      </c>
      <c r="D157" s="1" t="s">
        <v>1784</v>
      </c>
      <c r="E157" s="1" t="s">
        <v>2233</v>
      </c>
      <c r="F157" s="1" t="s">
        <v>2234</v>
      </c>
      <c r="G157" s="7" t="s">
        <v>38</v>
      </c>
      <c r="H157" s="14" t="s">
        <v>38</v>
      </c>
      <c r="I157" s="25" t="s">
        <v>20</v>
      </c>
    </row>
    <row r="158" spans="1:12" ht="54" customHeight="1">
      <c r="A158" s="1">
        <v>439</v>
      </c>
      <c r="B158" s="1" t="s">
        <v>2235</v>
      </c>
      <c r="C158" s="1" t="s">
        <v>2236</v>
      </c>
      <c r="D158" s="1" t="s">
        <v>1784</v>
      </c>
      <c r="E158" s="1" t="s">
        <v>1666</v>
      </c>
      <c r="F158" s="1" t="s">
        <v>2237</v>
      </c>
      <c r="G158" s="7" t="s">
        <v>2238</v>
      </c>
      <c r="H158" s="14" t="s">
        <v>2238</v>
      </c>
      <c r="I158" s="10"/>
      <c r="K158" s="1" t="s">
        <v>1669</v>
      </c>
      <c r="L158" s="39" t="s">
        <v>1670</v>
      </c>
    </row>
    <row r="159" spans="1:12" ht="54" customHeight="1">
      <c r="A159" s="1">
        <v>621</v>
      </c>
      <c r="B159" s="1" t="s">
        <v>2239</v>
      </c>
      <c r="C159" s="1" t="s">
        <v>2240</v>
      </c>
      <c r="D159" s="1" t="s">
        <v>1784</v>
      </c>
      <c r="E159" s="1" t="s">
        <v>1673</v>
      </c>
      <c r="F159" s="1" t="s">
        <v>2241</v>
      </c>
      <c r="G159" s="6"/>
    </row>
    <row r="160" spans="1:12" ht="54" customHeight="1">
      <c r="A160" s="1">
        <v>302</v>
      </c>
      <c r="B160" s="1" t="s">
        <v>2242</v>
      </c>
      <c r="C160" s="1" t="s">
        <v>2243</v>
      </c>
      <c r="D160" s="1" t="s">
        <v>1784</v>
      </c>
      <c r="E160" s="1" t="s">
        <v>1673</v>
      </c>
      <c r="F160" s="1" t="s">
        <v>2244</v>
      </c>
      <c r="G160" s="7" t="s">
        <v>2245</v>
      </c>
      <c r="H160" s="7" t="s">
        <v>2245</v>
      </c>
      <c r="J160" s="1" t="s">
        <v>2246</v>
      </c>
    </row>
    <row r="161" spans="1:12" ht="54" customHeight="1">
      <c r="A161" s="1">
        <v>132</v>
      </c>
      <c r="B161" s="1" t="s">
        <v>2247</v>
      </c>
      <c r="C161" s="1" t="s">
        <v>2248</v>
      </c>
      <c r="D161" s="1" t="s">
        <v>1784</v>
      </c>
      <c r="E161" s="1" t="s">
        <v>2249</v>
      </c>
      <c r="F161" s="1" t="s">
        <v>2250</v>
      </c>
      <c r="G161" s="6"/>
      <c r="K161" s="1" t="s">
        <v>2087</v>
      </c>
      <c r="L161" s="39" t="s">
        <v>2251</v>
      </c>
    </row>
    <row r="162" spans="1:12" ht="54" customHeight="1">
      <c r="A162" s="1">
        <v>203</v>
      </c>
      <c r="B162" s="1" t="s">
        <v>2252</v>
      </c>
      <c r="C162" s="1" t="s">
        <v>2253</v>
      </c>
      <c r="D162" s="1" t="s">
        <v>1784</v>
      </c>
      <c r="E162" s="1" t="s">
        <v>2254</v>
      </c>
      <c r="F162" s="1" t="s">
        <v>2255</v>
      </c>
      <c r="G162" s="6"/>
    </row>
    <row r="163" spans="1:12" ht="54" customHeight="1">
      <c r="A163" s="1">
        <v>450</v>
      </c>
      <c r="B163" s="1" t="s">
        <v>2256</v>
      </c>
      <c r="C163" s="1" t="s">
        <v>2257</v>
      </c>
      <c r="D163" s="1" t="s">
        <v>1784</v>
      </c>
      <c r="E163" s="1" t="s">
        <v>2258</v>
      </c>
      <c r="F163" s="1" t="s">
        <v>2259</v>
      </c>
      <c r="G163" s="7" t="s">
        <v>38</v>
      </c>
      <c r="H163" s="7" t="s">
        <v>38</v>
      </c>
      <c r="K163" s="1" t="s">
        <v>1756</v>
      </c>
      <c r="L163" s="39" t="s">
        <v>1809</v>
      </c>
    </row>
    <row r="164" spans="1:12" ht="54" customHeight="1">
      <c r="A164" s="1">
        <v>704</v>
      </c>
      <c r="B164" s="1" t="s">
        <v>2260</v>
      </c>
      <c r="C164" s="1" t="s">
        <v>2261</v>
      </c>
      <c r="D164" s="1" t="s">
        <v>1784</v>
      </c>
      <c r="E164" s="1" t="s">
        <v>2262</v>
      </c>
      <c r="F164" s="1" t="s">
        <v>2263</v>
      </c>
      <c r="G164" s="6"/>
    </row>
    <row r="165" spans="1:12" ht="54" customHeight="1">
      <c r="A165" s="1">
        <v>194</v>
      </c>
      <c r="B165" s="1" t="s">
        <v>2264</v>
      </c>
      <c r="C165" s="1" t="s">
        <v>2265</v>
      </c>
      <c r="D165" s="1" t="s">
        <v>1784</v>
      </c>
      <c r="E165" s="1" t="s">
        <v>2266</v>
      </c>
      <c r="F165" s="1" t="s">
        <v>2267</v>
      </c>
      <c r="G165" s="7" t="s">
        <v>2268</v>
      </c>
      <c r="H165" s="22" t="s">
        <v>2268</v>
      </c>
      <c r="K165" s="42"/>
      <c r="L165" s="43"/>
    </row>
    <row r="166" spans="1:12" ht="54" customHeight="1">
      <c r="A166" s="1">
        <v>275</v>
      </c>
      <c r="B166" s="1" t="s">
        <v>2269</v>
      </c>
      <c r="C166" s="1" t="s">
        <v>2270</v>
      </c>
      <c r="D166" s="1" t="s">
        <v>1784</v>
      </c>
      <c r="E166" s="1" t="s">
        <v>2266</v>
      </c>
      <c r="F166" s="1" t="s">
        <v>2271</v>
      </c>
      <c r="G166" s="6"/>
      <c r="K166" s="1" t="s">
        <v>1756</v>
      </c>
      <c r="L166" s="39" t="s">
        <v>1757</v>
      </c>
    </row>
    <row r="167" spans="1:12" ht="54" customHeight="1">
      <c r="A167" s="1">
        <v>93218</v>
      </c>
      <c r="B167" s="1" t="s">
        <v>2272</v>
      </c>
      <c r="C167" s="1" t="s">
        <v>2273</v>
      </c>
      <c r="D167" s="1" t="s">
        <v>1784</v>
      </c>
      <c r="E167" s="1" t="s">
        <v>1753</v>
      </c>
      <c r="F167" s="1" t="s">
        <v>2274</v>
      </c>
      <c r="G167" s="6"/>
      <c r="J167" s="1" t="s">
        <v>2275</v>
      </c>
      <c r="K167" s="1" t="s">
        <v>1756</v>
      </c>
      <c r="L167" s="39" t="s">
        <v>1809</v>
      </c>
    </row>
    <row r="168" spans="1:12" ht="54" customHeight="1">
      <c r="A168" s="1">
        <v>63093</v>
      </c>
      <c r="B168" s="1" t="s">
        <v>2276</v>
      </c>
      <c r="C168" s="9" t="s">
        <v>2277</v>
      </c>
      <c r="D168" s="1" t="s">
        <v>1784</v>
      </c>
      <c r="E168" s="1" t="s">
        <v>1753</v>
      </c>
      <c r="F168" s="1" t="s">
        <v>2278</v>
      </c>
      <c r="G168" s="7" t="s">
        <v>38</v>
      </c>
      <c r="H168" s="14" t="s">
        <v>38</v>
      </c>
      <c r="I168" s="14" t="s">
        <v>20</v>
      </c>
      <c r="J168" s="1" t="s">
        <v>1703</v>
      </c>
      <c r="K168" s="1" t="s">
        <v>1756</v>
      </c>
      <c r="L168" s="39" t="s">
        <v>1809</v>
      </c>
    </row>
    <row r="169" spans="1:12" ht="54" customHeight="1">
      <c r="A169" s="1">
        <v>51508</v>
      </c>
      <c r="B169" s="1" t="s">
        <v>2279</v>
      </c>
      <c r="C169" s="1" t="s">
        <v>2280</v>
      </c>
      <c r="D169" s="1" t="s">
        <v>1784</v>
      </c>
      <c r="E169" s="1" t="s">
        <v>1753</v>
      </c>
      <c r="F169" s="1" t="s">
        <v>2281</v>
      </c>
      <c r="G169" s="7" t="s">
        <v>2282</v>
      </c>
      <c r="H169" s="14" t="s">
        <v>2282</v>
      </c>
      <c r="I169" s="14"/>
      <c r="J169" s="1" t="s">
        <v>1703</v>
      </c>
      <c r="K169" s="1" t="s">
        <v>2137</v>
      </c>
      <c r="L169" s="39" t="s">
        <v>2283</v>
      </c>
    </row>
    <row r="170" spans="1:12" ht="54" customHeight="1">
      <c r="A170" s="1">
        <v>92384</v>
      </c>
      <c r="B170" s="1" t="s">
        <v>2284</v>
      </c>
      <c r="C170" s="1" t="s">
        <v>2285</v>
      </c>
      <c r="D170" s="1" t="s">
        <v>1784</v>
      </c>
      <c r="E170" s="1" t="s">
        <v>1753</v>
      </c>
      <c r="F170" s="1" t="s">
        <v>2286</v>
      </c>
      <c r="G170" s="7" t="s">
        <v>38</v>
      </c>
      <c r="H170" s="14" t="s">
        <v>38</v>
      </c>
      <c r="I170" s="14" t="s">
        <v>20</v>
      </c>
      <c r="J170" s="1" t="s">
        <v>1703</v>
      </c>
      <c r="K170" s="1" t="s">
        <v>1756</v>
      </c>
      <c r="L170" s="39" t="s">
        <v>1809</v>
      </c>
    </row>
    <row r="171" spans="1:12" ht="54" customHeight="1">
      <c r="A171" s="1">
        <v>45</v>
      </c>
      <c r="B171" s="1" t="s">
        <v>2287</v>
      </c>
      <c r="C171" s="1" t="s">
        <v>2288</v>
      </c>
      <c r="D171" s="1" t="s">
        <v>1784</v>
      </c>
      <c r="E171" s="1" t="s">
        <v>1753</v>
      </c>
      <c r="F171" s="1" t="s">
        <v>2289</v>
      </c>
      <c r="G171" s="7" t="s">
        <v>2290</v>
      </c>
      <c r="H171" s="14" t="s">
        <v>2290</v>
      </c>
      <c r="I171" s="25"/>
      <c r="K171" s="1" t="s">
        <v>1756</v>
      </c>
      <c r="L171" s="39" t="s">
        <v>1757</v>
      </c>
    </row>
    <row r="172" spans="1:12" ht="54" customHeight="1">
      <c r="A172" s="1">
        <v>92385</v>
      </c>
      <c r="B172" s="1" t="s">
        <v>2291</v>
      </c>
      <c r="C172" s="1" t="s">
        <v>2292</v>
      </c>
      <c r="D172" s="1" t="s">
        <v>1784</v>
      </c>
      <c r="E172" s="1" t="s">
        <v>1753</v>
      </c>
      <c r="F172" s="1" t="s">
        <v>2293</v>
      </c>
      <c r="G172" s="7" t="s">
        <v>38</v>
      </c>
      <c r="H172" s="22" t="s">
        <v>38</v>
      </c>
      <c r="K172" s="1" t="s">
        <v>1756</v>
      </c>
      <c r="L172" s="39" t="s">
        <v>1809</v>
      </c>
    </row>
    <row r="173" spans="1:12" ht="54" customHeight="1">
      <c r="A173" s="1">
        <v>158</v>
      </c>
      <c r="B173" s="1" t="s">
        <v>2294</v>
      </c>
      <c r="C173" s="1" t="s">
        <v>2295</v>
      </c>
      <c r="D173" s="1" t="s">
        <v>1784</v>
      </c>
      <c r="E173" s="1" t="s">
        <v>1753</v>
      </c>
      <c r="F173" s="1" t="s">
        <v>2296</v>
      </c>
      <c r="G173" s="7" t="s">
        <v>2297</v>
      </c>
      <c r="H173" s="22" t="s">
        <v>2297</v>
      </c>
      <c r="K173" s="1" t="s">
        <v>1756</v>
      </c>
      <c r="L173" s="39" t="s">
        <v>1757</v>
      </c>
    </row>
    <row r="174" spans="1:12" ht="54" customHeight="1">
      <c r="A174" s="1">
        <v>92386</v>
      </c>
      <c r="B174" s="1" t="s">
        <v>2298</v>
      </c>
      <c r="C174" s="1" t="s">
        <v>2299</v>
      </c>
      <c r="D174" s="1" t="s">
        <v>1784</v>
      </c>
      <c r="E174" s="1" t="s">
        <v>1753</v>
      </c>
      <c r="F174" s="1" t="s">
        <v>2300</v>
      </c>
      <c r="G174" s="7" t="s">
        <v>38</v>
      </c>
      <c r="H174" s="14" t="s">
        <v>38</v>
      </c>
      <c r="I174" s="25" t="s">
        <v>20</v>
      </c>
      <c r="K174" s="1" t="s">
        <v>1756</v>
      </c>
      <c r="L174" s="39" t="s">
        <v>1809</v>
      </c>
    </row>
    <row r="175" spans="1:12" ht="54" customHeight="1">
      <c r="A175" s="1">
        <v>168</v>
      </c>
      <c r="B175" s="1" t="s">
        <v>2301</v>
      </c>
      <c r="C175" s="1" t="s">
        <v>2302</v>
      </c>
      <c r="D175" s="1" t="s">
        <v>1784</v>
      </c>
      <c r="E175" s="1" t="s">
        <v>1753</v>
      </c>
      <c r="F175" s="1" t="s">
        <v>2303</v>
      </c>
      <c r="G175" s="7" t="s">
        <v>2304</v>
      </c>
      <c r="J175" s="1" t="s">
        <v>2305</v>
      </c>
      <c r="K175" s="1" t="s">
        <v>1669</v>
      </c>
      <c r="L175" s="39" t="s">
        <v>2306</v>
      </c>
    </row>
    <row r="176" spans="1:12" ht="54" customHeight="1">
      <c r="A176" s="1">
        <v>200</v>
      </c>
      <c r="B176" s="1" t="s">
        <v>2307</v>
      </c>
      <c r="C176" s="9" t="s">
        <v>2308</v>
      </c>
      <c r="D176" s="1" t="s">
        <v>1784</v>
      </c>
      <c r="E176" s="1" t="s">
        <v>1753</v>
      </c>
      <c r="F176" s="1" t="s">
        <v>2309</v>
      </c>
      <c r="G176" s="7" t="s">
        <v>2310</v>
      </c>
      <c r="H176" s="22" t="s">
        <v>2310</v>
      </c>
      <c r="J176" s="1" t="s">
        <v>2311</v>
      </c>
      <c r="K176" s="1" t="s">
        <v>1756</v>
      </c>
      <c r="L176" s="39" t="s">
        <v>1757</v>
      </c>
    </row>
    <row r="177" spans="1:12" ht="54" customHeight="1">
      <c r="A177" s="1">
        <v>225</v>
      </c>
      <c r="B177" s="1" t="s">
        <v>2312</v>
      </c>
      <c r="C177" s="1" t="s">
        <v>2313</v>
      </c>
      <c r="D177" s="1" t="s">
        <v>1784</v>
      </c>
      <c r="E177" s="1" t="s">
        <v>1753</v>
      </c>
      <c r="F177" s="1" t="s">
        <v>2314</v>
      </c>
      <c r="G177" s="7" t="s">
        <v>2315</v>
      </c>
      <c r="H177" s="22" t="s">
        <v>2315</v>
      </c>
      <c r="J177" s="54" t="s">
        <v>2316</v>
      </c>
      <c r="K177" s="1" t="s">
        <v>1756</v>
      </c>
      <c r="L177" s="39" t="s">
        <v>1757</v>
      </c>
    </row>
    <row r="178" spans="1:12" ht="54" customHeight="1">
      <c r="A178" s="1">
        <v>260</v>
      </c>
      <c r="B178" s="1" t="s">
        <v>2317</v>
      </c>
      <c r="C178" s="1" t="s">
        <v>2318</v>
      </c>
      <c r="D178" s="1" t="s">
        <v>1784</v>
      </c>
      <c r="E178" s="1" t="s">
        <v>1753</v>
      </c>
      <c r="F178" s="1" t="s">
        <v>2319</v>
      </c>
      <c r="G178" s="6"/>
      <c r="K178" s="1" t="s">
        <v>1756</v>
      </c>
      <c r="L178" s="39" t="s">
        <v>1757</v>
      </c>
    </row>
    <row r="179" spans="1:12" ht="54" customHeight="1">
      <c r="A179" s="1">
        <v>276</v>
      </c>
      <c r="B179" s="1" t="s">
        <v>2320</v>
      </c>
      <c r="C179" s="1" t="s">
        <v>2321</v>
      </c>
      <c r="D179" s="1" t="s">
        <v>1784</v>
      </c>
      <c r="E179" s="1" t="s">
        <v>1753</v>
      </c>
      <c r="F179" s="1" t="s">
        <v>2322</v>
      </c>
      <c r="G179" s="7" t="s">
        <v>2297</v>
      </c>
      <c r="H179" s="22" t="s">
        <v>2297</v>
      </c>
      <c r="J179" s="1" t="s">
        <v>2323</v>
      </c>
      <c r="K179" s="1" t="s">
        <v>1756</v>
      </c>
      <c r="L179" s="39" t="s">
        <v>1757</v>
      </c>
    </row>
    <row r="180" spans="1:12" ht="54" customHeight="1">
      <c r="A180" s="1">
        <v>92388</v>
      </c>
      <c r="B180" s="1" t="s">
        <v>2324</v>
      </c>
      <c r="C180" s="1" t="s">
        <v>2325</v>
      </c>
      <c r="D180" s="1" t="s">
        <v>1784</v>
      </c>
      <c r="E180" s="1" t="s">
        <v>1753</v>
      </c>
      <c r="F180" s="1" t="s">
        <v>2326</v>
      </c>
      <c r="G180" s="7" t="s">
        <v>38</v>
      </c>
      <c r="H180" s="14" t="s">
        <v>38</v>
      </c>
      <c r="I180" s="25" t="s">
        <v>20</v>
      </c>
      <c r="K180" s="1" t="s">
        <v>1756</v>
      </c>
      <c r="L180" s="39" t="s">
        <v>1757</v>
      </c>
    </row>
    <row r="181" spans="1:12" ht="54" customHeight="1">
      <c r="A181" s="1">
        <v>303</v>
      </c>
      <c r="B181" s="1" t="s">
        <v>2327</v>
      </c>
      <c r="C181" s="1" t="s">
        <v>2328</v>
      </c>
      <c r="D181" s="1" t="s">
        <v>1784</v>
      </c>
      <c r="E181" s="1" t="s">
        <v>1753</v>
      </c>
      <c r="F181" s="1" t="s">
        <v>2329</v>
      </c>
      <c r="G181" s="7" t="s">
        <v>2304</v>
      </c>
      <c r="H181" s="7" t="s">
        <v>2304</v>
      </c>
      <c r="K181" s="1" t="s">
        <v>1756</v>
      </c>
      <c r="L181" s="39" t="s">
        <v>1757</v>
      </c>
    </row>
    <row r="182" spans="1:12" ht="54" customHeight="1">
      <c r="A182" s="1">
        <v>359</v>
      </c>
      <c r="B182" s="1" t="s">
        <v>2330</v>
      </c>
      <c r="C182" s="1" t="s">
        <v>2331</v>
      </c>
      <c r="D182" s="1" t="s">
        <v>1784</v>
      </c>
      <c r="E182" s="1" t="s">
        <v>1753</v>
      </c>
      <c r="F182" s="1" t="s">
        <v>2332</v>
      </c>
      <c r="G182" s="7" t="s">
        <v>2333</v>
      </c>
      <c r="H182" s="14" t="s">
        <v>2333</v>
      </c>
      <c r="I182" s="25"/>
      <c r="K182" s="1" t="s">
        <v>1756</v>
      </c>
      <c r="L182" s="39" t="s">
        <v>1757</v>
      </c>
    </row>
    <row r="183" spans="1:12" ht="54" customHeight="1">
      <c r="A183" s="1">
        <v>868</v>
      </c>
      <c r="B183" s="1" t="s">
        <v>2334</v>
      </c>
      <c r="C183" s="1" t="s">
        <v>2335</v>
      </c>
      <c r="D183" s="1" t="s">
        <v>1784</v>
      </c>
      <c r="E183" s="1" t="s">
        <v>1753</v>
      </c>
      <c r="F183" s="1" t="s">
        <v>2336</v>
      </c>
      <c r="G183" s="6" t="s">
        <v>2337</v>
      </c>
      <c r="J183" s="1" t="s">
        <v>2338</v>
      </c>
      <c r="K183" s="1" t="s">
        <v>1756</v>
      </c>
      <c r="L183" s="39" t="s">
        <v>1757</v>
      </c>
    </row>
    <row r="184" spans="1:12" ht="54" customHeight="1">
      <c r="A184" s="1">
        <v>24</v>
      </c>
      <c r="B184" s="1" t="s">
        <v>2339</v>
      </c>
      <c r="C184" s="1" t="s">
        <v>2340</v>
      </c>
      <c r="D184" s="1" t="s">
        <v>1784</v>
      </c>
      <c r="E184" s="1" t="s">
        <v>1680</v>
      </c>
      <c r="F184" s="1" t="s">
        <v>2341</v>
      </c>
      <c r="G184" s="7" t="s">
        <v>2342</v>
      </c>
      <c r="H184" s="22" t="s">
        <v>2342</v>
      </c>
      <c r="I184" s="22" t="s">
        <v>20</v>
      </c>
      <c r="J184" s="1" t="s">
        <v>2343</v>
      </c>
      <c r="K184" s="1" t="s">
        <v>1682</v>
      </c>
      <c r="L184" s="39" t="s">
        <v>2344</v>
      </c>
    </row>
    <row r="185" spans="1:12" ht="54" customHeight="1">
      <c r="A185" s="1">
        <v>623</v>
      </c>
      <c r="B185" s="1" t="s">
        <v>2345</v>
      </c>
      <c r="C185" s="1" t="s">
        <v>2346</v>
      </c>
      <c r="D185" s="1" t="s">
        <v>1784</v>
      </c>
      <c r="E185" s="1" t="s">
        <v>1680</v>
      </c>
      <c r="F185" s="1" t="s">
        <v>2347</v>
      </c>
      <c r="G185" s="7" t="s">
        <v>2342</v>
      </c>
      <c r="H185" s="14" t="s">
        <v>2342</v>
      </c>
      <c r="I185" s="25" t="s">
        <v>20</v>
      </c>
      <c r="K185" s="1" t="s">
        <v>1682</v>
      </c>
      <c r="L185" s="39" t="s">
        <v>2344</v>
      </c>
    </row>
    <row r="186" spans="1:12" ht="54" customHeight="1">
      <c r="A186" s="1">
        <v>624</v>
      </c>
      <c r="B186" s="1" t="s">
        <v>2348</v>
      </c>
      <c r="C186" s="1" t="s">
        <v>2349</v>
      </c>
      <c r="D186" s="1" t="s">
        <v>1784</v>
      </c>
      <c r="E186" s="1" t="s">
        <v>1680</v>
      </c>
      <c r="F186" s="1" t="s">
        <v>2350</v>
      </c>
      <c r="G186" s="7" t="s">
        <v>2342</v>
      </c>
      <c r="H186" s="14" t="s">
        <v>2342</v>
      </c>
      <c r="I186" s="25" t="s">
        <v>20</v>
      </c>
      <c r="K186" s="1" t="s">
        <v>1682</v>
      </c>
      <c r="L186" s="39" t="s">
        <v>2344</v>
      </c>
    </row>
    <row r="187" spans="1:12" ht="54" customHeight="1">
      <c r="A187" s="1">
        <v>142</v>
      </c>
      <c r="B187" s="1" t="s">
        <v>2351</v>
      </c>
      <c r="C187" s="1" t="s">
        <v>2352</v>
      </c>
      <c r="D187" s="1" t="s">
        <v>1784</v>
      </c>
      <c r="E187" s="1" t="s">
        <v>1680</v>
      </c>
      <c r="F187" s="1" t="s">
        <v>2353</v>
      </c>
      <c r="G187" s="7" t="s">
        <v>25</v>
      </c>
      <c r="H187" s="14" t="s">
        <v>25</v>
      </c>
      <c r="I187" s="10" t="s">
        <v>20</v>
      </c>
      <c r="K187" s="1" t="s">
        <v>1682</v>
      </c>
      <c r="L187" s="39" t="s">
        <v>1683</v>
      </c>
    </row>
    <row r="188" spans="1:12" ht="54" customHeight="1">
      <c r="A188" s="1">
        <v>178</v>
      </c>
      <c r="B188" s="1" t="s">
        <v>2354</v>
      </c>
      <c r="C188" s="1" t="s">
        <v>2355</v>
      </c>
      <c r="D188" s="1" t="s">
        <v>1784</v>
      </c>
      <c r="E188" s="1" t="s">
        <v>1680</v>
      </c>
      <c r="F188" s="1" t="s">
        <v>2356</v>
      </c>
      <c r="G188" s="7" t="s">
        <v>25</v>
      </c>
      <c r="H188" s="22" t="s">
        <v>2357</v>
      </c>
      <c r="J188" s="1" t="s">
        <v>2358</v>
      </c>
      <c r="K188" s="1" t="s">
        <v>1682</v>
      </c>
      <c r="L188" s="39" t="s">
        <v>1683</v>
      </c>
    </row>
    <row r="189" spans="1:12" ht="54" customHeight="1">
      <c r="A189" s="1">
        <v>185</v>
      </c>
      <c r="B189" s="1" t="s">
        <v>2359</v>
      </c>
      <c r="C189" s="1" t="s">
        <v>2360</v>
      </c>
      <c r="D189" s="1" t="s">
        <v>1784</v>
      </c>
      <c r="E189" s="1" t="s">
        <v>1680</v>
      </c>
      <c r="F189" s="1" t="s">
        <v>2361</v>
      </c>
      <c r="G189" s="7" t="s">
        <v>25</v>
      </c>
      <c r="H189" s="22" t="s">
        <v>25</v>
      </c>
      <c r="I189" s="22" t="s">
        <v>20</v>
      </c>
      <c r="K189" s="1" t="s">
        <v>1682</v>
      </c>
      <c r="L189" s="39" t="s">
        <v>1683</v>
      </c>
    </row>
    <row r="190" spans="1:12" ht="54" customHeight="1">
      <c r="A190" s="1">
        <v>317</v>
      </c>
      <c r="B190" s="1" t="s">
        <v>2362</v>
      </c>
      <c r="C190" s="1" t="s">
        <v>2363</v>
      </c>
      <c r="D190" s="1" t="s">
        <v>1784</v>
      </c>
      <c r="E190" s="1" t="s">
        <v>1680</v>
      </c>
      <c r="F190" s="1" t="s">
        <v>2364</v>
      </c>
      <c r="G190" s="14" t="s">
        <v>2365</v>
      </c>
      <c r="H190" s="14"/>
      <c r="I190" s="25"/>
      <c r="J190" s="1" t="s">
        <v>2366</v>
      </c>
      <c r="K190" s="1" t="s">
        <v>1682</v>
      </c>
      <c r="L190" s="39" t="s">
        <v>2344</v>
      </c>
    </row>
    <row r="191" spans="1:12" ht="54" customHeight="1">
      <c r="A191" s="1">
        <v>319</v>
      </c>
      <c r="B191" s="1" t="s">
        <v>2367</v>
      </c>
      <c r="C191" s="1" t="s">
        <v>2368</v>
      </c>
      <c r="D191" s="1" t="s">
        <v>1784</v>
      </c>
      <c r="E191" s="1" t="s">
        <v>1680</v>
      </c>
      <c r="F191" s="1" t="s">
        <v>2369</v>
      </c>
      <c r="G191" s="7" t="s">
        <v>25</v>
      </c>
      <c r="J191" s="1" t="s">
        <v>2370</v>
      </c>
      <c r="K191" s="1" t="s">
        <v>1682</v>
      </c>
      <c r="L191" s="39" t="s">
        <v>1683</v>
      </c>
    </row>
    <row r="192" spans="1:12" ht="54" customHeight="1">
      <c r="A192" s="1">
        <v>352</v>
      </c>
      <c r="B192" s="1" t="s">
        <v>2371</v>
      </c>
      <c r="C192" s="1" t="s">
        <v>2372</v>
      </c>
      <c r="D192" s="1" t="s">
        <v>1784</v>
      </c>
      <c r="E192" s="1" t="s">
        <v>1680</v>
      </c>
      <c r="F192" s="1" t="s">
        <v>2373</v>
      </c>
      <c r="G192" s="7" t="s">
        <v>25</v>
      </c>
      <c r="H192" s="22" t="s">
        <v>25</v>
      </c>
      <c r="I192" s="37"/>
      <c r="J192" s="56" t="s">
        <v>2374</v>
      </c>
      <c r="K192" s="1" t="s">
        <v>1682</v>
      </c>
      <c r="L192" s="39" t="s">
        <v>1683</v>
      </c>
    </row>
    <row r="193" spans="1:12" ht="54" customHeight="1">
      <c r="A193" s="1">
        <v>355</v>
      </c>
      <c r="B193" s="1" t="s">
        <v>2375</v>
      </c>
      <c r="C193" s="1" t="s">
        <v>2376</v>
      </c>
      <c r="D193" s="1" t="s">
        <v>1784</v>
      </c>
      <c r="E193" s="1" t="s">
        <v>1680</v>
      </c>
      <c r="F193" s="1" t="s">
        <v>2377</v>
      </c>
      <c r="G193" s="7" t="s">
        <v>2365</v>
      </c>
      <c r="H193" s="22"/>
      <c r="J193" s="54" t="s">
        <v>2378</v>
      </c>
      <c r="K193" s="1" t="s">
        <v>2137</v>
      </c>
      <c r="L193" s="39" t="s">
        <v>2379</v>
      </c>
    </row>
    <row r="194" spans="1:12" ht="54" customHeight="1">
      <c r="A194" s="1">
        <v>387</v>
      </c>
      <c r="B194" s="1" t="s">
        <v>2380</v>
      </c>
      <c r="C194" s="1" t="s">
        <v>2381</v>
      </c>
      <c r="D194" s="1" t="s">
        <v>1784</v>
      </c>
      <c r="E194" s="1" t="s">
        <v>1680</v>
      </c>
      <c r="F194" s="1" t="s">
        <v>2382</v>
      </c>
      <c r="G194" s="7" t="s">
        <v>2365</v>
      </c>
      <c r="H194" s="14" t="s">
        <v>2365</v>
      </c>
      <c r="I194" s="25" t="s">
        <v>20</v>
      </c>
      <c r="K194" s="1" t="s">
        <v>1682</v>
      </c>
      <c r="L194" s="39" t="s">
        <v>2383</v>
      </c>
    </row>
    <row r="195" spans="1:12" ht="54" customHeight="1">
      <c r="A195" s="1">
        <v>394</v>
      </c>
      <c r="B195" s="1" t="s">
        <v>2384</v>
      </c>
      <c r="C195" s="1" t="s">
        <v>2385</v>
      </c>
      <c r="D195" s="1" t="s">
        <v>1784</v>
      </c>
      <c r="E195" s="1" t="s">
        <v>1680</v>
      </c>
      <c r="F195" s="1" t="s">
        <v>2386</v>
      </c>
      <c r="G195" s="7" t="s">
        <v>25</v>
      </c>
      <c r="H195" s="14" t="s">
        <v>25</v>
      </c>
      <c r="I195" s="25" t="s">
        <v>20</v>
      </c>
      <c r="K195" s="1" t="s">
        <v>1682</v>
      </c>
      <c r="L195" s="39" t="s">
        <v>1683</v>
      </c>
    </row>
    <row r="196" spans="1:12" ht="54" customHeight="1">
      <c r="A196" s="1">
        <v>492</v>
      </c>
      <c r="B196" s="1" t="s">
        <v>2387</v>
      </c>
      <c r="C196" s="1" t="s">
        <v>2388</v>
      </c>
      <c r="D196" s="1" t="s">
        <v>1784</v>
      </c>
      <c r="E196" s="1" t="s">
        <v>1680</v>
      </c>
      <c r="F196" s="1" t="s">
        <v>2389</v>
      </c>
      <c r="G196" s="7" t="s">
        <v>25</v>
      </c>
      <c r="H196" s="22" t="s">
        <v>2357</v>
      </c>
      <c r="J196" s="1" t="s">
        <v>2390</v>
      </c>
      <c r="K196" s="40" t="s">
        <v>1682</v>
      </c>
      <c r="L196" s="41" t="s">
        <v>2391</v>
      </c>
    </row>
    <row r="197" spans="1:12" ht="54" customHeight="1">
      <c r="A197" s="1">
        <v>501</v>
      </c>
      <c r="B197" s="1" t="s">
        <v>2392</v>
      </c>
      <c r="C197" s="1" t="s">
        <v>2393</v>
      </c>
      <c r="D197" s="1" t="s">
        <v>1784</v>
      </c>
      <c r="E197" s="1" t="s">
        <v>1680</v>
      </c>
      <c r="F197" s="1" t="s">
        <v>2394</v>
      </c>
      <c r="G197" s="30" t="s">
        <v>25</v>
      </c>
      <c r="H197" s="7" t="s">
        <v>25</v>
      </c>
      <c r="J197" s="52" t="s">
        <v>2395</v>
      </c>
      <c r="K197" s="1" t="s">
        <v>1682</v>
      </c>
      <c r="L197" s="39" t="s">
        <v>1683</v>
      </c>
    </row>
    <row r="198" spans="1:12" ht="54" customHeight="1">
      <c r="A198" s="1">
        <v>848</v>
      </c>
      <c r="B198" s="1" t="s">
        <v>2396</v>
      </c>
      <c r="C198" s="1" t="s">
        <v>2397</v>
      </c>
      <c r="D198" s="1" t="s">
        <v>1784</v>
      </c>
      <c r="F198" s="1" t="s">
        <v>2398</v>
      </c>
      <c r="G198" s="7" t="s">
        <v>223</v>
      </c>
      <c r="H198" s="14" t="s">
        <v>223</v>
      </c>
      <c r="I198" s="10" t="s">
        <v>20</v>
      </c>
    </row>
    <row r="199" spans="1:12" ht="54" customHeight="1">
      <c r="A199" s="1">
        <v>818</v>
      </c>
      <c r="B199" s="1" t="s">
        <v>2399</v>
      </c>
      <c r="C199" s="1" t="s">
        <v>2400</v>
      </c>
      <c r="D199" s="1" t="s">
        <v>2401</v>
      </c>
      <c r="E199" s="1" t="s">
        <v>2402</v>
      </c>
      <c r="F199" s="1" t="s">
        <v>2403</v>
      </c>
      <c r="G199" s="8" t="s">
        <v>2404</v>
      </c>
      <c r="H199" s="14" t="s">
        <v>2404</v>
      </c>
      <c r="I199" s="25"/>
      <c r="J199" s="1" t="s">
        <v>2405</v>
      </c>
    </row>
    <row r="200" spans="1:12" ht="54" customHeight="1">
      <c r="A200" s="1">
        <v>594</v>
      </c>
      <c r="B200" s="1" t="s">
        <v>2406</v>
      </c>
      <c r="C200" s="1" t="s">
        <v>2407</v>
      </c>
      <c r="D200" s="1" t="s">
        <v>2408</v>
      </c>
      <c r="E200" s="1" t="s">
        <v>1673</v>
      </c>
      <c r="F200" s="1" t="s">
        <v>2409</v>
      </c>
      <c r="G200" s="7" t="s">
        <v>2410</v>
      </c>
      <c r="J200" s="1" t="s">
        <v>2411</v>
      </c>
    </row>
    <row r="201" spans="1:12" ht="54" customHeight="1">
      <c r="A201" s="1">
        <v>595</v>
      </c>
      <c r="B201" s="1" t="s">
        <v>2412</v>
      </c>
      <c r="C201" s="1" t="s">
        <v>2413</v>
      </c>
      <c r="D201" s="1" t="s">
        <v>2408</v>
      </c>
      <c r="E201" s="1" t="s">
        <v>1673</v>
      </c>
      <c r="F201" s="1" t="s">
        <v>2414</v>
      </c>
      <c r="G201" s="7" t="s">
        <v>2415</v>
      </c>
    </row>
    <row r="202" spans="1:12" ht="54" customHeight="1">
      <c r="A202" s="1">
        <v>597</v>
      </c>
      <c r="B202" s="1" t="s">
        <v>2416</v>
      </c>
      <c r="C202" s="1" t="s">
        <v>2417</v>
      </c>
      <c r="D202" s="1" t="s">
        <v>2408</v>
      </c>
      <c r="E202" s="1" t="s">
        <v>1673</v>
      </c>
      <c r="F202" s="1" t="s">
        <v>2418</v>
      </c>
      <c r="G202" s="6"/>
    </row>
    <row r="203" spans="1:12" ht="54" customHeight="1">
      <c r="A203" s="1">
        <v>605</v>
      </c>
      <c r="B203" s="1" t="s">
        <v>2419</v>
      </c>
      <c r="C203" s="1" t="s">
        <v>2420</v>
      </c>
      <c r="D203" s="1" t="s">
        <v>2408</v>
      </c>
      <c r="E203" s="1" t="s">
        <v>1673</v>
      </c>
      <c r="F203" s="1" t="s">
        <v>2421</v>
      </c>
      <c r="G203" s="6"/>
    </row>
    <row r="204" spans="1:12" ht="54" customHeight="1">
      <c r="A204" s="1">
        <v>246</v>
      </c>
      <c r="B204" s="1" t="s">
        <v>2422</v>
      </c>
      <c r="C204" s="1" t="s">
        <v>2423</v>
      </c>
      <c r="D204" s="1" t="s">
        <v>2408</v>
      </c>
      <c r="E204" s="1" t="s">
        <v>1673</v>
      </c>
      <c r="F204" s="1" t="s">
        <v>2424</v>
      </c>
      <c r="G204" s="31" t="s">
        <v>2425</v>
      </c>
    </row>
    <row r="205" spans="1:12" ht="54" customHeight="1">
      <c r="A205" s="1">
        <v>783</v>
      </c>
      <c r="B205" s="1" t="s">
        <v>2426</v>
      </c>
      <c r="C205" s="1" t="s">
        <v>2427</v>
      </c>
      <c r="D205" s="1" t="s">
        <v>2408</v>
      </c>
      <c r="E205" s="1" t="s">
        <v>1673</v>
      </c>
      <c r="F205" s="1" t="s">
        <v>2428</v>
      </c>
      <c r="G205" s="6"/>
    </row>
    <row r="206" spans="1:12" ht="54" customHeight="1">
      <c r="A206" s="1">
        <v>339</v>
      </c>
      <c r="B206" s="1" t="s">
        <v>2429</v>
      </c>
      <c r="C206" s="1" t="s">
        <v>2430</v>
      </c>
      <c r="D206" s="1" t="s">
        <v>2431</v>
      </c>
      <c r="E206" s="1" t="s">
        <v>1653</v>
      </c>
      <c r="F206" s="1" t="s">
        <v>2432</v>
      </c>
      <c r="G206" s="7" t="s">
        <v>2433</v>
      </c>
      <c r="H206" s="7" t="s">
        <v>2433</v>
      </c>
      <c r="J206" s="1" t="s">
        <v>2434</v>
      </c>
      <c r="K206" s="1" t="s">
        <v>1648</v>
      </c>
      <c r="L206" s="39" t="s">
        <v>1704</v>
      </c>
    </row>
    <row r="207" spans="1:12" ht="54" customHeight="1">
      <c r="A207" s="1">
        <v>812</v>
      </c>
      <c r="B207" s="1" t="s">
        <v>2435</v>
      </c>
      <c r="C207" s="1" t="s">
        <v>2436</v>
      </c>
      <c r="D207" s="1" t="s">
        <v>2437</v>
      </c>
      <c r="E207" s="1" t="s">
        <v>1753</v>
      </c>
      <c r="F207" s="1" t="s">
        <v>2438</v>
      </c>
      <c r="G207" s="7" t="s">
        <v>87</v>
      </c>
    </row>
    <row r="208" spans="1:12" ht="54" customHeight="1">
      <c r="A208" s="1">
        <v>58457</v>
      </c>
      <c r="B208" s="1" t="s">
        <v>2439</v>
      </c>
      <c r="C208" s="1" t="s">
        <v>2440</v>
      </c>
      <c r="D208" s="1" t="s">
        <v>2441</v>
      </c>
      <c r="E208" s="1" t="s">
        <v>1657</v>
      </c>
      <c r="F208" s="1" t="s">
        <v>2442</v>
      </c>
      <c r="G208" s="7" t="s">
        <v>2443</v>
      </c>
      <c r="H208" s="14" t="s">
        <v>2443</v>
      </c>
      <c r="I208" s="10" t="s">
        <v>20</v>
      </c>
    </row>
    <row r="209" spans="1:12" ht="54" customHeight="1">
      <c r="A209" s="1">
        <v>579</v>
      </c>
      <c r="B209" s="1" t="s">
        <v>2444</v>
      </c>
      <c r="C209" s="1" t="s">
        <v>2445</v>
      </c>
      <c r="D209" s="1" t="s">
        <v>2446</v>
      </c>
      <c r="E209" s="1" t="s">
        <v>1653</v>
      </c>
      <c r="F209" s="1" t="s">
        <v>2447</v>
      </c>
      <c r="G209" s="7" t="s">
        <v>2448</v>
      </c>
      <c r="H209" s="22" t="s">
        <v>2448</v>
      </c>
      <c r="I209" s="22"/>
      <c r="K209" s="1" t="s">
        <v>1648</v>
      </c>
      <c r="L209" s="39" t="s">
        <v>1704</v>
      </c>
    </row>
    <row r="210" spans="1:12" ht="54" customHeight="1">
      <c r="A210" s="1">
        <v>278</v>
      </c>
      <c r="B210" s="1" t="s">
        <v>2449</v>
      </c>
      <c r="C210" s="1" t="s">
        <v>2450</v>
      </c>
      <c r="D210" s="1" t="s">
        <v>2446</v>
      </c>
      <c r="E210" s="1" t="s">
        <v>1653</v>
      </c>
      <c r="F210" s="1" t="s">
        <v>2451</v>
      </c>
      <c r="G210" s="7" t="s">
        <v>2452</v>
      </c>
      <c r="H210" s="14" t="s">
        <v>2452</v>
      </c>
      <c r="I210" s="10"/>
      <c r="K210" s="1" t="s">
        <v>1756</v>
      </c>
      <c r="L210" s="50" t="s">
        <v>1757</v>
      </c>
    </row>
    <row r="211" spans="1:12" ht="54" customHeight="1">
      <c r="A211" s="1">
        <v>327</v>
      </c>
      <c r="B211" s="1" t="s">
        <v>2453</v>
      </c>
      <c r="C211" s="1" t="s">
        <v>2454</v>
      </c>
      <c r="D211" s="1" t="s">
        <v>2446</v>
      </c>
      <c r="E211" s="1" t="s">
        <v>1653</v>
      </c>
      <c r="F211" s="1" t="s">
        <v>2455</v>
      </c>
      <c r="G211" s="7" t="s">
        <v>92</v>
      </c>
      <c r="H211" s="14" t="s">
        <v>92</v>
      </c>
      <c r="I211" s="25" t="s">
        <v>20</v>
      </c>
    </row>
    <row r="212" spans="1:12" ht="54" customHeight="1">
      <c r="A212" s="1">
        <v>347</v>
      </c>
      <c r="B212" s="1" t="s">
        <v>2456</v>
      </c>
      <c r="C212" s="1" t="s">
        <v>2457</v>
      </c>
      <c r="D212" s="1" t="s">
        <v>2446</v>
      </c>
      <c r="E212" s="1" t="s">
        <v>1653</v>
      </c>
      <c r="F212" s="1" t="s">
        <v>2458</v>
      </c>
      <c r="G212" s="6"/>
      <c r="K212" s="1" t="s">
        <v>1648</v>
      </c>
      <c r="L212" s="39" t="s">
        <v>1704</v>
      </c>
    </row>
    <row r="213" spans="1:12" ht="54" customHeight="1">
      <c r="A213" s="1">
        <v>443</v>
      </c>
      <c r="B213" s="1" t="s">
        <v>2459</v>
      </c>
      <c r="C213" s="1" t="s">
        <v>2460</v>
      </c>
      <c r="D213" s="1" t="s">
        <v>2446</v>
      </c>
      <c r="E213" s="1" t="s">
        <v>1653</v>
      </c>
      <c r="F213" s="1" t="s">
        <v>2461</v>
      </c>
      <c r="G213" s="7" t="s">
        <v>92</v>
      </c>
      <c r="H213" s="14" t="s">
        <v>92</v>
      </c>
      <c r="I213" s="10" t="s">
        <v>20</v>
      </c>
      <c r="J213" s="1" t="s">
        <v>1966</v>
      </c>
      <c r="K213" s="1" t="s">
        <v>1648</v>
      </c>
      <c r="L213" s="39" t="s">
        <v>1704</v>
      </c>
    </row>
    <row r="214" spans="1:12" ht="54" customHeight="1">
      <c r="A214" s="1">
        <v>484</v>
      </c>
      <c r="B214" s="1" t="s">
        <v>2462</v>
      </c>
      <c r="C214" s="1" t="s">
        <v>2463</v>
      </c>
      <c r="D214" s="1" t="s">
        <v>2446</v>
      </c>
      <c r="E214" s="1" t="s">
        <v>1653</v>
      </c>
      <c r="F214" s="1" t="s">
        <v>2464</v>
      </c>
      <c r="G214" s="7" t="s">
        <v>2465</v>
      </c>
      <c r="H214" s="14" t="s">
        <v>2465</v>
      </c>
      <c r="I214" s="14"/>
      <c r="K214" s="1" t="s">
        <v>2087</v>
      </c>
      <c r="L214" s="39" t="s">
        <v>2466</v>
      </c>
    </row>
    <row r="215" spans="1:12" ht="54" customHeight="1">
      <c r="A215" s="1">
        <v>819</v>
      </c>
      <c r="B215" s="1" t="s">
        <v>1226</v>
      </c>
      <c r="C215" s="1" t="s">
        <v>2467</v>
      </c>
      <c r="D215" s="1" t="s">
        <v>2446</v>
      </c>
      <c r="E215" s="1" t="s">
        <v>1653</v>
      </c>
      <c r="F215" s="1" t="s">
        <v>2468</v>
      </c>
      <c r="G215" s="7" t="s">
        <v>2469</v>
      </c>
      <c r="H215" s="14" t="s">
        <v>2469</v>
      </c>
      <c r="I215" s="14"/>
      <c r="K215" s="1" t="s">
        <v>1648</v>
      </c>
      <c r="L215" s="39" t="s">
        <v>1704</v>
      </c>
    </row>
    <row r="216" spans="1:12" ht="54" customHeight="1">
      <c r="A216" s="1">
        <v>809</v>
      </c>
      <c r="B216" s="1" t="s">
        <v>2470</v>
      </c>
      <c r="C216" s="1" t="s">
        <v>2471</v>
      </c>
      <c r="D216" s="1" t="s">
        <v>2446</v>
      </c>
      <c r="E216" s="1" t="s">
        <v>1710</v>
      </c>
      <c r="F216" s="1" t="s">
        <v>2472</v>
      </c>
      <c r="G216" s="6"/>
    </row>
    <row r="217" spans="1:12" ht="54" customHeight="1">
      <c r="A217" s="1">
        <v>49755</v>
      </c>
      <c r="B217" s="1" t="s">
        <v>2473</v>
      </c>
      <c r="C217" s="1" t="s">
        <v>2474</v>
      </c>
      <c r="D217" s="1" t="s">
        <v>2446</v>
      </c>
      <c r="E217" s="1" t="s">
        <v>2068</v>
      </c>
      <c r="F217" s="1" t="s">
        <v>2475</v>
      </c>
      <c r="G217" s="6" t="s">
        <v>2476</v>
      </c>
      <c r="J217" s="1" t="s">
        <v>2477</v>
      </c>
      <c r="K217" s="1" t="s">
        <v>1756</v>
      </c>
      <c r="L217" s="46" t="s">
        <v>1757</v>
      </c>
    </row>
    <row r="218" spans="1:12" ht="54" customHeight="1">
      <c r="A218" s="1">
        <v>49756</v>
      </c>
      <c r="B218" s="1" t="s">
        <v>2478</v>
      </c>
      <c r="C218" s="1" t="s">
        <v>2479</v>
      </c>
      <c r="D218" s="1" t="s">
        <v>2446</v>
      </c>
      <c r="E218" s="1" t="s">
        <v>2068</v>
      </c>
      <c r="F218" s="1" t="s">
        <v>2480</v>
      </c>
      <c r="G218" s="6"/>
      <c r="K218" s="1" t="s">
        <v>1648</v>
      </c>
      <c r="L218" s="39" t="s">
        <v>1659</v>
      </c>
    </row>
    <row r="219" spans="1:12" ht="54" customHeight="1">
      <c r="A219" s="1">
        <v>49726</v>
      </c>
      <c r="B219" s="1" t="s">
        <v>2481</v>
      </c>
      <c r="C219" s="1" t="s">
        <v>2482</v>
      </c>
      <c r="D219" s="1" t="s">
        <v>2446</v>
      </c>
      <c r="E219" s="1" t="s">
        <v>1657</v>
      </c>
      <c r="F219" s="1" t="s">
        <v>2483</v>
      </c>
      <c r="G219" s="7" t="s">
        <v>2484</v>
      </c>
      <c r="H219" s="14" t="s">
        <v>2484</v>
      </c>
      <c r="I219" s="14"/>
      <c r="J219" s="1" t="s">
        <v>1703</v>
      </c>
    </row>
    <row r="220" spans="1:12" ht="54" customHeight="1">
      <c r="A220" s="1">
        <v>49762</v>
      </c>
      <c r="B220" s="1" t="s">
        <v>2485</v>
      </c>
      <c r="C220" s="1" t="s">
        <v>2486</v>
      </c>
      <c r="D220" s="1" t="s">
        <v>2446</v>
      </c>
      <c r="E220" s="1" t="s">
        <v>1657</v>
      </c>
      <c r="F220" s="1" t="s">
        <v>2487</v>
      </c>
      <c r="G220" s="31"/>
    </row>
    <row r="221" spans="1:12" ht="54" customHeight="1">
      <c r="A221" s="1">
        <v>49776</v>
      </c>
      <c r="B221" s="1" t="s">
        <v>2488</v>
      </c>
      <c r="C221" s="1" t="s">
        <v>2489</v>
      </c>
      <c r="D221" s="1" t="s">
        <v>2446</v>
      </c>
      <c r="E221" s="1" t="s">
        <v>1657</v>
      </c>
      <c r="F221" s="1" t="s">
        <v>2490</v>
      </c>
      <c r="G221" s="7" t="s">
        <v>15</v>
      </c>
      <c r="H221" s="14" t="s">
        <v>15</v>
      </c>
      <c r="I221" s="25" t="s">
        <v>20</v>
      </c>
    </row>
    <row r="222" spans="1:12" ht="54" customHeight="1">
      <c r="A222" s="1">
        <v>645</v>
      </c>
      <c r="B222" s="1" t="s">
        <v>2491</v>
      </c>
      <c r="C222" s="1" t="s">
        <v>2492</v>
      </c>
      <c r="D222" s="1" t="s">
        <v>2446</v>
      </c>
      <c r="E222" s="1" t="s">
        <v>1673</v>
      </c>
      <c r="F222" s="1" t="s">
        <v>2493</v>
      </c>
      <c r="G222" s="7" t="s">
        <v>2494</v>
      </c>
      <c r="H222" s="14" t="s">
        <v>2494</v>
      </c>
      <c r="I222" s="10"/>
    </row>
    <row r="223" spans="1:12" ht="54" customHeight="1">
      <c r="A223" s="1">
        <v>810</v>
      </c>
      <c r="B223" s="1" t="s">
        <v>2495</v>
      </c>
      <c r="C223" s="1" t="s">
        <v>2496</v>
      </c>
      <c r="D223" s="1" t="s">
        <v>2446</v>
      </c>
      <c r="E223" s="1" t="s">
        <v>1673</v>
      </c>
      <c r="F223" s="1" t="s">
        <v>2497</v>
      </c>
      <c r="G223" s="6"/>
    </row>
    <row r="224" spans="1:12" ht="54" customHeight="1">
      <c r="A224" s="1">
        <v>861</v>
      </c>
      <c r="B224" s="1" t="s">
        <v>2498</v>
      </c>
      <c r="C224" s="1" t="s">
        <v>2499</v>
      </c>
      <c r="D224" s="1" t="s">
        <v>2446</v>
      </c>
      <c r="E224" s="1" t="s">
        <v>1673</v>
      </c>
      <c r="F224" s="1" t="s">
        <v>2500</v>
      </c>
      <c r="G224" s="7" t="s">
        <v>2501</v>
      </c>
    </row>
    <row r="225" spans="1:13" ht="54" customHeight="1">
      <c r="A225" s="1">
        <v>63079</v>
      </c>
      <c r="B225" s="1" t="s">
        <v>2502</v>
      </c>
      <c r="C225" s="1" t="s">
        <v>2503</v>
      </c>
      <c r="D225" s="1" t="s">
        <v>2446</v>
      </c>
      <c r="E225" s="1" t="s">
        <v>1753</v>
      </c>
      <c r="F225" s="1" t="s">
        <v>2504</v>
      </c>
      <c r="G225" s="6"/>
      <c r="K225" s="1" t="s">
        <v>2505</v>
      </c>
      <c r="L225" s="39" t="s">
        <v>2506</v>
      </c>
    </row>
    <row r="226" spans="1:13" ht="54" customHeight="1">
      <c r="A226" s="1">
        <v>50863</v>
      </c>
      <c r="B226" s="1" t="s">
        <v>2507</v>
      </c>
      <c r="C226" s="1" t="s">
        <v>2508</v>
      </c>
      <c r="D226" s="1" t="s">
        <v>2446</v>
      </c>
      <c r="E226" s="1" t="s">
        <v>1753</v>
      </c>
      <c r="F226" s="1" t="s">
        <v>2509</v>
      </c>
      <c r="G226" s="7" t="s">
        <v>2510</v>
      </c>
      <c r="H226" s="22" t="s">
        <v>2510</v>
      </c>
      <c r="J226" s="1" t="s">
        <v>2511</v>
      </c>
      <c r="K226" s="1" t="s">
        <v>2137</v>
      </c>
      <c r="L226" s="39" t="s">
        <v>2512</v>
      </c>
      <c r="M226" s="9" t="s">
        <v>2510</v>
      </c>
    </row>
    <row r="227" spans="1:13" ht="54" customHeight="1">
      <c r="A227" s="1">
        <v>62232</v>
      </c>
      <c r="B227" s="1" t="s">
        <v>2513</v>
      </c>
      <c r="C227" s="1" t="s">
        <v>2514</v>
      </c>
      <c r="D227" s="1" t="s">
        <v>2446</v>
      </c>
      <c r="E227" s="1" t="s">
        <v>1753</v>
      </c>
      <c r="F227" s="1" t="s">
        <v>2515</v>
      </c>
      <c r="G227" s="7" t="s">
        <v>1538</v>
      </c>
      <c r="J227" s="1" t="s">
        <v>2516</v>
      </c>
    </row>
    <row r="228" spans="1:13" ht="54" customHeight="1">
      <c r="A228" s="1">
        <v>341</v>
      </c>
      <c r="B228" s="1" t="s">
        <v>2517</v>
      </c>
      <c r="C228" s="1" t="s">
        <v>2518</v>
      </c>
      <c r="D228" s="1" t="s">
        <v>2446</v>
      </c>
      <c r="E228" s="1" t="s">
        <v>1753</v>
      </c>
      <c r="F228" s="1" t="s">
        <v>2519</v>
      </c>
      <c r="G228" s="7" t="s">
        <v>87</v>
      </c>
    </row>
    <row r="229" spans="1:13" ht="54" customHeight="1">
      <c r="A229" s="1">
        <v>735</v>
      </c>
      <c r="B229" s="1" t="s">
        <v>2520</v>
      </c>
      <c r="C229" s="1" t="s">
        <v>2521</v>
      </c>
      <c r="D229" s="1" t="s">
        <v>2446</v>
      </c>
      <c r="E229" s="1" t="s">
        <v>1753</v>
      </c>
      <c r="F229" s="1" t="s">
        <v>2522</v>
      </c>
      <c r="G229" s="7" t="s">
        <v>2523</v>
      </c>
      <c r="H229" s="14" t="s">
        <v>2523</v>
      </c>
      <c r="I229" s="25"/>
      <c r="K229" s="1" t="s">
        <v>1756</v>
      </c>
      <c r="L229" s="39" t="s">
        <v>2524</v>
      </c>
    </row>
    <row r="230" spans="1:13" ht="54" customHeight="1">
      <c r="A230" s="1">
        <v>62235</v>
      </c>
      <c r="B230" s="1" t="s">
        <v>2525</v>
      </c>
      <c r="C230" s="1" t="s">
        <v>2526</v>
      </c>
      <c r="D230" s="1" t="s">
        <v>2446</v>
      </c>
      <c r="E230" s="1" t="s">
        <v>1753</v>
      </c>
      <c r="F230" s="1" t="s">
        <v>2527</v>
      </c>
      <c r="G230" s="7" t="s">
        <v>1530</v>
      </c>
      <c r="J230" s="1" t="s">
        <v>2528</v>
      </c>
    </row>
    <row r="231" spans="1:13" ht="54" customHeight="1">
      <c r="A231" s="1">
        <v>475</v>
      </c>
      <c r="B231" s="1" t="s">
        <v>2529</v>
      </c>
      <c r="C231" s="1" t="s">
        <v>2530</v>
      </c>
      <c r="D231" s="1" t="s">
        <v>2446</v>
      </c>
      <c r="E231" s="1" t="s">
        <v>1753</v>
      </c>
      <c r="F231" s="1" t="s">
        <v>2531</v>
      </c>
      <c r="G231" s="6"/>
    </row>
    <row r="232" spans="1:13" ht="54" customHeight="1">
      <c r="A232" s="1">
        <v>480</v>
      </c>
      <c r="B232" s="1" t="s">
        <v>2532</v>
      </c>
      <c r="C232" s="1" t="s">
        <v>2533</v>
      </c>
      <c r="D232" s="1" t="s">
        <v>2446</v>
      </c>
      <c r="E232" s="1" t="s">
        <v>1753</v>
      </c>
      <c r="F232" s="1" t="s">
        <v>2534</v>
      </c>
      <c r="G232" s="7" t="s">
        <v>102</v>
      </c>
      <c r="H232" s="22" t="s">
        <v>102</v>
      </c>
    </row>
    <row r="233" spans="1:13" ht="54" customHeight="1">
      <c r="A233" s="1">
        <v>817</v>
      </c>
      <c r="B233" s="1" t="s">
        <v>2535</v>
      </c>
      <c r="C233" s="1" t="s">
        <v>2536</v>
      </c>
      <c r="D233" s="1" t="s">
        <v>2446</v>
      </c>
      <c r="E233" s="1" t="s">
        <v>1753</v>
      </c>
      <c r="F233" s="1" t="s">
        <v>2537</v>
      </c>
      <c r="G233" s="7" t="s">
        <v>87</v>
      </c>
      <c r="H233" s="7" t="s">
        <v>87</v>
      </c>
      <c r="J233" s="1" t="s">
        <v>2538</v>
      </c>
    </row>
    <row r="234" spans="1:13" ht="54" customHeight="1">
      <c r="A234" s="1">
        <v>471</v>
      </c>
      <c r="B234" s="1" t="s">
        <v>2539</v>
      </c>
      <c r="C234" s="1" t="s">
        <v>2540</v>
      </c>
      <c r="D234" s="1" t="s">
        <v>2446</v>
      </c>
      <c r="E234" s="1" t="s">
        <v>2541</v>
      </c>
      <c r="F234" s="1" t="s">
        <v>2542</v>
      </c>
      <c r="G234" s="7" t="s">
        <v>25</v>
      </c>
      <c r="J234" s="1" t="s">
        <v>2543</v>
      </c>
      <c r="K234" s="1" t="s">
        <v>1682</v>
      </c>
      <c r="L234" s="39" t="s">
        <v>2344</v>
      </c>
    </row>
    <row r="235" spans="1:13" ht="54" customHeight="1">
      <c r="A235" s="1">
        <v>470</v>
      </c>
      <c r="B235" s="1" t="s">
        <v>2544</v>
      </c>
      <c r="C235" s="1" t="s">
        <v>2545</v>
      </c>
      <c r="D235" s="1" t="s">
        <v>2546</v>
      </c>
      <c r="E235" s="1" t="s">
        <v>1653</v>
      </c>
      <c r="F235" s="1" t="s">
        <v>2547</v>
      </c>
      <c r="G235" s="7" t="s">
        <v>92</v>
      </c>
      <c r="H235" s="14" t="s">
        <v>92</v>
      </c>
      <c r="I235" s="14" t="s">
        <v>20</v>
      </c>
      <c r="J235" s="1" t="s">
        <v>2548</v>
      </c>
      <c r="K235" s="1" t="s">
        <v>1648</v>
      </c>
      <c r="L235" s="39" t="s">
        <v>1704</v>
      </c>
    </row>
    <row r="236" spans="1:13" ht="54" customHeight="1">
      <c r="A236" s="1">
        <v>481</v>
      </c>
      <c r="B236" s="1" t="s">
        <v>2549</v>
      </c>
      <c r="C236" s="1" t="s">
        <v>2550</v>
      </c>
      <c r="D236" s="1" t="s">
        <v>2546</v>
      </c>
      <c r="E236" s="1" t="s">
        <v>1653</v>
      </c>
      <c r="F236" s="1" t="s">
        <v>2551</v>
      </c>
      <c r="G236" s="7" t="s">
        <v>2552</v>
      </c>
      <c r="J236" s="1" t="s">
        <v>2553</v>
      </c>
      <c r="K236" s="1" t="s">
        <v>1648</v>
      </c>
      <c r="L236" s="39" t="s">
        <v>1704</v>
      </c>
    </row>
    <row r="237" spans="1:13" ht="54" customHeight="1">
      <c r="A237" s="1">
        <v>488</v>
      </c>
      <c r="B237" s="1" t="s">
        <v>2554</v>
      </c>
      <c r="C237" s="1" t="s">
        <v>2555</v>
      </c>
      <c r="D237" s="1" t="s">
        <v>2546</v>
      </c>
      <c r="E237" s="1" t="s">
        <v>1653</v>
      </c>
      <c r="F237" s="1" t="s">
        <v>2556</v>
      </c>
      <c r="G237" s="7" t="s">
        <v>2557</v>
      </c>
      <c r="H237" s="14" t="s">
        <v>2557</v>
      </c>
    </row>
    <row r="238" spans="1:13" ht="54" customHeight="1">
      <c r="A238" s="1">
        <v>483</v>
      </c>
      <c r="B238" s="1" t="s">
        <v>2558</v>
      </c>
      <c r="C238" s="1" t="s">
        <v>2559</v>
      </c>
      <c r="D238" s="1" t="s">
        <v>2546</v>
      </c>
      <c r="E238" s="1" t="s">
        <v>2560</v>
      </c>
      <c r="F238" s="1" t="s">
        <v>2561</v>
      </c>
      <c r="G238" s="7" t="s">
        <v>2465</v>
      </c>
      <c r="H238" s="14" t="s">
        <v>2465</v>
      </c>
      <c r="I238" s="14"/>
      <c r="K238" s="1" t="s">
        <v>2137</v>
      </c>
      <c r="L238" s="39" t="s">
        <v>2506</v>
      </c>
    </row>
    <row r="239" spans="1:13" ht="54" customHeight="1">
      <c r="A239" s="1">
        <v>665</v>
      </c>
      <c r="B239" s="1" t="s">
        <v>2562</v>
      </c>
      <c r="C239" s="1" t="s">
        <v>2563</v>
      </c>
      <c r="D239" s="1" t="s">
        <v>2564</v>
      </c>
      <c r="E239" s="1" t="s">
        <v>1673</v>
      </c>
      <c r="F239" s="1" t="s">
        <v>2565</v>
      </c>
      <c r="G239" s="7" t="s">
        <v>2566</v>
      </c>
      <c r="H239" s="22" t="s">
        <v>2566</v>
      </c>
      <c r="L239" s="39" t="s">
        <v>2567</v>
      </c>
    </row>
    <row r="240" spans="1:13" ht="54" customHeight="1">
      <c r="A240" s="1">
        <v>559</v>
      </c>
      <c r="B240" s="1" t="s">
        <v>2568</v>
      </c>
      <c r="C240" s="1" t="s">
        <v>2569</v>
      </c>
      <c r="D240" s="1" t="s">
        <v>2570</v>
      </c>
      <c r="E240" s="1" t="s">
        <v>1653</v>
      </c>
      <c r="F240" s="1" t="s">
        <v>2571</v>
      </c>
      <c r="G240" s="7" t="s">
        <v>2572</v>
      </c>
      <c r="H240" s="14" t="s">
        <v>2572</v>
      </c>
    </row>
    <row r="241" spans="1:12" ht="54" customHeight="1">
      <c r="A241" s="1">
        <v>577</v>
      </c>
      <c r="B241" s="1" t="s">
        <v>2573</v>
      </c>
      <c r="C241" s="1" t="s">
        <v>2574</v>
      </c>
      <c r="D241" s="1" t="s">
        <v>2570</v>
      </c>
      <c r="E241" s="1" t="s">
        <v>1653</v>
      </c>
      <c r="F241" s="1" t="s">
        <v>2575</v>
      </c>
      <c r="G241" s="7"/>
      <c r="J241" s="1" t="s">
        <v>2576</v>
      </c>
    </row>
    <row r="242" spans="1:12" ht="54" customHeight="1">
      <c r="A242" s="1">
        <v>580</v>
      </c>
      <c r="B242" s="1" t="s">
        <v>2577</v>
      </c>
      <c r="C242" s="9" t="s">
        <v>2578</v>
      </c>
      <c r="D242" s="1" t="s">
        <v>2570</v>
      </c>
      <c r="E242" s="1" t="s">
        <v>1653</v>
      </c>
      <c r="F242" s="1" t="s">
        <v>2579</v>
      </c>
      <c r="G242" s="6" t="s">
        <v>1807</v>
      </c>
      <c r="J242" s="1" t="s">
        <v>2580</v>
      </c>
    </row>
    <row r="243" spans="1:12" ht="54" customHeight="1">
      <c r="A243" s="1">
        <v>27</v>
      </c>
      <c r="B243" s="1" t="s">
        <v>2581</v>
      </c>
      <c r="C243" s="1" t="s">
        <v>2582</v>
      </c>
      <c r="D243" s="1" t="s">
        <v>2570</v>
      </c>
      <c r="E243" s="1" t="s">
        <v>1653</v>
      </c>
      <c r="F243" s="1" t="s">
        <v>2583</v>
      </c>
      <c r="G243" s="8" t="s">
        <v>2584</v>
      </c>
      <c r="H243" s="14" t="s">
        <v>2584</v>
      </c>
      <c r="I243" s="25"/>
    </row>
    <row r="244" spans="1:12" ht="54" customHeight="1">
      <c r="A244" s="1">
        <v>33</v>
      </c>
      <c r="B244" s="1" t="s">
        <v>2585</v>
      </c>
      <c r="C244" s="1" t="s">
        <v>2586</v>
      </c>
      <c r="D244" s="1" t="s">
        <v>2570</v>
      </c>
      <c r="E244" s="1" t="s">
        <v>1653</v>
      </c>
      <c r="F244" s="1" t="s">
        <v>2587</v>
      </c>
      <c r="G244" s="7" t="s">
        <v>2588</v>
      </c>
      <c r="H244" s="22" t="s">
        <v>2588</v>
      </c>
      <c r="I244" s="22" t="s">
        <v>20</v>
      </c>
      <c r="K244" s="1" t="s">
        <v>1648</v>
      </c>
      <c r="L244" s="39" t="s">
        <v>1704</v>
      </c>
    </row>
    <row r="245" spans="1:12" ht="54" customHeight="1">
      <c r="A245" s="1">
        <v>104</v>
      </c>
      <c r="B245" s="1" t="s">
        <v>2589</v>
      </c>
      <c r="C245" s="1" t="s">
        <v>2590</v>
      </c>
      <c r="D245" s="1" t="s">
        <v>2570</v>
      </c>
      <c r="E245" s="1" t="s">
        <v>1653</v>
      </c>
      <c r="F245" s="1" t="s">
        <v>2591</v>
      </c>
      <c r="G245" s="7" t="s">
        <v>54</v>
      </c>
      <c r="H245" s="14" t="s">
        <v>54</v>
      </c>
      <c r="I245" s="25"/>
      <c r="K245" s="1" t="s">
        <v>1648</v>
      </c>
      <c r="L245" s="39" t="s">
        <v>1704</v>
      </c>
    </row>
    <row r="246" spans="1:12" ht="54" customHeight="1">
      <c r="A246" s="1">
        <v>126</v>
      </c>
      <c r="B246" s="1" t="s">
        <v>2592</v>
      </c>
      <c r="C246" s="1" t="s">
        <v>2593</v>
      </c>
      <c r="D246" s="1" t="s">
        <v>2570</v>
      </c>
      <c r="E246" s="1" t="s">
        <v>1653</v>
      </c>
      <c r="F246" s="1" t="s">
        <v>2594</v>
      </c>
      <c r="G246" s="7" t="s">
        <v>2595</v>
      </c>
      <c r="H246" s="14" t="s">
        <v>2595</v>
      </c>
      <c r="I246" s="10" t="s">
        <v>20</v>
      </c>
    </row>
    <row r="247" spans="1:12" ht="54" customHeight="1">
      <c r="A247" s="1">
        <v>646</v>
      </c>
      <c r="B247" s="1" t="s">
        <v>2596</v>
      </c>
      <c r="C247" s="1" t="s">
        <v>2597</v>
      </c>
      <c r="D247" s="1" t="s">
        <v>2570</v>
      </c>
      <c r="E247" s="1" t="s">
        <v>1653</v>
      </c>
      <c r="F247" s="1" t="s">
        <v>2598</v>
      </c>
      <c r="G247" s="7" t="s">
        <v>2599</v>
      </c>
      <c r="H247" s="14" t="s">
        <v>2599</v>
      </c>
      <c r="I247" s="10"/>
      <c r="K247" s="1" t="s">
        <v>1648</v>
      </c>
      <c r="L247" s="39" t="s">
        <v>1704</v>
      </c>
    </row>
    <row r="248" spans="1:12" ht="54" customHeight="1">
      <c r="A248" s="1">
        <v>151</v>
      </c>
      <c r="B248" s="1" t="s">
        <v>2600</v>
      </c>
      <c r="C248" s="1" t="s">
        <v>2601</v>
      </c>
      <c r="D248" s="1" t="s">
        <v>2570</v>
      </c>
      <c r="E248" s="1" t="s">
        <v>1653</v>
      </c>
      <c r="F248" s="1" t="s">
        <v>2602</v>
      </c>
      <c r="G248" s="7" t="s">
        <v>2603</v>
      </c>
      <c r="H248" s="22" t="s">
        <v>2603</v>
      </c>
      <c r="K248" s="1" t="s">
        <v>1648</v>
      </c>
      <c r="L248" s="39" t="s">
        <v>1704</v>
      </c>
    </row>
    <row r="249" spans="1:12" ht="54" customHeight="1">
      <c r="A249" s="1">
        <v>659</v>
      </c>
      <c r="B249" s="1" t="s">
        <v>2604</v>
      </c>
      <c r="C249" s="1" t="s">
        <v>2605</v>
      </c>
      <c r="D249" s="1" t="s">
        <v>2570</v>
      </c>
      <c r="E249" s="1" t="s">
        <v>1653</v>
      </c>
      <c r="F249" s="1" t="s">
        <v>2606</v>
      </c>
      <c r="G249" s="7" t="s">
        <v>2607</v>
      </c>
      <c r="H249" s="14" t="s">
        <v>2607</v>
      </c>
      <c r="I249" s="10"/>
      <c r="K249" s="1" t="s">
        <v>1648</v>
      </c>
      <c r="L249" s="39" t="s">
        <v>1704</v>
      </c>
    </row>
    <row r="250" spans="1:12" ht="54" customHeight="1">
      <c r="A250" s="1">
        <v>249</v>
      </c>
      <c r="B250" s="1" t="s">
        <v>2608</v>
      </c>
      <c r="C250" s="1" t="s">
        <v>2609</v>
      </c>
      <c r="D250" s="1" t="s">
        <v>2570</v>
      </c>
      <c r="E250" s="1" t="s">
        <v>1653</v>
      </c>
      <c r="F250" s="1" t="s">
        <v>2610</v>
      </c>
      <c r="G250" s="7" t="s">
        <v>2611</v>
      </c>
      <c r="H250" s="14" t="s">
        <v>2611</v>
      </c>
      <c r="J250" s="1" t="s">
        <v>2612</v>
      </c>
      <c r="K250" s="1" t="s">
        <v>1648</v>
      </c>
      <c r="L250" s="39" t="s">
        <v>1704</v>
      </c>
    </row>
    <row r="251" spans="1:12" ht="54" customHeight="1">
      <c r="A251" s="1">
        <v>320</v>
      </c>
      <c r="B251" s="1" t="s">
        <v>2613</v>
      </c>
      <c r="C251" s="1" t="s">
        <v>2614</v>
      </c>
      <c r="D251" s="1" t="s">
        <v>2570</v>
      </c>
      <c r="E251" s="1" t="s">
        <v>1653</v>
      </c>
      <c r="F251" s="1" t="s">
        <v>2615</v>
      </c>
      <c r="G251" s="7" t="s">
        <v>2595</v>
      </c>
      <c r="H251" s="7" t="s">
        <v>2595</v>
      </c>
    </row>
    <row r="252" spans="1:12" ht="54" customHeight="1">
      <c r="A252" s="1">
        <v>338</v>
      </c>
      <c r="B252" s="1" t="s">
        <v>2616</v>
      </c>
      <c r="C252" s="1" t="s">
        <v>2617</v>
      </c>
      <c r="D252" s="1" t="s">
        <v>2570</v>
      </c>
      <c r="E252" s="1" t="s">
        <v>1653</v>
      </c>
      <c r="F252" s="1" t="s">
        <v>2618</v>
      </c>
      <c r="G252" s="7" t="s">
        <v>1373</v>
      </c>
      <c r="H252" s="14" t="s">
        <v>1373</v>
      </c>
      <c r="I252" s="25" t="s">
        <v>20</v>
      </c>
      <c r="K252" s="1" t="s">
        <v>1648</v>
      </c>
      <c r="L252" s="39" t="s">
        <v>1704</v>
      </c>
    </row>
    <row r="253" spans="1:12" ht="54" customHeight="1">
      <c r="A253" s="1">
        <v>384</v>
      </c>
      <c r="B253" s="1" t="s">
        <v>2619</v>
      </c>
      <c r="C253" s="1" t="s">
        <v>2620</v>
      </c>
      <c r="D253" s="1" t="s">
        <v>2570</v>
      </c>
      <c r="E253" s="1" t="s">
        <v>1653</v>
      </c>
      <c r="F253" s="1" t="s">
        <v>2621</v>
      </c>
      <c r="G253" s="7" t="s">
        <v>2588</v>
      </c>
      <c r="H253" s="14" t="s">
        <v>2588</v>
      </c>
      <c r="I253" s="25" t="s">
        <v>20</v>
      </c>
    </row>
    <row r="254" spans="1:12" ht="54" customHeight="1">
      <c r="A254" s="1">
        <v>399</v>
      </c>
      <c r="B254" s="1" t="s">
        <v>2622</v>
      </c>
      <c r="C254" s="1" t="s">
        <v>2623</v>
      </c>
      <c r="D254" s="1" t="s">
        <v>2570</v>
      </c>
      <c r="E254" s="1" t="s">
        <v>1653</v>
      </c>
      <c r="F254" s="1" t="s">
        <v>2624</v>
      </c>
      <c r="G254" s="7" t="s">
        <v>495</v>
      </c>
      <c r="H254" s="14" t="s">
        <v>495</v>
      </c>
      <c r="I254" s="25" t="s">
        <v>20</v>
      </c>
      <c r="K254" s="1" t="s">
        <v>1648</v>
      </c>
      <c r="L254" s="39" t="s">
        <v>1704</v>
      </c>
    </row>
    <row r="255" spans="1:12" ht="54" customHeight="1">
      <c r="A255" s="1">
        <v>485</v>
      </c>
      <c r="B255" s="1" t="s">
        <v>2625</v>
      </c>
      <c r="C255" s="1" t="s">
        <v>2626</v>
      </c>
      <c r="D255" s="1" t="s">
        <v>2570</v>
      </c>
      <c r="E255" s="1" t="s">
        <v>1653</v>
      </c>
      <c r="F255" s="1" t="s">
        <v>2627</v>
      </c>
      <c r="G255" s="7" t="s">
        <v>2628</v>
      </c>
      <c r="H255" s="7" t="s">
        <v>2628</v>
      </c>
      <c r="K255" s="1" t="s">
        <v>1648</v>
      </c>
      <c r="L255" s="39" t="s">
        <v>1704</v>
      </c>
    </row>
    <row r="256" spans="1:12" ht="54" customHeight="1">
      <c r="A256" s="1">
        <v>486</v>
      </c>
      <c r="B256" s="1" t="s">
        <v>2629</v>
      </c>
      <c r="C256" s="1" t="s">
        <v>2630</v>
      </c>
      <c r="D256" s="1" t="s">
        <v>2570</v>
      </c>
      <c r="E256" s="1" t="s">
        <v>1653</v>
      </c>
      <c r="F256" s="1" t="s">
        <v>2631</v>
      </c>
      <c r="G256" s="7" t="s">
        <v>2632</v>
      </c>
      <c r="H256" s="22" t="s">
        <v>2632</v>
      </c>
      <c r="J256" s="1" t="s">
        <v>2633</v>
      </c>
      <c r="K256" s="1" t="s">
        <v>1648</v>
      </c>
      <c r="L256" s="39" t="s">
        <v>1704</v>
      </c>
    </row>
    <row r="257" spans="1:12" ht="54" customHeight="1">
      <c r="A257" s="1">
        <v>417</v>
      </c>
      <c r="B257" s="1" t="s">
        <v>2634</v>
      </c>
      <c r="C257" s="1" t="s">
        <v>2635</v>
      </c>
      <c r="D257" s="1" t="s">
        <v>2570</v>
      </c>
      <c r="E257" s="1" t="s">
        <v>1653</v>
      </c>
      <c r="F257" s="1" t="s">
        <v>2636</v>
      </c>
      <c r="G257" s="7" t="s">
        <v>495</v>
      </c>
      <c r="H257" s="14" t="s">
        <v>495</v>
      </c>
      <c r="I257" s="25" t="s">
        <v>20</v>
      </c>
      <c r="K257" s="1" t="s">
        <v>1648</v>
      </c>
      <c r="L257" s="39" t="s">
        <v>1704</v>
      </c>
    </row>
    <row r="258" spans="1:12" ht="54" customHeight="1">
      <c r="A258" s="1">
        <v>758</v>
      </c>
      <c r="B258" s="1" t="s">
        <v>2637</v>
      </c>
      <c r="C258" s="1" t="s">
        <v>2638</v>
      </c>
      <c r="D258" s="1" t="s">
        <v>2570</v>
      </c>
      <c r="E258" s="1" t="s">
        <v>1653</v>
      </c>
      <c r="F258" s="1" t="s">
        <v>2639</v>
      </c>
      <c r="G258" s="7" t="s">
        <v>2640</v>
      </c>
      <c r="H258" s="22" t="s">
        <v>2640</v>
      </c>
      <c r="K258" s="1" t="s">
        <v>1648</v>
      </c>
      <c r="L258" s="39" t="s">
        <v>1704</v>
      </c>
    </row>
    <row r="259" spans="1:12" ht="54" customHeight="1">
      <c r="A259" s="1">
        <v>789</v>
      </c>
      <c r="B259" s="1" t="s">
        <v>2641</v>
      </c>
      <c r="C259" s="1" t="s">
        <v>2642</v>
      </c>
      <c r="D259" s="1" t="s">
        <v>2570</v>
      </c>
      <c r="E259" s="1" t="s">
        <v>1653</v>
      </c>
      <c r="F259" s="1" t="s">
        <v>2643</v>
      </c>
      <c r="G259" s="7" t="s">
        <v>422</v>
      </c>
      <c r="H259" s="14" t="s">
        <v>2644</v>
      </c>
      <c r="I259" s="10"/>
      <c r="J259" s="1" t="s">
        <v>2645</v>
      </c>
      <c r="K259" s="1" t="s">
        <v>2087</v>
      </c>
      <c r="L259" s="39" t="s">
        <v>2646</v>
      </c>
    </row>
    <row r="260" spans="1:12" ht="54" customHeight="1">
      <c r="A260" s="1">
        <v>794</v>
      </c>
      <c r="B260" s="1" t="s">
        <v>2647</v>
      </c>
      <c r="C260" s="1" t="s">
        <v>2648</v>
      </c>
      <c r="D260" s="1" t="s">
        <v>2570</v>
      </c>
      <c r="E260" s="1" t="s">
        <v>1653</v>
      </c>
      <c r="F260" s="1" t="s">
        <v>2649</v>
      </c>
      <c r="G260" s="7" t="s">
        <v>2650</v>
      </c>
      <c r="H260" s="14" t="s">
        <v>2650</v>
      </c>
      <c r="I260" s="14"/>
      <c r="J260" s="1" t="s">
        <v>2651</v>
      </c>
      <c r="K260" s="1" t="s">
        <v>1648</v>
      </c>
      <c r="L260" s="39" t="s">
        <v>1704</v>
      </c>
    </row>
    <row r="261" spans="1:12" ht="54" customHeight="1">
      <c r="A261" s="1">
        <v>803</v>
      </c>
      <c r="B261" s="1" t="s">
        <v>2652</v>
      </c>
      <c r="C261" s="1" t="s">
        <v>2653</v>
      </c>
      <c r="D261" s="1" t="s">
        <v>2570</v>
      </c>
      <c r="E261" s="1" t="s">
        <v>1653</v>
      </c>
      <c r="F261" s="1" t="s">
        <v>2654</v>
      </c>
      <c r="G261" s="6"/>
      <c r="K261" s="1" t="s">
        <v>2087</v>
      </c>
      <c r="L261" s="39" t="s">
        <v>2646</v>
      </c>
    </row>
    <row r="262" spans="1:12" ht="54" customHeight="1">
      <c r="A262" s="1">
        <v>489</v>
      </c>
      <c r="B262" s="1" t="s">
        <v>2655</v>
      </c>
      <c r="C262" s="1" t="s">
        <v>2656</v>
      </c>
      <c r="D262" s="1" t="s">
        <v>2570</v>
      </c>
      <c r="E262" s="1" t="s">
        <v>1653</v>
      </c>
      <c r="F262" s="1" t="s">
        <v>2657</v>
      </c>
      <c r="G262" s="7" t="s">
        <v>235</v>
      </c>
      <c r="H262" s="14" t="s">
        <v>235</v>
      </c>
      <c r="I262" s="14" t="s">
        <v>20</v>
      </c>
      <c r="K262" s="1" t="s">
        <v>2087</v>
      </c>
      <c r="L262" s="39" t="s">
        <v>2506</v>
      </c>
    </row>
    <row r="263" spans="1:12" ht="54" customHeight="1">
      <c r="A263" s="1">
        <v>823</v>
      </c>
      <c r="B263" s="1" t="s">
        <v>2658</v>
      </c>
      <c r="C263" s="1" t="s">
        <v>2659</v>
      </c>
      <c r="D263" s="1" t="s">
        <v>2570</v>
      </c>
      <c r="E263" s="1" t="s">
        <v>1653</v>
      </c>
      <c r="F263" s="1" t="s">
        <v>2660</v>
      </c>
      <c r="G263" s="6"/>
      <c r="K263" s="1" t="s">
        <v>1648</v>
      </c>
      <c r="L263" s="39" t="s">
        <v>1704</v>
      </c>
    </row>
    <row r="264" spans="1:12" ht="54" customHeight="1">
      <c r="A264" s="1">
        <v>497</v>
      </c>
      <c r="B264" s="1" t="s">
        <v>2661</v>
      </c>
      <c r="C264" s="1" t="s">
        <v>2662</v>
      </c>
      <c r="D264" s="1" t="s">
        <v>2570</v>
      </c>
      <c r="E264" s="1" t="s">
        <v>1653</v>
      </c>
      <c r="F264" s="1" t="s">
        <v>2663</v>
      </c>
      <c r="G264" s="6"/>
    </row>
    <row r="265" spans="1:12" ht="54" customHeight="1">
      <c r="A265" s="1">
        <v>519</v>
      </c>
      <c r="B265" s="1" t="s">
        <v>2664</v>
      </c>
      <c r="C265" s="1" t="s">
        <v>2665</v>
      </c>
      <c r="D265" s="1" t="s">
        <v>2570</v>
      </c>
      <c r="E265" s="1" t="s">
        <v>1653</v>
      </c>
      <c r="F265" s="1" t="s">
        <v>2666</v>
      </c>
      <c r="G265" s="6"/>
      <c r="K265" s="1" t="s">
        <v>1648</v>
      </c>
      <c r="L265" s="39" t="s">
        <v>1704</v>
      </c>
    </row>
    <row r="266" spans="1:12" ht="54" customHeight="1">
      <c r="A266" s="1">
        <v>837</v>
      </c>
      <c r="B266" s="1" t="s">
        <v>2667</v>
      </c>
      <c r="C266" s="1" t="s">
        <v>2668</v>
      </c>
      <c r="D266" s="1" t="s">
        <v>2570</v>
      </c>
      <c r="E266" s="1" t="s">
        <v>1653</v>
      </c>
      <c r="F266" s="1" t="s">
        <v>2669</v>
      </c>
      <c r="G266" s="7" t="s">
        <v>2670</v>
      </c>
      <c r="H266" s="14" t="s">
        <v>2670</v>
      </c>
      <c r="I266" s="10" t="s">
        <v>20</v>
      </c>
    </row>
    <row r="267" spans="1:12" ht="54" customHeight="1">
      <c r="A267" s="1">
        <v>524</v>
      </c>
      <c r="B267" s="1" t="s">
        <v>2671</v>
      </c>
      <c r="C267" s="1" t="s">
        <v>2672</v>
      </c>
      <c r="D267" s="1" t="s">
        <v>2570</v>
      </c>
      <c r="E267" s="1" t="s">
        <v>1653</v>
      </c>
      <c r="F267" s="1" t="s">
        <v>2673</v>
      </c>
      <c r="G267" s="6"/>
      <c r="K267" s="1" t="s">
        <v>2087</v>
      </c>
      <c r="L267" s="39" t="s">
        <v>2674</v>
      </c>
    </row>
    <row r="268" spans="1:12" ht="54" customHeight="1">
      <c r="A268" s="1">
        <v>280</v>
      </c>
      <c r="B268" s="1" t="s">
        <v>2675</v>
      </c>
      <c r="C268" s="1" t="s">
        <v>2676</v>
      </c>
      <c r="D268" s="1" t="s">
        <v>2570</v>
      </c>
      <c r="E268" s="1" t="s">
        <v>2677</v>
      </c>
      <c r="F268" s="1" t="s">
        <v>2678</v>
      </c>
      <c r="G268" s="6"/>
    </row>
    <row r="269" spans="1:12" ht="54" customHeight="1">
      <c r="A269" s="1">
        <v>29</v>
      </c>
      <c r="B269" s="1" t="s">
        <v>2679</v>
      </c>
      <c r="C269" s="1" t="s">
        <v>2680</v>
      </c>
      <c r="D269" s="1" t="s">
        <v>2570</v>
      </c>
      <c r="E269" s="1" t="s">
        <v>2068</v>
      </c>
      <c r="F269" s="1" t="s">
        <v>2681</v>
      </c>
      <c r="G269" s="6"/>
      <c r="J269" s="1" t="s">
        <v>2682</v>
      </c>
    </row>
    <row r="270" spans="1:12" ht="54" customHeight="1">
      <c r="A270" s="1">
        <v>49775</v>
      </c>
      <c r="B270" s="1" t="s">
        <v>2683</v>
      </c>
      <c r="C270" s="1" t="s">
        <v>2684</v>
      </c>
      <c r="D270" s="1" t="s">
        <v>2570</v>
      </c>
      <c r="E270" s="1" t="s">
        <v>2068</v>
      </c>
      <c r="F270" s="1" t="s">
        <v>2685</v>
      </c>
      <c r="G270" s="6"/>
    </row>
    <row r="271" spans="1:12" ht="54" customHeight="1">
      <c r="A271" s="1">
        <v>244</v>
      </c>
      <c r="B271" s="1" t="s">
        <v>2686</v>
      </c>
      <c r="C271" s="1" t="s">
        <v>2687</v>
      </c>
      <c r="D271" s="1" t="s">
        <v>2570</v>
      </c>
      <c r="E271" s="1" t="s">
        <v>1657</v>
      </c>
      <c r="F271" s="1" t="s">
        <v>2688</v>
      </c>
      <c r="G271" s="7" t="s">
        <v>2689</v>
      </c>
      <c r="H271" s="14" t="s">
        <v>2689</v>
      </c>
      <c r="I271" s="10"/>
    </row>
    <row r="272" spans="1:12" ht="54" customHeight="1">
      <c r="A272" s="1">
        <v>715</v>
      </c>
      <c r="B272" s="1" t="s">
        <v>2690</v>
      </c>
      <c r="C272" s="1" t="s">
        <v>2691</v>
      </c>
      <c r="D272" s="1" t="s">
        <v>2570</v>
      </c>
      <c r="E272" s="1" t="s">
        <v>1657</v>
      </c>
      <c r="F272" s="1" t="s">
        <v>2692</v>
      </c>
      <c r="G272" s="7" t="s">
        <v>2693</v>
      </c>
      <c r="H272" s="14" t="s">
        <v>2693</v>
      </c>
      <c r="I272" s="25"/>
    </row>
    <row r="273" spans="1:12" ht="54" customHeight="1">
      <c r="A273" s="1">
        <v>466</v>
      </c>
      <c r="B273" s="1" t="s">
        <v>2694</v>
      </c>
      <c r="C273" s="1" t="s">
        <v>2695</v>
      </c>
      <c r="D273" s="1" t="s">
        <v>2570</v>
      </c>
      <c r="E273" s="1" t="s">
        <v>1657</v>
      </c>
      <c r="F273" s="1" t="s">
        <v>2696</v>
      </c>
      <c r="G273" s="7" t="s">
        <v>2697</v>
      </c>
      <c r="H273" s="14" t="s">
        <v>2697</v>
      </c>
      <c r="I273" s="10"/>
      <c r="K273" s="42"/>
      <c r="L273" s="43"/>
    </row>
    <row r="274" spans="1:12" ht="54" customHeight="1">
      <c r="A274" s="1">
        <v>301</v>
      </c>
      <c r="B274" s="1" t="s">
        <v>2698</v>
      </c>
      <c r="C274" s="1" t="s">
        <v>2699</v>
      </c>
      <c r="D274" s="1" t="s">
        <v>2570</v>
      </c>
      <c r="E274" s="1" t="s">
        <v>2254</v>
      </c>
      <c r="F274" s="1" t="s">
        <v>2700</v>
      </c>
      <c r="G274" s="6"/>
    </row>
    <row r="275" spans="1:12" ht="54" customHeight="1">
      <c r="A275" s="1">
        <v>506</v>
      </c>
      <c r="B275" s="1" t="s">
        <v>2701</v>
      </c>
      <c r="C275" s="9" t="s">
        <v>2702</v>
      </c>
      <c r="D275" s="1" t="s">
        <v>2570</v>
      </c>
      <c r="E275" s="1" t="s">
        <v>2266</v>
      </c>
      <c r="F275" s="1" t="s">
        <v>2703</v>
      </c>
      <c r="G275" s="8" t="s">
        <v>2704</v>
      </c>
      <c r="H275" s="49" t="s">
        <v>2704</v>
      </c>
      <c r="I275" s="26"/>
    </row>
    <row r="276" spans="1:12" ht="54" customHeight="1">
      <c r="A276" s="1">
        <v>62230</v>
      </c>
      <c r="B276" s="1" t="s">
        <v>2705</v>
      </c>
      <c r="C276" s="1" t="s">
        <v>2706</v>
      </c>
      <c r="D276" s="1" t="s">
        <v>2570</v>
      </c>
      <c r="E276" s="1" t="s">
        <v>1753</v>
      </c>
      <c r="F276" s="1" t="s">
        <v>2707</v>
      </c>
      <c r="G276" s="6"/>
      <c r="J276" s="1" t="s">
        <v>2708</v>
      </c>
    </row>
    <row r="277" spans="1:12" ht="54" customHeight="1">
      <c r="A277" s="1">
        <v>365</v>
      </c>
      <c r="B277" s="1" t="s">
        <v>2709</v>
      </c>
      <c r="C277" s="1" t="s">
        <v>2710</v>
      </c>
      <c r="D277" s="1" t="s">
        <v>2570</v>
      </c>
      <c r="E277" s="1" t="s">
        <v>1753</v>
      </c>
      <c r="F277" s="1" t="s">
        <v>2711</v>
      </c>
      <c r="G277" s="7" t="s">
        <v>87</v>
      </c>
    </row>
    <row r="278" spans="1:12" ht="54" customHeight="1">
      <c r="A278" s="1">
        <v>62234</v>
      </c>
      <c r="B278" s="1" t="s">
        <v>2712</v>
      </c>
      <c r="C278" s="1" t="s">
        <v>2713</v>
      </c>
      <c r="D278" s="1" t="s">
        <v>2570</v>
      </c>
      <c r="E278" s="1" t="s">
        <v>1753</v>
      </c>
      <c r="F278" s="1" t="s">
        <v>2714</v>
      </c>
      <c r="G278" s="6"/>
      <c r="J278" s="1" t="s">
        <v>2708</v>
      </c>
    </row>
    <row r="279" spans="1:12" ht="54" customHeight="1">
      <c r="A279" s="1">
        <v>361</v>
      </c>
      <c r="B279" s="1" t="s">
        <v>2715</v>
      </c>
      <c r="C279" s="1" t="s">
        <v>2716</v>
      </c>
      <c r="D279" s="1" t="s">
        <v>2570</v>
      </c>
      <c r="E279" s="1" t="s">
        <v>1680</v>
      </c>
      <c r="F279" s="1" t="s">
        <v>2717</v>
      </c>
      <c r="G279" s="7" t="s">
        <v>2365</v>
      </c>
      <c r="H279" s="14"/>
      <c r="I279" s="25" t="s">
        <v>2378</v>
      </c>
      <c r="K279" s="1" t="s">
        <v>1682</v>
      </c>
      <c r="L279" s="39" t="s">
        <v>2344</v>
      </c>
    </row>
    <row r="280" spans="1:12" ht="54" customHeight="1">
      <c r="A280" s="1">
        <v>70</v>
      </c>
      <c r="B280" s="1" t="s">
        <v>2718</v>
      </c>
      <c r="C280" s="1" t="s">
        <v>2719</v>
      </c>
      <c r="D280" s="1" t="s">
        <v>2570</v>
      </c>
      <c r="F280" s="1" t="s">
        <v>2720</v>
      </c>
      <c r="G280" s="7" t="s">
        <v>2721</v>
      </c>
      <c r="H280" s="22" t="s">
        <v>2721</v>
      </c>
      <c r="I280" s="10" t="s">
        <v>20</v>
      </c>
      <c r="K280" s="1" t="s">
        <v>2087</v>
      </c>
      <c r="L280" s="39" t="s">
        <v>2722</v>
      </c>
    </row>
    <row r="281" spans="1:12" ht="54" customHeight="1">
      <c r="A281" s="1">
        <v>864</v>
      </c>
      <c r="B281" s="1" t="s">
        <v>2723</v>
      </c>
      <c r="C281" s="1" t="s">
        <v>2724</v>
      </c>
      <c r="D281" s="1" t="s">
        <v>2725</v>
      </c>
      <c r="E281" s="1" t="s">
        <v>1753</v>
      </c>
      <c r="F281" s="1" t="s">
        <v>2726</v>
      </c>
      <c r="G281" s="7" t="s">
        <v>87</v>
      </c>
      <c r="J281" s="1" t="s">
        <v>2727</v>
      </c>
    </row>
    <row r="282" spans="1:12" ht="54" customHeight="1">
      <c r="A282" s="1">
        <v>631</v>
      </c>
      <c r="B282" s="1" t="s">
        <v>2728</v>
      </c>
      <c r="C282" s="1" t="s">
        <v>2729</v>
      </c>
      <c r="D282" s="1" t="s">
        <v>2730</v>
      </c>
      <c r="E282" s="1" t="s">
        <v>1653</v>
      </c>
      <c r="F282" s="1" t="s">
        <v>2731</v>
      </c>
      <c r="G282" s="7" t="s">
        <v>2732</v>
      </c>
      <c r="H282" s="14" t="s">
        <v>2732</v>
      </c>
      <c r="I282" s="25"/>
      <c r="K282" s="1" t="s">
        <v>2087</v>
      </c>
      <c r="L282" s="39" t="s">
        <v>2506</v>
      </c>
    </row>
    <row r="283" spans="1:12" ht="54" customHeight="1">
      <c r="A283" s="1">
        <v>652</v>
      </c>
      <c r="B283" s="1" t="s">
        <v>2733</v>
      </c>
      <c r="C283" s="1" t="s">
        <v>2734</v>
      </c>
      <c r="D283" s="1" t="s">
        <v>2730</v>
      </c>
      <c r="E283" s="1" t="s">
        <v>1653</v>
      </c>
      <c r="F283" s="1" t="s">
        <v>2735</v>
      </c>
      <c r="G283" s="7" t="s">
        <v>2736</v>
      </c>
      <c r="H283" s="14" t="s">
        <v>2736</v>
      </c>
      <c r="I283" s="10"/>
      <c r="K283" s="1" t="s">
        <v>2087</v>
      </c>
      <c r="L283" s="39" t="s">
        <v>2737</v>
      </c>
    </row>
    <row r="284" spans="1:12" ht="54" customHeight="1">
      <c r="A284" s="1">
        <v>695</v>
      </c>
      <c r="B284" s="1" t="s">
        <v>2738</v>
      </c>
      <c r="C284" s="1" t="s">
        <v>2739</v>
      </c>
      <c r="D284" s="1" t="s">
        <v>2730</v>
      </c>
      <c r="E284" s="1" t="s">
        <v>1653</v>
      </c>
      <c r="F284" s="1" t="s">
        <v>2740</v>
      </c>
      <c r="G284" s="6" t="s">
        <v>2741</v>
      </c>
      <c r="K284" s="1" t="s">
        <v>2087</v>
      </c>
      <c r="L284" s="39" t="s">
        <v>2742</v>
      </c>
    </row>
    <row r="285" spans="1:12" ht="54" customHeight="1">
      <c r="A285" s="1">
        <v>717</v>
      </c>
      <c r="B285" s="1" t="s">
        <v>2743</v>
      </c>
      <c r="C285" s="1" t="s">
        <v>2744</v>
      </c>
      <c r="D285" s="1" t="s">
        <v>2730</v>
      </c>
      <c r="E285" s="1" t="s">
        <v>1653</v>
      </c>
      <c r="F285" s="1" t="s">
        <v>2745</v>
      </c>
      <c r="G285" s="7" t="s">
        <v>2746</v>
      </c>
      <c r="H285" s="14" t="s">
        <v>2746</v>
      </c>
      <c r="I285" s="25"/>
      <c r="K285" s="1" t="s">
        <v>2747</v>
      </c>
      <c r="L285" s="39" t="s">
        <v>2742</v>
      </c>
    </row>
    <row r="286" spans="1:12" ht="54" customHeight="1">
      <c r="A286" s="1">
        <v>602</v>
      </c>
      <c r="B286" s="1" t="s">
        <v>2748</v>
      </c>
      <c r="C286" s="1" t="s">
        <v>2749</v>
      </c>
      <c r="D286" s="1" t="s">
        <v>2730</v>
      </c>
      <c r="E286" s="1" t="s">
        <v>1646</v>
      </c>
      <c r="F286" s="1" t="s">
        <v>2750</v>
      </c>
      <c r="G286" s="7" t="s">
        <v>22</v>
      </c>
      <c r="H286" s="14" t="s">
        <v>22</v>
      </c>
      <c r="I286" s="14" t="s">
        <v>20</v>
      </c>
      <c r="J286" s="14"/>
      <c r="K286" s="1" t="s">
        <v>2087</v>
      </c>
      <c r="L286" s="39" t="s">
        <v>2506</v>
      </c>
    </row>
    <row r="287" spans="1:12" ht="54" customHeight="1">
      <c r="A287" s="1">
        <v>39181</v>
      </c>
      <c r="B287" s="1" t="s">
        <v>2751</v>
      </c>
      <c r="C287" s="1" t="s">
        <v>2752</v>
      </c>
      <c r="D287" s="1" t="s">
        <v>2730</v>
      </c>
      <c r="E287" s="1" t="s">
        <v>2059</v>
      </c>
      <c r="F287" s="1" t="s">
        <v>2753</v>
      </c>
      <c r="G287" s="7" t="s">
        <v>2754</v>
      </c>
      <c r="H287" s="22" t="s">
        <v>2754</v>
      </c>
      <c r="I287" s="22"/>
      <c r="K287" s="1" t="s">
        <v>2087</v>
      </c>
      <c r="L287" s="39" t="s">
        <v>2737</v>
      </c>
    </row>
    <row r="288" spans="1:12" ht="54" customHeight="1">
      <c r="A288" s="1">
        <v>653</v>
      </c>
      <c r="B288" s="1" t="s">
        <v>2755</v>
      </c>
      <c r="C288" s="1" t="s">
        <v>2756</v>
      </c>
      <c r="D288" s="1" t="s">
        <v>2730</v>
      </c>
      <c r="E288" s="1" t="s">
        <v>1673</v>
      </c>
      <c r="F288" s="1" t="s">
        <v>2757</v>
      </c>
      <c r="G288" s="7" t="s">
        <v>2758</v>
      </c>
      <c r="K288" s="1" t="s">
        <v>2137</v>
      </c>
      <c r="L288" s="39" t="s">
        <v>2759</v>
      </c>
    </row>
    <row r="289" spans="1:12" ht="54" customHeight="1">
      <c r="A289" s="1">
        <v>785</v>
      </c>
      <c r="B289" s="1" t="s">
        <v>2760</v>
      </c>
      <c r="C289" s="1" t="s">
        <v>2761</v>
      </c>
      <c r="D289" s="1" t="s">
        <v>2730</v>
      </c>
      <c r="E289" s="1" t="s">
        <v>1673</v>
      </c>
      <c r="F289" s="1" t="s">
        <v>2762</v>
      </c>
      <c r="G289" s="6"/>
    </row>
    <row r="290" spans="1:12" ht="54" customHeight="1">
      <c r="A290" s="1">
        <v>798</v>
      </c>
      <c r="B290" s="1" t="s">
        <v>2763</v>
      </c>
      <c r="C290" s="1" t="s">
        <v>2764</v>
      </c>
      <c r="D290" s="1" t="s">
        <v>2730</v>
      </c>
      <c r="E290" s="1" t="s">
        <v>2254</v>
      </c>
      <c r="F290" s="1" t="s">
        <v>2765</v>
      </c>
      <c r="G290" s="6" t="s">
        <v>2766</v>
      </c>
      <c r="K290" s="1" t="s">
        <v>2137</v>
      </c>
      <c r="L290" s="39" t="s">
        <v>2767</v>
      </c>
    </row>
    <row r="291" spans="1:12" ht="54" customHeight="1">
      <c r="A291" s="1">
        <v>791</v>
      </c>
      <c r="B291" s="1" t="s">
        <v>2768</v>
      </c>
      <c r="C291" s="1" t="s">
        <v>2769</v>
      </c>
      <c r="D291" s="1" t="s">
        <v>2730</v>
      </c>
      <c r="E291" s="1" t="s">
        <v>1680</v>
      </c>
      <c r="F291" s="1" t="s">
        <v>2770</v>
      </c>
      <c r="G291" s="7" t="s">
        <v>2342</v>
      </c>
      <c r="H291" s="7" t="s">
        <v>2342</v>
      </c>
      <c r="J291" s="1" t="s">
        <v>2771</v>
      </c>
      <c r="K291" s="40" t="s">
        <v>2137</v>
      </c>
      <c r="L291" s="41" t="s">
        <v>2772</v>
      </c>
    </row>
    <row r="292" spans="1:12" ht="54" customHeight="1">
      <c r="A292" s="1">
        <v>805</v>
      </c>
      <c r="B292" s="1" t="s">
        <v>2773</v>
      </c>
      <c r="C292" s="1" t="s">
        <v>2774</v>
      </c>
      <c r="D292" s="1" t="s">
        <v>2730</v>
      </c>
      <c r="E292" s="1" t="s">
        <v>1680</v>
      </c>
      <c r="F292" s="1" t="s">
        <v>2775</v>
      </c>
      <c r="G292" s="7" t="s">
        <v>2776</v>
      </c>
      <c r="H292" s="7" t="s">
        <v>2776</v>
      </c>
      <c r="J292" s="1" t="s">
        <v>2777</v>
      </c>
      <c r="K292" s="40" t="s">
        <v>2505</v>
      </c>
      <c r="L292" s="41" t="s">
        <v>2772</v>
      </c>
    </row>
    <row r="293" spans="1:12" ht="54" customHeight="1">
      <c r="A293" s="1">
        <v>790</v>
      </c>
      <c r="B293" s="1" t="s">
        <v>2778</v>
      </c>
      <c r="C293" s="1" t="s">
        <v>2779</v>
      </c>
      <c r="D293" s="1" t="s">
        <v>2780</v>
      </c>
      <c r="E293" s="1" t="s">
        <v>2266</v>
      </c>
      <c r="F293" s="1" t="s">
        <v>2781</v>
      </c>
      <c r="G293" s="7" t="s">
        <v>2153</v>
      </c>
      <c r="K293" s="1" t="s">
        <v>2087</v>
      </c>
      <c r="L293" s="39" t="s">
        <v>2506</v>
      </c>
    </row>
    <row r="294" spans="1:12" ht="54" customHeight="1">
      <c r="A294" s="1">
        <v>100</v>
      </c>
      <c r="B294" s="1" t="s">
        <v>2782</v>
      </c>
      <c r="C294" s="1" t="s">
        <v>2783</v>
      </c>
      <c r="D294" s="1" t="s">
        <v>2784</v>
      </c>
      <c r="E294" s="1" t="s">
        <v>2785</v>
      </c>
      <c r="F294" s="1" t="s">
        <v>2786</v>
      </c>
      <c r="G294" s="10" t="s">
        <v>134</v>
      </c>
      <c r="H294" s="22" t="s">
        <v>54</v>
      </c>
      <c r="I294" s="22"/>
      <c r="J294" s="1" t="s">
        <v>2787</v>
      </c>
      <c r="K294" s="1" t="s">
        <v>2087</v>
      </c>
      <c r="L294" s="39" t="s">
        <v>2506</v>
      </c>
    </row>
    <row r="295" spans="1:12" ht="54" customHeight="1">
      <c r="A295" s="1">
        <v>21</v>
      </c>
      <c r="B295" s="1" t="s">
        <v>2788</v>
      </c>
      <c r="C295" s="1" t="s">
        <v>2789</v>
      </c>
      <c r="D295" s="1" t="s">
        <v>2784</v>
      </c>
      <c r="E295" s="1" t="s">
        <v>1653</v>
      </c>
      <c r="F295" s="1" t="s">
        <v>2790</v>
      </c>
      <c r="G295" s="7" t="s">
        <v>2791</v>
      </c>
      <c r="H295" s="14" t="s">
        <v>2791</v>
      </c>
      <c r="I295" s="14"/>
      <c r="J295" s="1" t="s">
        <v>1703</v>
      </c>
      <c r="K295" s="1" t="s">
        <v>2747</v>
      </c>
      <c r="L295" s="39" t="s">
        <v>2506</v>
      </c>
    </row>
    <row r="296" spans="1:12" ht="54" customHeight="1">
      <c r="A296" s="1">
        <v>36</v>
      </c>
      <c r="B296" s="1" t="s">
        <v>2792</v>
      </c>
      <c r="C296" s="1" t="s">
        <v>2793</v>
      </c>
      <c r="D296" s="1" t="s">
        <v>2784</v>
      </c>
      <c r="E296" s="1" t="s">
        <v>1653</v>
      </c>
      <c r="F296" s="1" t="s">
        <v>2794</v>
      </c>
      <c r="G296" s="7" t="s">
        <v>2595</v>
      </c>
      <c r="H296" s="14" t="s">
        <v>2595</v>
      </c>
      <c r="I296" s="25" t="s">
        <v>20</v>
      </c>
      <c r="K296" s="1" t="s">
        <v>2087</v>
      </c>
      <c r="L296" s="39" t="s">
        <v>2506</v>
      </c>
    </row>
    <row r="297" spans="1:12" ht="54" customHeight="1">
      <c r="A297" s="1">
        <v>37</v>
      </c>
      <c r="B297" s="1" t="s">
        <v>2795</v>
      </c>
      <c r="C297" s="1" t="s">
        <v>2796</v>
      </c>
      <c r="D297" s="1" t="s">
        <v>2784</v>
      </c>
      <c r="E297" s="1" t="s">
        <v>1653</v>
      </c>
      <c r="F297" s="1" t="s">
        <v>2797</v>
      </c>
      <c r="G297" s="35" t="s">
        <v>2798</v>
      </c>
      <c r="H297" s="14" t="s">
        <v>495</v>
      </c>
      <c r="I297" s="25" t="s">
        <v>20</v>
      </c>
      <c r="K297" s="1" t="s">
        <v>2087</v>
      </c>
      <c r="L297" s="39" t="s">
        <v>2506</v>
      </c>
    </row>
    <row r="298" spans="1:12" ht="54" customHeight="1">
      <c r="A298" s="1">
        <v>44</v>
      </c>
      <c r="B298" s="1" t="s">
        <v>2799</v>
      </c>
      <c r="C298" s="1" t="s">
        <v>2800</v>
      </c>
      <c r="D298" s="1" t="s">
        <v>2784</v>
      </c>
      <c r="E298" s="1" t="s">
        <v>1653</v>
      </c>
      <c r="F298" s="1" t="s">
        <v>2801</v>
      </c>
      <c r="G298" s="6"/>
      <c r="K298" s="1" t="s">
        <v>2087</v>
      </c>
      <c r="L298" s="39" t="s">
        <v>2506</v>
      </c>
    </row>
    <row r="299" spans="1:12" ht="54" customHeight="1">
      <c r="A299" s="1">
        <v>46</v>
      </c>
      <c r="B299" s="1" t="s">
        <v>2802</v>
      </c>
      <c r="C299" s="1" t="s">
        <v>2803</v>
      </c>
      <c r="D299" s="1" t="s">
        <v>2784</v>
      </c>
      <c r="E299" s="1" t="s">
        <v>1653</v>
      </c>
      <c r="F299" s="1" t="s">
        <v>2804</v>
      </c>
      <c r="G299" s="6"/>
    </row>
    <row r="300" spans="1:12" ht="54" customHeight="1">
      <c r="A300" s="1">
        <v>618</v>
      </c>
      <c r="B300" s="1" t="s">
        <v>2805</v>
      </c>
      <c r="C300" s="1" t="s">
        <v>2806</v>
      </c>
      <c r="D300" s="1" t="s">
        <v>2784</v>
      </c>
      <c r="E300" s="1" t="s">
        <v>1653</v>
      </c>
      <c r="F300" s="1" t="s">
        <v>2807</v>
      </c>
      <c r="G300" s="7" t="s">
        <v>2808</v>
      </c>
      <c r="H300" s="14" t="s">
        <v>2808</v>
      </c>
      <c r="I300" s="25"/>
      <c r="J300" s="1" t="s">
        <v>2809</v>
      </c>
      <c r="K300" s="1" t="s">
        <v>2087</v>
      </c>
      <c r="L300" s="39" t="s">
        <v>2506</v>
      </c>
    </row>
    <row r="301" spans="1:12" ht="54" customHeight="1">
      <c r="A301" s="1">
        <v>68</v>
      </c>
      <c r="B301" s="1" t="s">
        <v>2810</v>
      </c>
      <c r="C301" s="1" t="s">
        <v>2811</v>
      </c>
      <c r="D301" s="1" t="s">
        <v>2784</v>
      </c>
      <c r="E301" s="1" t="s">
        <v>1653</v>
      </c>
      <c r="F301" s="1" t="s">
        <v>2812</v>
      </c>
      <c r="G301" s="7" t="s">
        <v>1373</v>
      </c>
      <c r="H301" s="14" t="s">
        <v>1373</v>
      </c>
      <c r="I301" s="25" t="s">
        <v>20</v>
      </c>
      <c r="K301" s="1" t="s">
        <v>2087</v>
      </c>
      <c r="L301" s="39" t="s">
        <v>2506</v>
      </c>
    </row>
    <row r="302" spans="1:12" ht="54" customHeight="1">
      <c r="A302" s="1">
        <v>622</v>
      </c>
      <c r="B302" s="1" t="s">
        <v>2813</v>
      </c>
      <c r="C302" s="1" t="s">
        <v>2814</v>
      </c>
      <c r="D302" s="1" t="s">
        <v>2784</v>
      </c>
      <c r="E302" s="1" t="s">
        <v>1653</v>
      </c>
      <c r="F302" s="1" t="s">
        <v>2815</v>
      </c>
      <c r="G302" s="6"/>
      <c r="K302" s="1" t="s">
        <v>2087</v>
      </c>
      <c r="L302" s="39" t="s">
        <v>2506</v>
      </c>
    </row>
    <row r="303" spans="1:12" ht="54" customHeight="1">
      <c r="A303" s="1">
        <v>69</v>
      </c>
      <c r="B303" s="1" t="s">
        <v>2816</v>
      </c>
      <c r="C303" s="1" t="s">
        <v>2817</v>
      </c>
      <c r="D303" s="1" t="s">
        <v>2784</v>
      </c>
      <c r="E303" s="1" t="s">
        <v>1653</v>
      </c>
      <c r="F303" s="1" t="s">
        <v>2818</v>
      </c>
      <c r="G303" s="6"/>
      <c r="K303" s="1" t="s">
        <v>2087</v>
      </c>
      <c r="L303" s="39" t="s">
        <v>2506</v>
      </c>
    </row>
    <row r="304" spans="1:12" ht="54" customHeight="1">
      <c r="A304" s="1">
        <v>625</v>
      </c>
      <c r="B304" s="1" t="s">
        <v>2819</v>
      </c>
      <c r="C304" s="1" t="s">
        <v>2820</v>
      </c>
      <c r="D304" s="1" t="s">
        <v>2784</v>
      </c>
      <c r="E304" s="1" t="s">
        <v>1653</v>
      </c>
      <c r="F304" s="1" t="s">
        <v>2821</v>
      </c>
      <c r="G304" s="7" t="s">
        <v>2822</v>
      </c>
      <c r="H304" s="22" t="s">
        <v>2822</v>
      </c>
      <c r="I304" s="22"/>
      <c r="K304" s="1" t="s">
        <v>2087</v>
      </c>
      <c r="L304" s="39" t="s">
        <v>2823</v>
      </c>
    </row>
    <row r="305" spans="1:12" ht="54" customHeight="1">
      <c r="A305" s="1">
        <v>86</v>
      </c>
      <c r="B305" s="1" t="s">
        <v>2824</v>
      </c>
      <c r="C305" s="1" t="s">
        <v>2825</v>
      </c>
      <c r="D305" s="1" t="s">
        <v>2784</v>
      </c>
      <c r="E305" s="1" t="s">
        <v>1653</v>
      </c>
      <c r="F305" s="1" t="s">
        <v>2826</v>
      </c>
      <c r="G305" s="7" t="s">
        <v>92</v>
      </c>
      <c r="H305" s="22" t="s">
        <v>92</v>
      </c>
      <c r="I305" s="22" t="s">
        <v>20</v>
      </c>
      <c r="K305" s="1" t="s">
        <v>2087</v>
      </c>
      <c r="L305" s="39" t="s">
        <v>2506</v>
      </c>
    </row>
    <row r="306" spans="1:12" ht="54" customHeight="1">
      <c r="A306" s="1">
        <v>90</v>
      </c>
      <c r="B306" s="1" t="s">
        <v>2827</v>
      </c>
      <c r="C306" s="1" t="s">
        <v>2828</v>
      </c>
      <c r="D306" s="1" t="s">
        <v>2784</v>
      </c>
      <c r="E306" s="1" t="s">
        <v>1653</v>
      </c>
      <c r="F306" s="1" t="s">
        <v>2829</v>
      </c>
      <c r="G306" s="7" t="s">
        <v>2830</v>
      </c>
      <c r="H306" s="22" t="s">
        <v>2830</v>
      </c>
      <c r="I306" s="22"/>
      <c r="K306" s="1" t="s">
        <v>2087</v>
      </c>
      <c r="L306" s="39" t="s">
        <v>2506</v>
      </c>
    </row>
    <row r="307" spans="1:12" ht="54" customHeight="1">
      <c r="A307" s="1">
        <v>632</v>
      </c>
      <c r="B307" s="1" t="s">
        <v>2831</v>
      </c>
      <c r="C307" s="1" t="s">
        <v>2832</v>
      </c>
      <c r="D307" s="1" t="s">
        <v>2784</v>
      </c>
      <c r="E307" s="1" t="s">
        <v>1653</v>
      </c>
      <c r="F307" s="1" t="s">
        <v>2833</v>
      </c>
      <c r="G307" s="7" t="s">
        <v>495</v>
      </c>
      <c r="H307" s="14" t="s">
        <v>495</v>
      </c>
      <c r="I307" s="10" t="s">
        <v>20</v>
      </c>
      <c r="K307" s="1" t="s">
        <v>2087</v>
      </c>
      <c r="L307" s="39" t="s">
        <v>2506</v>
      </c>
    </row>
    <row r="308" spans="1:12" ht="54" customHeight="1">
      <c r="A308" s="1">
        <v>635</v>
      </c>
      <c r="B308" s="1" t="s">
        <v>2834</v>
      </c>
      <c r="C308" s="1" t="s">
        <v>2835</v>
      </c>
      <c r="D308" s="1" t="s">
        <v>2784</v>
      </c>
      <c r="E308" s="1" t="s">
        <v>1653</v>
      </c>
      <c r="F308" s="1" t="s">
        <v>2836</v>
      </c>
      <c r="G308" s="7" t="s">
        <v>2837</v>
      </c>
      <c r="H308" s="22" t="s">
        <v>2837</v>
      </c>
      <c r="I308" s="22" t="s">
        <v>20</v>
      </c>
      <c r="K308" s="1" t="s">
        <v>2087</v>
      </c>
      <c r="L308" s="39" t="s">
        <v>2838</v>
      </c>
    </row>
    <row r="309" spans="1:12" ht="54" customHeight="1">
      <c r="A309" s="1">
        <v>97</v>
      </c>
      <c r="B309" s="1" t="s">
        <v>2839</v>
      </c>
      <c r="C309" s="1" t="s">
        <v>2840</v>
      </c>
      <c r="D309" s="1" t="s">
        <v>2784</v>
      </c>
      <c r="E309" s="1" t="s">
        <v>1653</v>
      </c>
      <c r="F309" s="1" t="s">
        <v>2841</v>
      </c>
      <c r="G309" s="6"/>
      <c r="K309" s="1" t="s">
        <v>2087</v>
      </c>
      <c r="L309" s="39" t="s">
        <v>2506</v>
      </c>
    </row>
    <row r="310" spans="1:12" ht="54" customHeight="1">
      <c r="A310" s="1">
        <v>103</v>
      </c>
      <c r="B310" s="1" t="s">
        <v>2842</v>
      </c>
      <c r="C310" s="1" t="s">
        <v>2843</v>
      </c>
      <c r="D310" s="1" t="s">
        <v>2784</v>
      </c>
      <c r="E310" s="1" t="s">
        <v>1653</v>
      </c>
      <c r="F310" s="1" t="s">
        <v>2844</v>
      </c>
      <c r="G310" s="6"/>
      <c r="K310" s="1" t="s">
        <v>2087</v>
      </c>
      <c r="L310" s="39" t="s">
        <v>2506</v>
      </c>
    </row>
    <row r="311" spans="1:12" ht="54" customHeight="1">
      <c r="A311" s="1">
        <v>106</v>
      </c>
      <c r="B311" s="1" t="s">
        <v>2845</v>
      </c>
      <c r="C311" s="1" t="s">
        <v>2846</v>
      </c>
      <c r="D311" s="1" t="s">
        <v>2784</v>
      </c>
      <c r="E311" s="1" t="s">
        <v>1653</v>
      </c>
      <c r="F311" s="1" t="s">
        <v>2847</v>
      </c>
      <c r="G311" s="7" t="s">
        <v>495</v>
      </c>
      <c r="H311" s="14" t="s">
        <v>495</v>
      </c>
      <c r="I311" s="10" t="s">
        <v>20</v>
      </c>
      <c r="K311" s="1" t="s">
        <v>2087</v>
      </c>
      <c r="L311" s="39" t="s">
        <v>2506</v>
      </c>
    </row>
    <row r="312" spans="1:12" ht="54" customHeight="1">
      <c r="A312" s="1">
        <v>113</v>
      </c>
      <c r="B312" s="1" t="s">
        <v>2848</v>
      </c>
      <c r="C312" s="1" t="s">
        <v>2849</v>
      </c>
      <c r="D312" s="1" t="s">
        <v>2784</v>
      </c>
      <c r="E312" s="1" t="s">
        <v>1653</v>
      </c>
      <c r="F312" s="1" t="s">
        <v>2850</v>
      </c>
      <c r="G312" s="7" t="s">
        <v>2837</v>
      </c>
      <c r="H312" s="14" t="s">
        <v>2837</v>
      </c>
      <c r="I312" s="10" t="s">
        <v>20</v>
      </c>
      <c r="K312" s="1" t="s">
        <v>2087</v>
      </c>
      <c r="L312" s="39" t="s">
        <v>2506</v>
      </c>
    </row>
    <row r="313" spans="1:12" ht="54" customHeight="1">
      <c r="A313" s="1">
        <v>114</v>
      </c>
      <c r="B313" s="1" t="s">
        <v>2851</v>
      </c>
      <c r="C313" s="1" t="s">
        <v>2852</v>
      </c>
      <c r="D313" s="1" t="s">
        <v>2784</v>
      </c>
      <c r="E313" s="1" t="s">
        <v>1653</v>
      </c>
      <c r="F313" s="1" t="s">
        <v>2853</v>
      </c>
      <c r="G313" s="6"/>
      <c r="K313" s="1" t="s">
        <v>2087</v>
      </c>
      <c r="L313" s="39" t="s">
        <v>2506</v>
      </c>
    </row>
    <row r="314" spans="1:12" ht="54" customHeight="1">
      <c r="A314" s="1">
        <v>116</v>
      </c>
      <c r="B314" s="1" t="s">
        <v>2854</v>
      </c>
      <c r="C314" s="1" t="s">
        <v>2855</v>
      </c>
      <c r="D314" s="1" t="s">
        <v>2784</v>
      </c>
      <c r="E314" s="1" t="s">
        <v>1653</v>
      </c>
      <c r="F314" s="1" t="s">
        <v>2856</v>
      </c>
      <c r="G314" s="6"/>
      <c r="K314" s="1" t="s">
        <v>2087</v>
      </c>
      <c r="L314" s="39" t="s">
        <v>2506</v>
      </c>
    </row>
    <row r="315" spans="1:12" ht="54" customHeight="1">
      <c r="A315" s="1">
        <v>642</v>
      </c>
      <c r="B315" s="1" t="s">
        <v>2857</v>
      </c>
      <c r="C315" s="1" t="s">
        <v>2858</v>
      </c>
      <c r="D315" s="1" t="s">
        <v>2784</v>
      </c>
      <c r="E315" s="1" t="s">
        <v>1653</v>
      </c>
      <c r="F315" s="1" t="s">
        <v>2859</v>
      </c>
      <c r="G315" s="7" t="s">
        <v>2860</v>
      </c>
      <c r="H315" s="14" t="s">
        <v>2860</v>
      </c>
      <c r="I315" s="10"/>
      <c r="K315" s="1" t="s">
        <v>2087</v>
      </c>
      <c r="L315" s="39" t="s">
        <v>2506</v>
      </c>
    </row>
    <row r="316" spans="1:12" ht="54" customHeight="1">
      <c r="A316" s="1">
        <v>123</v>
      </c>
      <c r="B316" s="1" t="s">
        <v>2861</v>
      </c>
      <c r="C316" s="1" t="s">
        <v>2862</v>
      </c>
      <c r="D316" s="1" t="s">
        <v>2784</v>
      </c>
      <c r="E316" s="1" t="s">
        <v>1653</v>
      </c>
      <c r="F316" s="1" t="s">
        <v>2863</v>
      </c>
      <c r="G316" s="7" t="s">
        <v>2864</v>
      </c>
      <c r="H316" s="14" t="s">
        <v>2864</v>
      </c>
      <c r="I316" s="10"/>
    </row>
    <row r="317" spans="1:12" ht="54" customHeight="1">
      <c r="A317" s="1">
        <v>136</v>
      </c>
      <c r="B317" s="1" t="s">
        <v>2865</v>
      </c>
      <c r="C317" s="1" t="s">
        <v>2866</v>
      </c>
      <c r="D317" s="1" t="s">
        <v>2784</v>
      </c>
      <c r="E317" s="1" t="s">
        <v>1653</v>
      </c>
      <c r="F317" s="1" t="s">
        <v>2867</v>
      </c>
      <c r="G317" s="7" t="s">
        <v>495</v>
      </c>
      <c r="H317" s="14" t="s">
        <v>495</v>
      </c>
      <c r="I317" s="10" t="s">
        <v>20</v>
      </c>
      <c r="K317" s="1" t="s">
        <v>2087</v>
      </c>
      <c r="L317" s="39" t="s">
        <v>2506</v>
      </c>
    </row>
    <row r="318" spans="1:12" ht="54" customHeight="1">
      <c r="A318" s="1">
        <v>139</v>
      </c>
      <c r="B318" s="1" t="s">
        <v>2868</v>
      </c>
      <c r="C318" s="1" t="s">
        <v>2869</v>
      </c>
      <c r="D318" s="1" t="s">
        <v>2784</v>
      </c>
      <c r="E318" s="1" t="s">
        <v>1653</v>
      </c>
      <c r="F318" s="1" t="s">
        <v>2870</v>
      </c>
      <c r="G318" s="7" t="s">
        <v>2452</v>
      </c>
      <c r="H318" s="14" t="s">
        <v>2452</v>
      </c>
      <c r="I318" s="10"/>
      <c r="K318" s="1" t="s">
        <v>2087</v>
      </c>
      <c r="L318" s="39" t="s">
        <v>2506</v>
      </c>
    </row>
    <row r="319" spans="1:12" ht="54" customHeight="1">
      <c r="A319" s="1">
        <v>648</v>
      </c>
      <c r="B319" s="1" t="s">
        <v>2871</v>
      </c>
      <c r="C319" s="1" t="s">
        <v>2872</v>
      </c>
      <c r="D319" s="1" t="s">
        <v>2784</v>
      </c>
      <c r="E319" s="1" t="s">
        <v>1653</v>
      </c>
      <c r="F319" s="1" t="s">
        <v>2873</v>
      </c>
      <c r="G319" s="6"/>
      <c r="K319" s="1" t="s">
        <v>2087</v>
      </c>
      <c r="L319" s="39" t="s">
        <v>2506</v>
      </c>
    </row>
    <row r="320" spans="1:12" ht="54" customHeight="1">
      <c r="A320" s="1">
        <v>140</v>
      </c>
      <c r="B320" s="1" t="s">
        <v>2874</v>
      </c>
      <c r="C320" s="1" t="s">
        <v>2875</v>
      </c>
      <c r="D320" s="1" t="s">
        <v>2784</v>
      </c>
      <c r="E320" s="1" t="s">
        <v>1653</v>
      </c>
      <c r="F320" s="1" t="s">
        <v>2876</v>
      </c>
      <c r="G320" s="7" t="s">
        <v>2448</v>
      </c>
      <c r="H320" s="14" t="s">
        <v>2448</v>
      </c>
      <c r="I320" s="10"/>
      <c r="K320" s="1" t="s">
        <v>2087</v>
      </c>
      <c r="L320" s="39" t="s">
        <v>2506</v>
      </c>
    </row>
    <row r="321" spans="1:12" ht="54" customHeight="1">
      <c r="A321" s="1">
        <v>650</v>
      </c>
      <c r="B321" s="1" t="s">
        <v>2877</v>
      </c>
      <c r="C321" s="1" t="s">
        <v>2878</v>
      </c>
      <c r="D321" s="1" t="s">
        <v>2784</v>
      </c>
      <c r="E321" s="1" t="s">
        <v>1653</v>
      </c>
      <c r="F321" s="1" t="s">
        <v>2879</v>
      </c>
      <c r="G321" s="7" t="s">
        <v>1373</v>
      </c>
      <c r="H321" s="22" t="s">
        <v>2595</v>
      </c>
      <c r="K321" s="1" t="s">
        <v>2087</v>
      </c>
      <c r="L321" s="39" t="s">
        <v>2506</v>
      </c>
    </row>
    <row r="322" spans="1:12" ht="54" customHeight="1">
      <c r="A322" s="1">
        <v>150</v>
      </c>
      <c r="B322" s="1" t="s">
        <v>2880</v>
      </c>
      <c r="C322" s="1" t="s">
        <v>2881</v>
      </c>
      <c r="D322" s="1" t="s">
        <v>2784</v>
      </c>
      <c r="E322" s="1" t="s">
        <v>1653</v>
      </c>
      <c r="F322" s="1" t="s">
        <v>2882</v>
      </c>
      <c r="G322" s="7" t="s">
        <v>2650</v>
      </c>
      <c r="H322" s="14" t="s">
        <v>2650</v>
      </c>
      <c r="K322" s="44" t="s">
        <v>2087</v>
      </c>
      <c r="L322" s="45" t="s">
        <v>2506</v>
      </c>
    </row>
    <row r="323" spans="1:12" ht="54" customHeight="1">
      <c r="A323" s="1">
        <v>159</v>
      </c>
      <c r="B323" s="1" t="s">
        <v>2883</v>
      </c>
      <c r="C323" s="1" t="s">
        <v>2884</v>
      </c>
      <c r="D323" s="1" t="s">
        <v>2784</v>
      </c>
      <c r="E323" s="1" t="s">
        <v>1653</v>
      </c>
      <c r="F323" s="1" t="s">
        <v>2885</v>
      </c>
      <c r="G323" s="7" t="s">
        <v>54</v>
      </c>
      <c r="J323" s="1" t="s">
        <v>2886</v>
      </c>
      <c r="K323" s="1" t="s">
        <v>2087</v>
      </c>
      <c r="L323" s="39" t="s">
        <v>2506</v>
      </c>
    </row>
    <row r="324" spans="1:12" ht="54" customHeight="1">
      <c r="A324" s="1">
        <v>161</v>
      </c>
      <c r="B324" s="1" t="s">
        <v>2887</v>
      </c>
      <c r="C324" s="1" t="s">
        <v>2888</v>
      </c>
      <c r="D324" s="1" t="s">
        <v>2784</v>
      </c>
      <c r="E324" s="1" t="s">
        <v>1653</v>
      </c>
      <c r="F324" s="1" t="s">
        <v>2889</v>
      </c>
      <c r="G324" s="7" t="s">
        <v>2890</v>
      </c>
      <c r="H324" s="14" t="s">
        <v>2890</v>
      </c>
      <c r="K324" s="44" t="s">
        <v>2087</v>
      </c>
      <c r="L324" s="45" t="s">
        <v>2506</v>
      </c>
    </row>
    <row r="325" spans="1:12" ht="54" customHeight="1">
      <c r="A325" s="1">
        <v>166</v>
      </c>
      <c r="B325" s="1" t="s">
        <v>2891</v>
      </c>
      <c r="C325" s="1" t="s">
        <v>2892</v>
      </c>
      <c r="D325" s="1" t="s">
        <v>2784</v>
      </c>
      <c r="E325" s="1" t="s">
        <v>1653</v>
      </c>
      <c r="F325" s="1" t="s">
        <v>2893</v>
      </c>
      <c r="G325" s="7" t="s">
        <v>2595</v>
      </c>
      <c r="H325" s="14" t="s">
        <v>2595</v>
      </c>
      <c r="K325" s="44" t="s">
        <v>2087</v>
      </c>
      <c r="L325" s="45" t="s">
        <v>2506</v>
      </c>
    </row>
    <row r="326" spans="1:12" ht="54" customHeight="1">
      <c r="A326" s="1">
        <v>182</v>
      </c>
      <c r="B326" s="1" t="s">
        <v>2894</v>
      </c>
      <c r="C326" s="1" t="s">
        <v>2895</v>
      </c>
      <c r="D326" s="1" t="s">
        <v>2784</v>
      </c>
      <c r="E326" s="1" t="s">
        <v>1653</v>
      </c>
      <c r="F326" s="1" t="s">
        <v>2896</v>
      </c>
      <c r="G326" s="7" t="s">
        <v>2897</v>
      </c>
      <c r="H326" s="14" t="s">
        <v>2897</v>
      </c>
    </row>
    <row r="327" spans="1:12" ht="54" customHeight="1">
      <c r="A327" s="1">
        <v>663</v>
      </c>
      <c r="B327" s="1" t="s">
        <v>2898</v>
      </c>
      <c r="C327" s="1" t="s">
        <v>2899</v>
      </c>
      <c r="D327" s="1" t="s">
        <v>2784</v>
      </c>
      <c r="E327" s="1" t="s">
        <v>1653</v>
      </c>
      <c r="F327" s="1" t="s">
        <v>2900</v>
      </c>
      <c r="G327" s="7" t="s">
        <v>2595</v>
      </c>
      <c r="H327" s="14" t="s">
        <v>2595</v>
      </c>
      <c r="K327" s="1" t="s">
        <v>2087</v>
      </c>
      <c r="L327" s="39" t="s">
        <v>2506</v>
      </c>
    </row>
    <row r="328" spans="1:12" ht="54" customHeight="1">
      <c r="A328" s="1">
        <v>191</v>
      </c>
      <c r="B328" s="1" t="s">
        <v>2901</v>
      </c>
      <c r="C328" s="1" t="s">
        <v>2902</v>
      </c>
      <c r="D328" s="1" t="s">
        <v>2784</v>
      </c>
      <c r="E328" s="1" t="s">
        <v>1653</v>
      </c>
      <c r="F328" s="1" t="s">
        <v>2903</v>
      </c>
      <c r="G328" s="7" t="s">
        <v>2595</v>
      </c>
      <c r="H328" s="22" t="s">
        <v>2595</v>
      </c>
      <c r="K328" s="1" t="s">
        <v>2087</v>
      </c>
      <c r="L328" s="39" t="s">
        <v>2506</v>
      </c>
    </row>
    <row r="329" spans="1:12" ht="54" customHeight="1">
      <c r="A329" s="1">
        <v>205</v>
      </c>
      <c r="B329" s="1" t="s">
        <v>2904</v>
      </c>
      <c r="C329" s="1" t="s">
        <v>2905</v>
      </c>
      <c r="D329" s="1" t="s">
        <v>2784</v>
      </c>
      <c r="E329" s="1" t="s">
        <v>1653</v>
      </c>
      <c r="F329" s="1" t="s">
        <v>2906</v>
      </c>
      <c r="G329" s="6"/>
      <c r="K329" s="1" t="s">
        <v>2087</v>
      </c>
      <c r="L329" s="39" t="s">
        <v>2506</v>
      </c>
    </row>
    <row r="330" spans="1:12" ht="54" customHeight="1">
      <c r="A330" s="1">
        <v>208</v>
      </c>
      <c r="B330" s="1" t="s">
        <v>2907</v>
      </c>
      <c r="C330" s="1" t="s">
        <v>2908</v>
      </c>
      <c r="D330" s="1" t="s">
        <v>2784</v>
      </c>
      <c r="E330" s="1" t="s">
        <v>1653</v>
      </c>
      <c r="F330" s="1" t="s">
        <v>2909</v>
      </c>
      <c r="G330" s="31"/>
      <c r="K330" s="1" t="s">
        <v>2087</v>
      </c>
      <c r="L330" s="39" t="s">
        <v>2506</v>
      </c>
    </row>
    <row r="331" spans="1:12" ht="54" customHeight="1">
      <c r="A331" s="1">
        <v>216</v>
      </c>
      <c r="B331" s="1" t="s">
        <v>2910</v>
      </c>
      <c r="C331" s="1" t="s">
        <v>2911</v>
      </c>
      <c r="D331" s="1" t="s">
        <v>2784</v>
      </c>
      <c r="E331" s="1" t="s">
        <v>1653</v>
      </c>
      <c r="F331" s="1" t="s">
        <v>2912</v>
      </c>
      <c r="G331" s="6"/>
      <c r="K331" s="1" t="s">
        <v>2087</v>
      </c>
      <c r="L331" s="39" t="s">
        <v>2506</v>
      </c>
    </row>
    <row r="332" spans="1:12" ht="54" customHeight="1">
      <c r="A332" s="1">
        <v>219</v>
      </c>
      <c r="B332" s="1" t="s">
        <v>2913</v>
      </c>
      <c r="C332" s="1" t="s">
        <v>2914</v>
      </c>
      <c r="D332" s="1" t="s">
        <v>2784</v>
      </c>
      <c r="E332" s="1" t="s">
        <v>1653</v>
      </c>
      <c r="F332" s="1" t="s">
        <v>2915</v>
      </c>
      <c r="G332" s="7" t="s">
        <v>2595</v>
      </c>
      <c r="H332" s="14" t="s">
        <v>2595</v>
      </c>
      <c r="K332" s="1" t="s">
        <v>2087</v>
      </c>
      <c r="L332" s="39" t="s">
        <v>2506</v>
      </c>
    </row>
    <row r="333" spans="1:12" ht="54" customHeight="1">
      <c r="A333" s="1">
        <v>231</v>
      </c>
      <c r="B333" s="1" t="s">
        <v>2916</v>
      </c>
      <c r="C333" s="1" t="s">
        <v>2917</v>
      </c>
      <c r="D333" s="1" t="s">
        <v>2784</v>
      </c>
      <c r="E333" s="1" t="s">
        <v>1653</v>
      </c>
      <c r="F333" s="1" t="s">
        <v>2918</v>
      </c>
      <c r="G333" s="7" t="s">
        <v>495</v>
      </c>
      <c r="H333" s="14" t="s">
        <v>495</v>
      </c>
      <c r="K333" s="1" t="s">
        <v>2087</v>
      </c>
      <c r="L333" s="39" t="s">
        <v>2506</v>
      </c>
    </row>
    <row r="334" spans="1:12" ht="54" customHeight="1">
      <c r="A334" s="1">
        <v>233</v>
      </c>
      <c r="B334" s="1" t="s">
        <v>2919</v>
      </c>
      <c r="C334" s="1" t="s">
        <v>2920</v>
      </c>
      <c r="D334" s="1" t="s">
        <v>2784</v>
      </c>
      <c r="E334" s="1" t="s">
        <v>1653</v>
      </c>
      <c r="F334" s="1" t="s">
        <v>2921</v>
      </c>
      <c r="G334" s="7" t="s">
        <v>2922</v>
      </c>
      <c r="H334" s="14" t="s">
        <v>2922</v>
      </c>
      <c r="J334" s="1" t="s">
        <v>2923</v>
      </c>
      <c r="K334" s="1" t="s">
        <v>1648</v>
      </c>
      <c r="L334" s="39" t="s">
        <v>1704</v>
      </c>
    </row>
    <row r="335" spans="1:12" ht="54" customHeight="1">
      <c r="A335" s="1">
        <v>262</v>
      </c>
      <c r="B335" s="1" t="s">
        <v>2924</v>
      </c>
      <c r="C335" s="1" t="s">
        <v>2925</v>
      </c>
      <c r="D335" s="1" t="s">
        <v>2784</v>
      </c>
      <c r="E335" s="1" t="s">
        <v>1653</v>
      </c>
      <c r="F335" s="1" t="s">
        <v>2926</v>
      </c>
      <c r="G335" s="7" t="s">
        <v>2927</v>
      </c>
      <c r="J335" s="1" t="s">
        <v>2928</v>
      </c>
      <c r="K335" s="1" t="s">
        <v>1648</v>
      </c>
      <c r="L335" s="50" t="s">
        <v>2929</v>
      </c>
    </row>
    <row r="336" spans="1:12" ht="54" customHeight="1">
      <c r="A336" s="1">
        <v>263</v>
      </c>
      <c r="B336" s="1" t="s">
        <v>2930</v>
      </c>
      <c r="C336" s="1" t="s">
        <v>2931</v>
      </c>
      <c r="D336" s="1" t="s">
        <v>2784</v>
      </c>
      <c r="E336" s="1" t="s">
        <v>1653</v>
      </c>
      <c r="F336" s="1" t="s">
        <v>2932</v>
      </c>
      <c r="G336" s="7" t="s">
        <v>2933</v>
      </c>
      <c r="H336" s="22" t="s">
        <v>2934</v>
      </c>
      <c r="I336" s="22"/>
      <c r="K336" s="1" t="s">
        <v>2087</v>
      </c>
      <c r="L336" s="39" t="s">
        <v>2742</v>
      </c>
    </row>
    <row r="337" spans="1:12" ht="54" customHeight="1">
      <c r="A337" s="1">
        <v>264</v>
      </c>
      <c r="B337" s="1" t="s">
        <v>2935</v>
      </c>
      <c r="C337" s="1" t="s">
        <v>2936</v>
      </c>
      <c r="D337" s="1" t="s">
        <v>2784</v>
      </c>
      <c r="E337" s="1" t="s">
        <v>1653</v>
      </c>
      <c r="F337" s="1" t="s">
        <v>2937</v>
      </c>
      <c r="G337" s="7" t="s">
        <v>2628</v>
      </c>
      <c r="J337" s="1" t="s">
        <v>2938</v>
      </c>
      <c r="K337" s="1" t="s">
        <v>2087</v>
      </c>
      <c r="L337" s="39" t="s">
        <v>2506</v>
      </c>
    </row>
    <row r="338" spans="1:12" ht="54" customHeight="1">
      <c r="A338" s="1">
        <v>265</v>
      </c>
      <c r="B338" s="1" t="s">
        <v>2939</v>
      </c>
      <c r="C338" s="1" t="s">
        <v>2940</v>
      </c>
      <c r="D338" s="1" t="s">
        <v>2784</v>
      </c>
      <c r="E338" s="1" t="s">
        <v>1653</v>
      </c>
      <c r="F338" s="1" t="s">
        <v>2941</v>
      </c>
      <c r="G338" s="6"/>
      <c r="K338" s="1" t="s">
        <v>2087</v>
      </c>
      <c r="L338" s="39" t="s">
        <v>2506</v>
      </c>
    </row>
    <row r="339" spans="1:12" ht="54" customHeight="1">
      <c r="A339" s="1">
        <v>266</v>
      </c>
      <c r="B339" s="1" t="s">
        <v>2942</v>
      </c>
      <c r="C339" s="1" t="s">
        <v>2943</v>
      </c>
      <c r="D339" s="1" t="s">
        <v>2784</v>
      </c>
      <c r="E339" s="1" t="s">
        <v>1653</v>
      </c>
      <c r="F339" s="1" t="s">
        <v>2944</v>
      </c>
      <c r="G339" s="7" t="s">
        <v>92</v>
      </c>
      <c r="H339" s="14" t="s">
        <v>92</v>
      </c>
      <c r="I339" s="25" t="s">
        <v>20</v>
      </c>
      <c r="K339" s="1" t="s">
        <v>2087</v>
      </c>
      <c r="L339" s="39" t="s">
        <v>2506</v>
      </c>
    </row>
    <row r="340" spans="1:12" ht="54" customHeight="1">
      <c r="A340" s="1">
        <v>267</v>
      </c>
      <c r="B340" s="1" t="s">
        <v>2945</v>
      </c>
      <c r="C340" s="1" t="s">
        <v>2946</v>
      </c>
      <c r="D340" s="1" t="s">
        <v>2784</v>
      </c>
      <c r="E340" s="1" t="s">
        <v>1653</v>
      </c>
      <c r="F340" s="1" t="s">
        <v>2947</v>
      </c>
      <c r="G340" s="7" t="s">
        <v>2948</v>
      </c>
      <c r="H340" s="14" t="s">
        <v>2948</v>
      </c>
      <c r="I340" s="10"/>
      <c r="K340" s="1" t="s">
        <v>2087</v>
      </c>
      <c r="L340" s="39" t="s">
        <v>2742</v>
      </c>
    </row>
    <row r="341" spans="1:12" ht="54" customHeight="1">
      <c r="A341" s="1">
        <v>268</v>
      </c>
      <c r="B341" s="1" t="s">
        <v>2949</v>
      </c>
      <c r="C341" s="1" t="s">
        <v>2950</v>
      </c>
      <c r="D341" s="1" t="s">
        <v>2784</v>
      </c>
      <c r="E341" s="1" t="s">
        <v>1653</v>
      </c>
      <c r="F341" s="1" t="s">
        <v>2951</v>
      </c>
      <c r="G341" s="7" t="s">
        <v>2588</v>
      </c>
      <c r="H341" s="14" t="s">
        <v>2588</v>
      </c>
      <c r="I341" s="10" t="s">
        <v>20</v>
      </c>
      <c r="K341" s="1" t="s">
        <v>2087</v>
      </c>
      <c r="L341" s="39" t="s">
        <v>2506</v>
      </c>
    </row>
    <row r="342" spans="1:12" ht="54" customHeight="1">
      <c r="A342" s="1">
        <v>269</v>
      </c>
      <c r="B342" s="1" t="s">
        <v>2952</v>
      </c>
      <c r="C342" s="1" t="s">
        <v>2953</v>
      </c>
      <c r="D342" s="1" t="s">
        <v>2784</v>
      </c>
      <c r="E342" s="1" t="s">
        <v>1653</v>
      </c>
      <c r="F342" s="1" t="s">
        <v>2954</v>
      </c>
      <c r="G342" s="7" t="s">
        <v>33</v>
      </c>
      <c r="H342" s="14" t="s">
        <v>33</v>
      </c>
      <c r="I342" s="25"/>
      <c r="K342" s="1" t="s">
        <v>2087</v>
      </c>
      <c r="L342" s="39" t="s">
        <v>2506</v>
      </c>
    </row>
    <row r="343" spans="1:12" ht="54" customHeight="1">
      <c r="A343" s="1">
        <v>270</v>
      </c>
      <c r="B343" s="1" t="s">
        <v>2955</v>
      </c>
      <c r="C343" s="1" t="s">
        <v>2956</v>
      </c>
      <c r="D343" s="1" t="s">
        <v>2784</v>
      </c>
      <c r="E343" s="1" t="s">
        <v>1653</v>
      </c>
      <c r="F343" s="1" t="s">
        <v>2957</v>
      </c>
      <c r="G343" s="7" t="s">
        <v>495</v>
      </c>
      <c r="H343" s="14" t="s">
        <v>495</v>
      </c>
      <c r="I343" s="25" t="s">
        <v>20</v>
      </c>
      <c r="K343" s="1" t="s">
        <v>2087</v>
      </c>
      <c r="L343" s="39" t="s">
        <v>2506</v>
      </c>
    </row>
    <row r="344" spans="1:12" ht="54" customHeight="1">
      <c r="A344" s="1">
        <v>39140</v>
      </c>
      <c r="B344" s="1" t="s">
        <v>2958</v>
      </c>
      <c r="C344" s="1" t="s">
        <v>2959</v>
      </c>
      <c r="D344" s="1" t="s">
        <v>2784</v>
      </c>
      <c r="E344" s="1" t="s">
        <v>1653</v>
      </c>
      <c r="F344" s="1" t="s">
        <v>2960</v>
      </c>
      <c r="G344" s="6"/>
      <c r="K344" s="1" t="s">
        <v>2087</v>
      </c>
      <c r="L344" s="39" t="s">
        <v>2506</v>
      </c>
    </row>
    <row r="345" spans="1:12" ht="54" customHeight="1">
      <c r="A345" s="1">
        <v>673</v>
      </c>
      <c r="B345" s="1" t="s">
        <v>2958</v>
      </c>
      <c r="C345" s="1" t="s">
        <v>2961</v>
      </c>
      <c r="D345" s="1" t="s">
        <v>2784</v>
      </c>
      <c r="E345" s="1" t="s">
        <v>1653</v>
      </c>
      <c r="F345" s="1" t="s">
        <v>2960</v>
      </c>
      <c r="G345" s="6"/>
      <c r="K345" s="1" t="s">
        <v>2087</v>
      </c>
      <c r="L345" s="39" t="s">
        <v>2506</v>
      </c>
    </row>
    <row r="346" spans="1:12" ht="54" customHeight="1">
      <c r="A346" s="1">
        <v>272</v>
      </c>
      <c r="B346" s="1" t="s">
        <v>2962</v>
      </c>
      <c r="C346" s="1" t="s">
        <v>2963</v>
      </c>
      <c r="D346" s="1" t="s">
        <v>2784</v>
      </c>
      <c r="E346" s="1" t="s">
        <v>1653</v>
      </c>
      <c r="F346" s="1" t="s">
        <v>2964</v>
      </c>
      <c r="G346" s="7" t="s">
        <v>2837</v>
      </c>
      <c r="H346" s="14" t="s">
        <v>2837</v>
      </c>
      <c r="I346" s="25" t="s">
        <v>20</v>
      </c>
      <c r="K346" s="1" t="s">
        <v>2087</v>
      </c>
      <c r="L346" s="39" t="s">
        <v>2506</v>
      </c>
    </row>
    <row r="347" spans="1:12" ht="54" customHeight="1">
      <c r="A347" s="1">
        <v>285</v>
      </c>
      <c r="B347" s="1" t="s">
        <v>2965</v>
      </c>
      <c r="C347" s="1" t="s">
        <v>2966</v>
      </c>
      <c r="D347" s="1" t="s">
        <v>2784</v>
      </c>
      <c r="E347" s="1" t="s">
        <v>1653</v>
      </c>
      <c r="F347" s="1" t="s">
        <v>2967</v>
      </c>
      <c r="G347" s="7" t="s">
        <v>2968</v>
      </c>
      <c r="H347" s="14" t="s">
        <v>2968</v>
      </c>
      <c r="I347" s="10"/>
      <c r="K347" s="1" t="s">
        <v>2087</v>
      </c>
      <c r="L347" s="39" t="s">
        <v>2742</v>
      </c>
    </row>
    <row r="348" spans="1:12" ht="54" customHeight="1">
      <c r="A348" s="1">
        <v>286</v>
      </c>
      <c r="B348" s="1" t="s">
        <v>2969</v>
      </c>
      <c r="C348" s="1" t="s">
        <v>2970</v>
      </c>
      <c r="D348" s="1" t="s">
        <v>2784</v>
      </c>
      <c r="E348" s="1" t="s">
        <v>1653</v>
      </c>
      <c r="F348" s="1" t="s">
        <v>2971</v>
      </c>
      <c r="G348" s="7" t="s">
        <v>2972</v>
      </c>
      <c r="H348" s="14" t="s">
        <v>2972</v>
      </c>
      <c r="I348" s="10"/>
      <c r="K348" s="1" t="s">
        <v>2087</v>
      </c>
      <c r="L348" s="39" t="s">
        <v>2506</v>
      </c>
    </row>
    <row r="349" spans="1:12" ht="54" customHeight="1">
      <c r="A349" s="1">
        <v>287</v>
      </c>
      <c r="B349" s="1" t="s">
        <v>2973</v>
      </c>
      <c r="C349" s="1" t="s">
        <v>2974</v>
      </c>
      <c r="D349" s="1" t="s">
        <v>2784</v>
      </c>
      <c r="E349" s="1" t="s">
        <v>1653</v>
      </c>
      <c r="F349" s="1" t="s">
        <v>2975</v>
      </c>
      <c r="G349" s="7" t="s">
        <v>2595</v>
      </c>
      <c r="H349" s="22" t="s">
        <v>2976</v>
      </c>
      <c r="I349" s="22"/>
      <c r="K349" s="1" t="s">
        <v>2087</v>
      </c>
      <c r="L349" s="39" t="s">
        <v>2506</v>
      </c>
    </row>
    <row r="350" spans="1:12" ht="54" customHeight="1">
      <c r="A350" s="1">
        <v>288</v>
      </c>
      <c r="B350" s="1" t="s">
        <v>2977</v>
      </c>
      <c r="C350" s="1" t="s">
        <v>2978</v>
      </c>
      <c r="D350" s="1" t="s">
        <v>2784</v>
      </c>
      <c r="E350" s="1" t="s">
        <v>1653</v>
      </c>
      <c r="F350" s="1" t="s">
        <v>2979</v>
      </c>
      <c r="G350" s="7" t="s">
        <v>2980</v>
      </c>
      <c r="H350" s="22" t="s">
        <v>2981</v>
      </c>
      <c r="I350" s="22"/>
      <c r="K350" s="1" t="s">
        <v>2087</v>
      </c>
      <c r="L350" s="39" t="s">
        <v>2506</v>
      </c>
    </row>
    <row r="351" spans="1:12" ht="54" customHeight="1">
      <c r="A351" s="1">
        <v>290</v>
      </c>
      <c r="B351" s="1" t="s">
        <v>2982</v>
      </c>
      <c r="C351" s="1" t="s">
        <v>2983</v>
      </c>
      <c r="D351" s="1" t="s">
        <v>2784</v>
      </c>
      <c r="E351" s="1" t="s">
        <v>1653</v>
      </c>
      <c r="F351" s="1" t="s">
        <v>2984</v>
      </c>
      <c r="G351" s="7" t="s">
        <v>2976</v>
      </c>
      <c r="H351" s="22" t="s">
        <v>2976</v>
      </c>
      <c r="I351" s="22"/>
      <c r="K351" s="1" t="s">
        <v>2087</v>
      </c>
      <c r="L351" s="39" t="s">
        <v>2506</v>
      </c>
    </row>
    <row r="352" spans="1:12" ht="54" customHeight="1">
      <c r="A352" s="1">
        <v>296</v>
      </c>
      <c r="B352" s="1" t="s">
        <v>2985</v>
      </c>
      <c r="C352" s="1" t="s">
        <v>2986</v>
      </c>
      <c r="D352" s="1" t="s">
        <v>2784</v>
      </c>
      <c r="E352" s="1" t="s">
        <v>1653</v>
      </c>
      <c r="F352" s="1" t="s">
        <v>2987</v>
      </c>
      <c r="G352" s="7" t="s">
        <v>2927</v>
      </c>
      <c r="H352" s="14" t="s">
        <v>2927</v>
      </c>
      <c r="I352" s="10"/>
      <c r="K352" s="1" t="s">
        <v>2087</v>
      </c>
      <c r="L352" s="39" t="s">
        <v>2742</v>
      </c>
    </row>
    <row r="353" spans="1:12" ht="54" customHeight="1">
      <c r="A353" s="1">
        <v>299</v>
      </c>
      <c r="B353" s="1" t="s">
        <v>2988</v>
      </c>
      <c r="C353" s="1" t="s">
        <v>2989</v>
      </c>
      <c r="D353" s="1" t="s">
        <v>2784</v>
      </c>
      <c r="E353" s="1" t="s">
        <v>1653</v>
      </c>
      <c r="F353" s="1" t="s">
        <v>2990</v>
      </c>
      <c r="G353" s="7" t="s">
        <v>2991</v>
      </c>
      <c r="H353" s="14" t="s">
        <v>2991</v>
      </c>
      <c r="I353" s="10"/>
      <c r="K353" s="1" t="s">
        <v>2087</v>
      </c>
      <c r="L353" s="39" t="s">
        <v>2506</v>
      </c>
    </row>
    <row r="354" spans="1:12" ht="54" customHeight="1">
      <c r="A354" s="1">
        <v>679</v>
      </c>
      <c r="B354" s="1" t="s">
        <v>2992</v>
      </c>
      <c r="C354" s="1" t="s">
        <v>2993</v>
      </c>
      <c r="D354" s="1" t="s">
        <v>2784</v>
      </c>
      <c r="E354" s="1" t="s">
        <v>1653</v>
      </c>
      <c r="F354" s="1" t="s">
        <v>2994</v>
      </c>
      <c r="G354" s="7" t="s">
        <v>495</v>
      </c>
      <c r="H354" s="14" t="s">
        <v>495</v>
      </c>
      <c r="I354" s="25" t="s">
        <v>20</v>
      </c>
      <c r="K354" s="1" t="s">
        <v>2087</v>
      </c>
      <c r="L354" s="39" t="s">
        <v>2506</v>
      </c>
    </row>
    <row r="355" spans="1:12" ht="54" customHeight="1">
      <c r="A355" s="1">
        <v>310</v>
      </c>
      <c r="B355" s="1" t="s">
        <v>2995</v>
      </c>
      <c r="C355" s="1" t="s">
        <v>2996</v>
      </c>
      <c r="D355" s="1" t="s">
        <v>2784</v>
      </c>
      <c r="E355" s="1" t="s">
        <v>1653</v>
      </c>
      <c r="F355" s="1" t="s">
        <v>2997</v>
      </c>
      <c r="G355" s="7" t="s">
        <v>495</v>
      </c>
      <c r="H355" s="14" t="s">
        <v>495</v>
      </c>
      <c r="I355" s="25" t="s">
        <v>20</v>
      </c>
      <c r="K355" s="1" t="s">
        <v>2087</v>
      </c>
      <c r="L355" s="39" t="s">
        <v>2506</v>
      </c>
    </row>
    <row r="356" spans="1:12" ht="54" customHeight="1">
      <c r="A356" s="1">
        <v>315</v>
      </c>
      <c r="B356" s="1" t="s">
        <v>2998</v>
      </c>
      <c r="C356" s="1" t="s">
        <v>2999</v>
      </c>
      <c r="D356" s="1" t="s">
        <v>2784</v>
      </c>
      <c r="E356" s="1" t="s">
        <v>1653</v>
      </c>
      <c r="F356" s="1" t="s">
        <v>3000</v>
      </c>
      <c r="G356" s="7" t="s">
        <v>3001</v>
      </c>
      <c r="H356" s="7" t="s">
        <v>3001</v>
      </c>
      <c r="K356" s="1" t="s">
        <v>1648</v>
      </c>
      <c r="L356" s="39" t="s">
        <v>2929</v>
      </c>
    </row>
    <row r="357" spans="1:12" ht="54" customHeight="1">
      <c r="A357" s="1">
        <v>322</v>
      </c>
      <c r="B357" s="1" t="s">
        <v>3002</v>
      </c>
      <c r="C357" s="1" t="s">
        <v>3003</v>
      </c>
      <c r="D357" s="1" t="s">
        <v>2784</v>
      </c>
      <c r="E357" s="1" t="s">
        <v>1653</v>
      </c>
      <c r="F357" s="1" t="s">
        <v>3004</v>
      </c>
      <c r="G357" s="7" t="s">
        <v>3005</v>
      </c>
      <c r="J357" s="1" t="s">
        <v>3006</v>
      </c>
      <c r="K357" s="1" t="s">
        <v>2087</v>
      </c>
      <c r="L357" s="39" t="s">
        <v>2506</v>
      </c>
    </row>
    <row r="358" spans="1:12" ht="54" customHeight="1">
      <c r="A358" s="1">
        <v>328</v>
      </c>
      <c r="B358" s="1" t="s">
        <v>3007</v>
      </c>
      <c r="C358" s="1" t="s">
        <v>3008</v>
      </c>
      <c r="D358" s="1" t="s">
        <v>2784</v>
      </c>
      <c r="E358" s="1" t="s">
        <v>1653</v>
      </c>
      <c r="F358" s="1" t="s">
        <v>3009</v>
      </c>
      <c r="G358" s="7" t="s">
        <v>2595</v>
      </c>
      <c r="H358" s="7" t="s">
        <v>2595</v>
      </c>
      <c r="K358" s="1" t="s">
        <v>2087</v>
      </c>
      <c r="L358" s="39" t="s">
        <v>2506</v>
      </c>
    </row>
    <row r="359" spans="1:12" ht="54" customHeight="1">
      <c r="A359" s="1">
        <v>329</v>
      </c>
      <c r="B359" s="1" t="s">
        <v>3010</v>
      </c>
      <c r="C359" s="1" t="s">
        <v>3011</v>
      </c>
      <c r="D359" s="1" t="s">
        <v>2784</v>
      </c>
      <c r="E359" s="1" t="s">
        <v>1653</v>
      </c>
      <c r="F359" s="1" t="s">
        <v>3012</v>
      </c>
      <c r="G359" s="6" t="s">
        <v>3013</v>
      </c>
      <c r="K359" s="1" t="s">
        <v>2087</v>
      </c>
      <c r="L359" s="39" t="s">
        <v>2506</v>
      </c>
    </row>
    <row r="360" spans="1:12" ht="54" customHeight="1">
      <c r="A360" s="1">
        <v>333</v>
      </c>
      <c r="B360" s="1" t="s">
        <v>3014</v>
      </c>
      <c r="C360" s="1" t="s">
        <v>3015</v>
      </c>
      <c r="D360" s="1" t="s">
        <v>2784</v>
      </c>
      <c r="E360" s="1" t="s">
        <v>1653</v>
      </c>
      <c r="F360" s="1" t="s">
        <v>3016</v>
      </c>
      <c r="G360" s="7" t="s">
        <v>495</v>
      </c>
      <c r="H360" s="7" t="s">
        <v>495</v>
      </c>
      <c r="K360" s="1" t="s">
        <v>2087</v>
      </c>
      <c r="L360" s="39" t="s">
        <v>2506</v>
      </c>
    </row>
    <row r="361" spans="1:12" ht="54" customHeight="1">
      <c r="A361" s="1">
        <v>334</v>
      </c>
      <c r="B361" s="1" t="s">
        <v>3017</v>
      </c>
      <c r="C361" s="1" t="s">
        <v>3018</v>
      </c>
      <c r="D361" s="1" t="s">
        <v>2784</v>
      </c>
      <c r="E361" s="1" t="s">
        <v>1653</v>
      </c>
      <c r="F361" s="1" t="s">
        <v>3019</v>
      </c>
      <c r="G361" s="7" t="s">
        <v>3020</v>
      </c>
      <c r="H361" s="14" t="s">
        <v>3020</v>
      </c>
      <c r="I361" s="10"/>
      <c r="K361" s="1" t="s">
        <v>2087</v>
      </c>
      <c r="L361" s="39" t="s">
        <v>2506</v>
      </c>
    </row>
    <row r="362" spans="1:12" ht="54" customHeight="1">
      <c r="A362" s="1">
        <v>335</v>
      </c>
      <c r="B362" s="1" t="s">
        <v>3021</v>
      </c>
      <c r="C362" s="1" t="s">
        <v>3022</v>
      </c>
      <c r="D362" s="1" t="s">
        <v>2784</v>
      </c>
      <c r="E362" s="1" t="s">
        <v>1653</v>
      </c>
      <c r="F362" s="1" t="s">
        <v>3023</v>
      </c>
      <c r="G362" s="7" t="s">
        <v>495</v>
      </c>
      <c r="H362" s="14" t="s">
        <v>495</v>
      </c>
      <c r="I362" s="25" t="s">
        <v>20</v>
      </c>
      <c r="K362" s="1" t="s">
        <v>2087</v>
      </c>
      <c r="L362" s="39" t="s">
        <v>2506</v>
      </c>
    </row>
    <row r="363" spans="1:12" ht="54" customHeight="1">
      <c r="A363" s="1">
        <v>336</v>
      </c>
      <c r="B363" s="1" t="s">
        <v>3024</v>
      </c>
      <c r="C363" s="1" t="s">
        <v>3025</v>
      </c>
      <c r="D363" s="1" t="s">
        <v>2784</v>
      </c>
      <c r="E363" s="1" t="s">
        <v>1653</v>
      </c>
      <c r="F363" s="1" t="s">
        <v>3026</v>
      </c>
      <c r="G363" s="7" t="s">
        <v>3027</v>
      </c>
      <c r="H363" s="7" t="s">
        <v>3027</v>
      </c>
      <c r="K363" s="1" t="s">
        <v>2087</v>
      </c>
      <c r="L363" s="39" t="s">
        <v>2506</v>
      </c>
    </row>
    <row r="364" spans="1:12" ht="54" customHeight="1">
      <c r="A364" s="1">
        <v>337</v>
      </c>
      <c r="B364" s="1" t="s">
        <v>3028</v>
      </c>
      <c r="C364" s="1" t="s">
        <v>3029</v>
      </c>
      <c r="D364" s="1" t="s">
        <v>2784</v>
      </c>
      <c r="E364" s="1" t="s">
        <v>1653</v>
      </c>
      <c r="F364" s="1" t="s">
        <v>3030</v>
      </c>
      <c r="G364" s="6"/>
      <c r="K364" s="1" t="s">
        <v>2087</v>
      </c>
      <c r="L364" s="39" t="s">
        <v>2506</v>
      </c>
    </row>
    <row r="365" spans="1:12" ht="54" customHeight="1">
      <c r="A365" s="1">
        <v>344</v>
      </c>
      <c r="B365" s="1" t="s">
        <v>3031</v>
      </c>
      <c r="C365" s="1" t="s">
        <v>3032</v>
      </c>
      <c r="D365" s="1" t="s">
        <v>2784</v>
      </c>
      <c r="E365" s="1" t="s">
        <v>1653</v>
      </c>
      <c r="F365" s="1" t="s">
        <v>3033</v>
      </c>
      <c r="G365" s="7" t="s">
        <v>3034</v>
      </c>
      <c r="H365" s="22" t="s">
        <v>3034</v>
      </c>
      <c r="I365" s="22"/>
      <c r="K365" s="1" t="s">
        <v>2087</v>
      </c>
      <c r="L365" s="39" t="s">
        <v>2506</v>
      </c>
    </row>
    <row r="366" spans="1:12" ht="54" customHeight="1">
      <c r="A366" s="1">
        <v>688</v>
      </c>
      <c r="B366" s="1" t="s">
        <v>3035</v>
      </c>
      <c r="C366" s="1" t="s">
        <v>3036</v>
      </c>
      <c r="D366" s="1" t="s">
        <v>2784</v>
      </c>
      <c r="E366" s="1" t="s">
        <v>1653</v>
      </c>
      <c r="F366" s="1" t="s">
        <v>3037</v>
      </c>
      <c r="G366" s="7" t="s">
        <v>495</v>
      </c>
      <c r="H366" s="14" t="s">
        <v>495</v>
      </c>
      <c r="I366" s="25" t="s">
        <v>20</v>
      </c>
      <c r="K366" s="1" t="s">
        <v>2087</v>
      </c>
      <c r="L366" s="39" t="s">
        <v>2506</v>
      </c>
    </row>
    <row r="367" spans="1:12" ht="54" customHeight="1">
      <c r="A367" s="1">
        <v>363</v>
      </c>
      <c r="B367" s="1" t="s">
        <v>3038</v>
      </c>
      <c r="C367" s="1" t="s">
        <v>3039</v>
      </c>
      <c r="D367" s="1" t="s">
        <v>2784</v>
      </c>
      <c r="E367" s="1" t="s">
        <v>1653</v>
      </c>
      <c r="F367" s="1" t="s">
        <v>3040</v>
      </c>
      <c r="G367" s="7" t="s">
        <v>495</v>
      </c>
      <c r="H367" s="14" t="s">
        <v>495</v>
      </c>
      <c r="I367" s="25" t="s">
        <v>20</v>
      </c>
      <c r="K367" s="1" t="s">
        <v>2087</v>
      </c>
      <c r="L367" s="39" t="s">
        <v>2506</v>
      </c>
    </row>
    <row r="368" spans="1:12" ht="54" customHeight="1">
      <c r="A368" s="1">
        <v>388</v>
      </c>
      <c r="B368" s="1" t="s">
        <v>3041</v>
      </c>
      <c r="C368" s="1" t="s">
        <v>3042</v>
      </c>
      <c r="D368" s="1" t="s">
        <v>2784</v>
      </c>
      <c r="E368" s="1" t="s">
        <v>1653</v>
      </c>
      <c r="F368" s="1" t="s">
        <v>3043</v>
      </c>
      <c r="G368" s="7" t="s">
        <v>2584</v>
      </c>
      <c r="H368" s="22" t="s">
        <v>2584</v>
      </c>
      <c r="I368" s="22"/>
    </row>
    <row r="369" spans="1:12" ht="54" customHeight="1">
      <c r="A369" s="1">
        <v>716</v>
      </c>
      <c r="B369" s="1" t="s">
        <v>3044</v>
      </c>
      <c r="C369" s="1" t="s">
        <v>3045</v>
      </c>
      <c r="D369" s="1" t="s">
        <v>2784</v>
      </c>
      <c r="E369" s="1" t="s">
        <v>1653</v>
      </c>
      <c r="F369" s="1" t="s">
        <v>3046</v>
      </c>
      <c r="G369" s="7" t="s">
        <v>3047</v>
      </c>
      <c r="H369" s="14" t="s">
        <v>3047</v>
      </c>
      <c r="I369" s="14"/>
      <c r="K369" s="1" t="s">
        <v>2087</v>
      </c>
      <c r="L369" s="39" t="s">
        <v>2506</v>
      </c>
    </row>
    <row r="370" spans="1:12" ht="54" customHeight="1">
      <c r="A370" s="1">
        <v>720</v>
      </c>
      <c r="B370" s="1" t="s">
        <v>3048</v>
      </c>
      <c r="C370" s="1" t="s">
        <v>3049</v>
      </c>
      <c r="D370" s="1" t="s">
        <v>2784</v>
      </c>
      <c r="E370" s="1" t="s">
        <v>1653</v>
      </c>
      <c r="F370" s="1" t="s">
        <v>3050</v>
      </c>
      <c r="G370" s="7" t="s">
        <v>2595</v>
      </c>
      <c r="J370" s="1" t="s">
        <v>3051</v>
      </c>
      <c r="K370" s="1" t="s">
        <v>2087</v>
      </c>
      <c r="L370" s="39" t="s">
        <v>2506</v>
      </c>
    </row>
    <row r="371" spans="1:12" ht="54" customHeight="1">
      <c r="A371" s="1">
        <v>722</v>
      </c>
      <c r="B371" s="1" t="s">
        <v>3052</v>
      </c>
      <c r="C371" s="1" t="s">
        <v>3053</v>
      </c>
      <c r="D371" s="1" t="s">
        <v>2784</v>
      </c>
      <c r="E371" s="1" t="s">
        <v>1653</v>
      </c>
      <c r="F371" s="1" t="s">
        <v>3054</v>
      </c>
      <c r="G371" s="7" t="s">
        <v>3055</v>
      </c>
      <c r="H371" s="14" t="s">
        <v>3055</v>
      </c>
      <c r="I371" s="25"/>
      <c r="K371" s="1" t="s">
        <v>2087</v>
      </c>
      <c r="L371" s="39" t="s">
        <v>2506</v>
      </c>
    </row>
    <row r="372" spans="1:12" ht="54" customHeight="1">
      <c r="A372" s="1">
        <v>409</v>
      </c>
      <c r="B372" s="1" t="s">
        <v>3056</v>
      </c>
      <c r="C372" s="1" t="s">
        <v>3057</v>
      </c>
      <c r="D372" s="1" t="s">
        <v>2784</v>
      </c>
      <c r="E372" s="1" t="s">
        <v>1653</v>
      </c>
      <c r="F372" s="1" t="s">
        <v>3058</v>
      </c>
      <c r="G372" s="7" t="s">
        <v>2595</v>
      </c>
      <c r="H372" s="14" t="s">
        <v>2595</v>
      </c>
      <c r="I372" s="25" t="s">
        <v>20</v>
      </c>
      <c r="K372" s="1" t="s">
        <v>2087</v>
      </c>
      <c r="L372" s="39" t="s">
        <v>2506</v>
      </c>
    </row>
    <row r="373" spans="1:12" ht="54" customHeight="1">
      <c r="A373" s="1">
        <v>728</v>
      </c>
      <c r="B373" s="1" t="s">
        <v>3059</v>
      </c>
      <c r="C373" s="1" t="s">
        <v>3060</v>
      </c>
      <c r="D373" s="1" t="s">
        <v>2784</v>
      </c>
      <c r="E373" s="1" t="s">
        <v>1653</v>
      </c>
      <c r="F373" s="1" t="s">
        <v>3061</v>
      </c>
      <c r="G373" s="6" t="s">
        <v>3013</v>
      </c>
      <c r="K373" s="1" t="s">
        <v>2087</v>
      </c>
      <c r="L373" s="39" t="s">
        <v>2506</v>
      </c>
    </row>
    <row r="374" spans="1:12" ht="54" customHeight="1">
      <c r="A374" s="1">
        <v>751</v>
      </c>
      <c r="B374" s="1" t="s">
        <v>3062</v>
      </c>
      <c r="C374" s="1" t="s">
        <v>3063</v>
      </c>
      <c r="D374" s="1" t="s">
        <v>2784</v>
      </c>
      <c r="E374" s="1" t="s">
        <v>1653</v>
      </c>
      <c r="F374" s="1" t="s">
        <v>3064</v>
      </c>
      <c r="G374" s="7" t="s">
        <v>2927</v>
      </c>
      <c r="J374" s="1" t="s">
        <v>3051</v>
      </c>
      <c r="K374" s="1" t="s">
        <v>2087</v>
      </c>
      <c r="L374" s="39" t="s">
        <v>2506</v>
      </c>
    </row>
    <row r="375" spans="1:12" ht="54" customHeight="1">
      <c r="A375" s="1">
        <v>420</v>
      </c>
      <c r="B375" s="1" t="s">
        <v>3065</v>
      </c>
      <c r="C375" s="1" t="s">
        <v>3066</v>
      </c>
      <c r="D375" s="1" t="s">
        <v>2784</v>
      </c>
      <c r="E375" s="1" t="s">
        <v>1653</v>
      </c>
      <c r="F375" s="1" t="s">
        <v>3067</v>
      </c>
      <c r="G375" s="7" t="s">
        <v>3068</v>
      </c>
      <c r="H375" s="14" t="s">
        <v>3068</v>
      </c>
      <c r="I375" s="25"/>
      <c r="K375" s="1" t="s">
        <v>2087</v>
      </c>
      <c r="L375" s="39" t="s">
        <v>2506</v>
      </c>
    </row>
    <row r="376" spans="1:12" ht="54" customHeight="1">
      <c r="A376" s="1">
        <v>752</v>
      </c>
      <c r="B376" s="1" t="s">
        <v>3069</v>
      </c>
      <c r="C376" s="1" t="s">
        <v>3070</v>
      </c>
      <c r="D376" s="1" t="s">
        <v>2784</v>
      </c>
      <c r="E376" s="1" t="s">
        <v>1653</v>
      </c>
      <c r="F376" s="1" t="s">
        <v>3071</v>
      </c>
      <c r="G376" s="7" t="s">
        <v>3072</v>
      </c>
      <c r="H376" s="14" t="s">
        <v>3072</v>
      </c>
      <c r="I376" s="25"/>
      <c r="K376" s="1" t="s">
        <v>2087</v>
      </c>
      <c r="L376" s="39" t="s">
        <v>2742</v>
      </c>
    </row>
    <row r="377" spans="1:12" ht="54" customHeight="1">
      <c r="A377" s="1">
        <v>421</v>
      </c>
      <c r="B377" s="1" t="s">
        <v>3073</v>
      </c>
      <c r="C377" s="1" t="s">
        <v>3074</v>
      </c>
      <c r="D377" s="1" t="s">
        <v>2784</v>
      </c>
      <c r="E377" s="1" t="s">
        <v>1653</v>
      </c>
      <c r="F377" s="1" t="s">
        <v>3075</v>
      </c>
      <c r="G377" s="7" t="s">
        <v>2697</v>
      </c>
      <c r="H377" s="14" t="s">
        <v>2697</v>
      </c>
      <c r="I377" s="25"/>
      <c r="K377" s="1" t="s">
        <v>2087</v>
      </c>
      <c r="L377" s="39" t="s">
        <v>2506</v>
      </c>
    </row>
    <row r="378" spans="1:12" ht="54" customHeight="1">
      <c r="A378" s="1">
        <v>753</v>
      </c>
      <c r="B378" s="1" t="s">
        <v>3076</v>
      </c>
      <c r="C378" s="1" t="s">
        <v>3077</v>
      </c>
      <c r="D378" s="1" t="s">
        <v>2784</v>
      </c>
      <c r="E378" s="1" t="s">
        <v>1653</v>
      </c>
      <c r="F378" s="1" t="s">
        <v>3078</v>
      </c>
      <c r="G378" s="7" t="s">
        <v>3079</v>
      </c>
      <c r="J378" s="1" t="s">
        <v>3080</v>
      </c>
      <c r="K378" s="1" t="s">
        <v>2087</v>
      </c>
      <c r="L378" s="39" t="s">
        <v>2506</v>
      </c>
    </row>
    <row r="379" spans="1:12" ht="54" customHeight="1">
      <c r="A379" s="1">
        <v>754</v>
      </c>
      <c r="B379" s="1" t="s">
        <v>3081</v>
      </c>
      <c r="C379" s="1" t="s">
        <v>3082</v>
      </c>
      <c r="D379" s="1" t="s">
        <v>2784</v>
      </c>
      <c r="E379" s="1" t="s">
        <v>1653</v>
      </c>
      <c r="F379" s="1" t="s">
        <v>3083</v>
      </c>
      <c r="G379" s="7" t="s">
        <v>77</v>
      </c>
      <c r="J379" s="1" t="s">
        <v>3084</v>
      </c>
      <c r="K379" s="1" t="s">
        <v>2087</v>
      </c>
      <c r="L379" s="39" t="s">
        <v>2506</v>
      </c>
    </row>
    <row r="380" spans="1:12" ht="54" customHeight="1">
      <c r="A380" s="1">
        <v>423</v>
      </c>
      <c r="B380" s="1" t="s">
        <v>3085</v>
      </c>
      <c r="C380" s="1" t="s">
        <v>3086</v>
      </c>
      <c r="D380" s="1" t="s">
        <v>2784</v>
      </c>
      <c r="E380" s="1" t="s">
        <v>1653</v>
      </c>
      <c r="F380" s="1" t="s">
        <v>3087</v>
      </c>
      <c r="G380" s="7" t="s">
        <v>3088</v>
      </c>
      <c r="H380" s="7" t="s">
        <v>3088</v>
      </c>
      <c r="K380" s="1" t="s">
        <v>2087</v>
      </c>
      <c r="L380" s="39" t="s">
        <v>2171</v>
      </c>
    </row>
    <row r="381" spans="1:12" ht="54" customHeight="1">
      <c r="A381" s="1">
        <v>760</v>
      </c>
      <c r="B381" s="1" t="s">
        <v>3089</v>
      </c>
      <c r="C381" s="1" t="s">
        <v>3090</v>
      </c>
      <c r="D381" s="1" t="s">
        <v>2784</v>
      </c>
      <c r="E381" s="1" t="s">
        <v>1653</v>
      </c>
      <c r="F381" s="1" t="s">
        <v>3091</v>
      </c>
      <c r="G381" s="7" t="s">
        <v>2837</v>
      </c>
      <c r="H381" s="7" t="s">
        <v>2837</v>
      </c>
      <c r="K381" s="1" t="s">
        <v>2087</v>
      </c>
      <c r="L381" s="39" t="s">
        <v>2506</v>
      </c>
    </row>
    <row r="382" spans="1:12" ht="54" customHeight="1">
      <c r="A382" s="1">
        <v>426</v>
      </c>
      <c r="B382" s="1" t="s">
        <v>3092</v>
      </c>
      <c r="C382" s="1" t="s">
        <v>3093</v>
      </c>
      <c r="D382" s="1" t="s">
        <v>2784</v>
      </c>
      <c r="E382" s="1" t="s">
        <v>1653</v>
      </c>
      <c r="F382" s="1" t="s">
        <v>3094</v>
      </c>
      <c r="G382" s="7" t="s">
        <v>3095</v>
      </c>
      <c r="H382" s="7" t="s">
        <v>3095</v>
      </c>
      <c r="J382" s="1" t="s">
        <v>3096</v>
      </c>
      <c r="K382" s="1" t="s">
        <v>2087</v>
      </c>
      <c r="L382" s="39" t="s">
        <v>2506</v>
      </c>
    </row>
    <row r="383" spans="1:12" ht="54" customHeight="1">
      <c r="A383" s="1">
        <v>427</v>
      </c>
      <c r="B383" s="1" t="s">
        <v>3097</v>
      </c>
      <c r="C383" s="1" t="s">
        <v>3098</v>
      </c>
      <c r="D383" s="1" t="s">
        <v>2784</v>
      </c>
      <c r="E383" s="1" t="s">
        <v>1653</v>
      </c>
      <c r="F383" s="1" t="s">
        <v>3099</v>
      </c>
      <c r="G383" s="7" t="s">
        <v>1373</v>
      </c>
      <c r="H383" s="14" t="s">
        <v>1373</v>
      </c>
      <c r="I383" s="25" t="s">
        <v>20</v>
      </c>
      <c r="K383" s="1" t="s">
        <v>2087</v>
      </c>
      <c r="L383" s="39" t="s">
        <v>2506</v>
      </c>
    </row>
    <row r="384" spans="1:12" ht="54" customHeight="1">
      <c r="A384" s="1">
        <v>428</v>
      </c>
      <c r="B384" s="1" t="s">
        <v>3100</v>
      </c>
      <c r="C384" s="1" t="s">
        <v>3101</v>
      </c>
      <c r="D384" s="1" t="s">
        <v>2784</v>
      </c>
      <c r="E384" s="1" t="s">
        <v>1653</v>
      </c>
      <c r="F384" s="1" t="s">
        <v>3102</v>
      </c>
      <c r="G384" s="6"/>
      <c r="K384" s="1" t="s">
        <v>2087</v>
      </c>
      <c r="L384" s="39" t="s">
        <v>2506</v>
      </c>
    </row>
    <row r="385" spans="1:12" ht="54" customHeight="1">
      <c r="A385" s="1">
        <v>431</v>
      </c>
      <c r="B385" s="1" t="s">
        <v>3103</v>
      </c>
      <c r="C385" s="1" t="s">
        <v>3104</v>
      </c>
      <c r="D385" s="1" t="s">
        <v>2784</v>
      </c>
      <c r="E385" s="1" t="s">
        <v>1653</v>
      </c>
      <c r="F385" s="1" t="s">
        <v>3105</v>
      </c>
      <c r="G385" s="6"/>
      <c r="K385" s="1" t="s">
        <v>2087</v>
      </c>
      <c r="L385" s="39" t="s">
        <v>2506</v>
      </c>
    </row>
    <row r="386" spans="1:12" ht="54" customHeight="1">
      <c r="A386" s="1">
        <v>769</v>
      </c>
      <c r="B386" s="1" t="s">
        <v>3106</v>
      </c>
      <c r="C386" s="1" t="s">
        <v>3107</v>
      </c>
      <c r="D386" s="1" t="s">
        <v>2784</v>
      </c>
      <c r="E386" s="1" t="s">
        <v>1653</v>
      </c>
      <c r="F386" s="1" t="s">
        <v>3108</v>
      </c>
      <c r="G386" s="6"/>
      <c r="K386" s="1" t="s">
        <v>2087</v>
      </c>
      <c r="L386" s="39" t="s">
        <v>2506</v>
      </c>
    </row>
    <row r="387" spans="1:12" ht="54" customHeight="1">
      <c r="A387" s="1">
        <v>436</v>
      </c>
      <c r="B387" s="1" t="s">
        <v>3109</v>
      </c>
      <c r="C387" s="1" t="s">
        <v>3110</v>
      </c>
      <c r="D387" s="1" t="s">
        <v>2784</v>
      </c>
      <c r="E387" s="1" t="s">
        <v>1653</v>
      </c>
      <c r="F387" s="1" t="s">
        <v>3111</v>
      </c>
      <c r="G387" s="21" t="s">
        <v>1755</v>
      </c>
      <c r="K387" s="1" t="s">
        <v>2087</v>
      </c>
      <c r="L387" s="39" t="s">
        <v>2506</v>
      </c>
    </row>
    <row r="388" spans="1:12" ht="54" customHeight="1">
      <c r="A388" s="1">
        <v>771</v>
      </c>
      <c r="B388" s="1" t="s">
        <v>3112</v>
      </c>
      <c r="C388" s="1" t="s">
        <v>3113</v>
      </c>
      <c r="D388" s="1" t="s">
        <v>2784</v>
      </c>
      <c r="E388" s="1" t="s">
        <v>1653</v>
      </c>
      <c r="F388" s="1" t="s">
        <v>3114</v>
      </c>
      <c r="G388" s="7" t="s">
        <v>2933</v>
      </c>
      <c r="J388" s="1" t="s">
        <v>3115</v>
      </c>
      <c r="K388" s="1" t="s">
        <v>2087</v>
      </c>
      <c r="L388" s="39" t="s">
        <v>2506</v>
      </c>
    </row>
    <row r="389" spans="1:12" ht="54" customHeight="1">
      <c r="A389" s="1">
        <v>437</v>
      </c>
      <c r="B389" s="1" t="s">
        <v>3116</v>
      </c>
      <c r="C389" s="1" t="s">
        <v>3117</v>
      </c>
      <c r="D389" s="1" t="s">
        <v>2784</v>
      </c>
      <c r="E389" s="1" t="s">
        <v>1653</v>
      </c>
      <c r="F389" s="1" t="s">
        <v>3118</v>
      </c>
      <c r="G389" s="7" t="s">
        <v>3119</v>
      </c>
      <c r="H389" s="14" t="s">
        <v>3119</v>
      </c>
      <c r="I389" s="10"/>
      <c r="K389" s="1" t="s">
        <v>2087</v>
      </c>
      <c r="L389" s="39" t="s">
        <v>2506</v>
      </c>
    </row>
    <row r="390" spans="1:12" ht="54" customHeight="1">
      <c r="A390" s="1">
        <v>778</v>
      </c>
      <c r="B390" s="1" t="s">
        <v>3120</v>
      </c>
      <c r="C390" s="1" t="s">
        <v>3121</v>
      </c>
      <c r="D390" s="1" t="s">
        <v>2784</v>
      </c>
      <c r="E390" s="1" t="s">
        <v>1653</v>
      </c>
      <c r="F390" s="1" t="s">
        <v>3122</v>
      </c>
      <c r="G390" s="7" t="s">
        <v>2640</v>
      </c>
      <c r="H390" s="14" t="s">
        <v>2640</v>
      </c>
      <c r="I390" s="10"/>
      <c r="K390" s="1" t="s">
        <v>2087</v>
      </c>
      <c r="L390" s="39" t="s">
        <v>2506</v>
      </c>
    </row>
    <row r="391" spans="1:12" ht="54" customHeight="1">
      <c r="A391" s="1">
        <v>438</v>
      </c>
      <c r="B391" s="1" t="s">
        <v>3123</v>
      </c>
      <c r="C391" s="1" t="s">
        <v>3124</v>
      </c>
      <c r="D391" s="1" t="s">
        <v>2784</v>
      </c>
      <c r="E391" s="1" t="s">
        <v>1653</v>
      </c>
      <c r="F391" s="1" t="s">
        <v>3125</v>
      </c>
      <c r="G391" s="31"/>
      <c r="K391" s="1" t="s">
        <v>1648</v>
      </c>
      <c r="L391" s="39" t="s">
        <v>2929</v>
      </c>
    </row>
    <row r="392" spans="1:12" ht="54" customHeight="1">
      <c r="A392" s="1">
        <v>447</v>
      </c>
      <c r="B392" s="1" t="s">
        <v>3126</v>
      </c>
      <c r="C392" s="1" t="s">
        <v>3127</v>
      </c>
      <c r="D392" s="1" t="s">
        <v>2784</v>
      </c>
      <c r="E392" s="1" t="s">
        <v>1653</v>
      </c>
      <c r="F392" s="1" t="s">
        <v>3128</v>
      </c>
      <c r="G392" s="6"/>
      <c r="K392" s="1" t="s">
        <v>2087</v>
      </c>
      <c r="L392" s="39" t="s">
        <v>2506</v>
      </c>
    </row>
    <row r="393" spans="1:12" ht="54" customHeight="1">
      <c r="A393" s="1">
        <v>462</v>
      </c>
      <c r="B393" s="1" t="s">
        <v>3129</v>
      </c>
      <c r="C393" s="9" t="s">
        <v>3130</v>
      </c>
      <c r="D393" s="1" t="s">
        <v>2784</v>
      </c>
      <c r="E393" s="1" t="s">
        <v>1653</v>
      </c>
      <c r="F393" s="1" t="s">
        <v>3131</v>
      </c>
      <c r="G393" s="6"/>
      <c r="K393" s="1" t="s">
        <v>2087</v>
      </c>
      <c r="L393" s="39" t="s">
        <v>2506</v>
      </c>
    </row>
    <row r="394" spans="1:12" ht="54" customHeight="1">
      <c r="A394" s="1">
        <v>820</v>
      </c>
      <c r="B394" s="1" t="s">
        <v>3132</v>
      </c>
      <c r="C394" s="1" t="s">
        <v>3133</v>
      </c>
      <c r="D394" s="1" t="s">
        <v>2784</v>
      </c>
      <c r="E394" s="1" t="s">
        <v>1653</v>
      </c>
      <c r="G394" s="6"/>
      <c r="K394" s="1" t="s">
        <v>2087</v>
      </c>
      <c r="L394" s="39" t="s">
        <v>2506</v>
      </c>
    </row>
    <row r="395" spans="1:12" ht="54" customHeight="1">
      <c r="A395" s="1">
        <v>491</v>
      </c>
      <c r="B395" s="1" t="s">
        <v>3134</v>
      </c>
      <c r="C395" s="1" t="s">
        <v>3135</v>
      </c>
      <c r="D395" s="1" t="s">
        <v>2784</v>
      </c>
      <c r="E395" s="1" t="s">
        <v>1653</v>
      </c>
      <c r="F395" s="1" t="s">
        <v>3136</v>
      </c>
      <c r="G395" s="7" t="s">
        <v>1371</v>
      </c>
      <c r="H395" s="14" t="s">
        <v>1371</v>
      </c>
      <c r="I395" s="14"/>
      <c r="K395" s="1" t="s">
        <v>2087</v>
      </c>
      <c r="L395" s="39" t="s">
        <v>2506</v>
      </c>
    </row>
    <row r="396" spans="1:12" ht="54" customHeight="1">
      <c r="A396" s="1">
        <v>494</v>
      </c>
      <c r="B396" s="1" t="s">
        <v>3137</v>
      </c>
      <c r="C396" s="1" t="s">
        <v>3138</v>
      </c>
      <c r="D396" s="1" t="s">
        <v>2784</v>
      </c>
      <c r="E396" s="1" t="s">
        <v>1653</v>
      </c>
      <c r="F396" s="1" t="s">
        <v>3139</v>
      </c>
      <c r="G396" s="14" t="s">
        <v>495</v>
      </c>
      <c r="H396" s="14" t="s">
        <v>495</v>
      </c>
      <c r="I396" s="14"/>
      <c r="J396" s="1" t="s">
        <v>3140</v>
      </c>
      <c r="K396" s="1" t="s">
        <v>2087</v>
      </c>
      <c r="L396" s="39" t="s">
        <v>2506</v>
      </c>
    </row>
    <row r="397" spans="1:12" ht="54" customHeight="1">
      <c r="A397" s="1">
        <v>39144</v>
      </c>
      <c r="B397" s="1" t="s">
        <v>3141</v>
      </c>
      <c r="C397" s="1" t="s">
        <v>3142</v>
      </c>
      <c r="D397" s="1" t="s">
        <v>2784</v>
      </c>
      <c r="E397" s="1" t="s">
        <v>1653</v>
      </c>
      <c r="F397" s="1" t="s">
        <v>3139</v>
      </c>
      <c r="G397" s="7" t="s">
        <v>495</v>
      </c>
      <c r="H397" s="14" t="s">
        <v>495</v>
      </c>
      <c r="I397" s="14"/>
      <c r="K397" s="1" t="s">
        <v>2087</v>
      </c>
      <c r="L397" s="39" t="s">
        <v>2506</v>
      </c>
    </row>
    <row r="398" spans="1:12" ht="54" customHeight="1">
      <c r="A398" s="1">
        <v>495</v>
      </c>
      <c r="B398" s="1" t="s">
        <v>3143</v>
      </c>
      <c r="C398" s="1" t="s">
        <v>3144</v>
      </c>
      <c r="D398" s="1" t="s">
        <v>2784</v>
      </c>
      <c r="E398" s="1" t="s">
        <v>1653</v>
      </c>
      <c r="F398" s="1" t="s">
        <v>3145</v>
      </c>
      <c r="G398" s="7" t="s">
        <v>2837</v>
      </c>
      <c r="H398" s="14" t="s">
        <v>2837</v>
      </c>
      <c r="I398" s="14"/>
      <c r="K398" s="1" t="s">
        <v>2087</v>
      </c>
      <c r="L398" s="39" t="s">
        <v>3146</v>
      </c>
    </row>
    <row r="399" spans="1:12" ht="54" customHeight="1">
      <c r="A399" s="1">
        <v>496</v>
      </c>
      <c r="B399" s="1" t="s">
        <v>3147</v>
      </c>
      <c r="C399" s="1" t="s">
        <v>3148</v>
      </c>
      <c r="D399" s="1" t="s">
        <v>2784</v>
      </c>
      <c r="E399" s="1" t="s">
        <v>1653</v>
      </c>
      <c r="F399" s="1" t="s">
        <v>3149</v>
      </c>
      <c r="G399" s="7" t="s">
        <v>3150</v>
      </c>
      <c r="H399" s="14" t="s">
        <v>3150</v>
      </c>
      <c r="I399" s="10"/>
      <c r="K399" s="1" t="s">
        <v>2087</v>
      </c>
      <c r="L399" s="39" t="s">
        <v>2506</v>
      </c>
    </row>
    <row r="400" spans="1:12" ht="54" customHeight="1">
      <c r="A400" s="1">
        <v>825</v>
      </c>
      <c r="B400" s="1" t="s">
        <v>3151</v>
      </c>
      <c r="C400" s="1" t="s">
        <v>3152</v>
      </c>
      <c r="D400" s="1" t="s">
        <v>2784</v>
      </c>
      <c r="E400" s="1" t="s">
        <v>1653</v>
      </c>
      <c r="F400" s="1" t="s">
        <v>3153</v>
      </c>
      <c r="G400" s="6"/>
      <c r="K400" s="1" t="s">
        <v>2087</v>
      </c>
      <c r="L400" s="39" t="s">
        <v>2506</v>
      </c>
    </row>
    <row r="401" spans="1:12" ht="54" customHeight="1">
      <c r="A401" s="1">
        <v>520</v>
      </c>
      <c r="B401" s="1" t="s">
        <v>3154</v>
      </c>
      <c r="C401" s="1" t="s">
        <v>3155</v>
      </c>
      <c r="D401" s="1" t="s">
        <v>2784</v>
      </c>
      <c r="E401" s="1" t="s">
        <v>1653</v>
      </c>
      <c r="F401" s="1" t="s">
        <v>3156</v>
      </c>
      <c r="G401" s="6"/>
      <c r="K401" s="1" t="s">
        <v>2747</v>
      </c>
      <c r="L401" s="39" t="s">
        <v>2506</v>
      </c>
    </row>
    <row r="402" spans="1:12" ht="54" customHeight="1">
      <c r="A402" s="1">
        <v>521</v>
      </c>
      <c r="B402" s="1" t="s">
        <v>3157</v>
      </c>
      <c r="C402" s="1" t="s">
        <v>3158</v>
      </c>
      <c r="D402" s="1" t="s">
        <v>2784</v>
      </c>
      <c r="E402" s="1" t="s">
        <v>1653</v>
      </c>
      <c r="F402" s="1" t="s">
        <v>3159</v>
      </c>
      <c r="G402" s="6"/>
      <c r="K402" s="1" t="s">
        <v>2747</v>
      </c>
      <c r="L402" s="39" t="s">
        <v>2506</v>
      </c>
    </row>
    <row r="403" spans="1:12" ht="54" customHeight="1">
      <c r="A403" s="1">
        <v>522</v>
      </c>
      <c r="B403" s="1" t="s">
        <v>3160</v>
      </c>
      <c r="C403" s="1" t="s">
        <v>3161</v>
      </c>
      <c r="D403" s="1" t="s">
        <v>2784</v>
      </c>
      <c r="E403" s="1" t="s">
        <v>1653</v>
      </c>
      <c r="F403" s="1" t="s">
        <v>3162</v>
      </c>
      <c r="G403" s="6" t="s">
        <v>3163</v>
      </c>
      <c r="J403" s="1" t="s">
        <v>3164</v>
      </c>
      <c r="K403" s="1" t="s">
        <v>2747</v>
      </c>
      <c r="L403" s="39" t="s">
        <v>2506</v>
      </c>
    </row>
    <row r="404" spans="1:12" ht="54" customHeight="1">
      <c r="A404" s="1">
        <v>526</v>
      </c>
      <c r="B404" s="1" t="s">
        <v>3165</v>
      </c>
      <c r="C404" s="1" t="s">
        <v>3166</v>
      </c>
      <c r="D404" s="1" t="s">
        <v>2784</v>
      </c>
      <c r="E404" s="1" t="s">
        <v>1653</v>
      </c>
      <c r="F404" s="1" t="s">
        <v>3167</v>
      </c>
      <c r="G404" s="6"/>
      <c r="K404" s="1" t="s">
        <v>2747</v>
      </c>
      <c r="L404" s="39" t="s">
        <v>2742</v>
      </c>
    </row>
    <row r="405" spans="1:12" ht="54" customHeight="1">
      <c r="A405" s="1">
        <v>857</v>
      </c>
      <c r="B405" s="1" t="s">
        <v>3168</v>
      </c>
      <c r="C405" s="1" t="s">
        <v>3169</v>
      </c>
      <c r="D405" s="1" t="s">
        <v>2784</v>
      </c>
      <c r="E405" s="1" t="s">
        <v>1653</v>
      </c>
      <c r="F405" s="1" t="s">
        <v>3170</v>
      </c>
      <c r="G405" s="6"/>
      <c r="K405" s="1" t="s">
        <v>2087</v>
      </c>
      <c r="L405" s="39" t="s">
        <v>2506</v>
      </c>
    </row>
    <row r="406" spans="1:12" ht="54" customHeight="1">
      <c r="A406" s="1">
        <v>858</v>
      </c>
      <c r="B406" s="1" t="s">
        <v>3171</v>
      </c>
      <c r="C406" s="1" t="s">
        <v>3172</v>
      </c>
      <c r="D406" s="1" t="s">
        <v>2784</v>
      </c>
      <c r="E406" s="1" t="s">
        <v>1653</v>
      </c>
      <c r="F406" s="1" t="s">
        <v>3173</v>
      </c>
      <c r="G406" s="6"/>
      <c r="K406" s="1" t="s">
        <v>2087</v>
      </c>
      <c r="L406" s="39" t="s">
        <v>2506</v>
      </c>
    </row>
    <row r="407" spans="1:12" ht="54" customHeight="1">
      <c r="A407" s="1">
        <v>533</v>
      </c>
      <c r="B407" s="1" t="s">
        <v>3174</v>
      </c>
      <c r="C407" s="1" t="s">
        <v>3175</v>
      </c>
      <c r="D407" s="1" t="s">
        <v>2784</v>
      </c>
      <c r="E407" s="1" t="s">
        <v>1653</v>
      </c>
      <c r="F407" s="1" t="s">
        <v>3176</v>
      </c>
      <c r="G407" s="6"/>
      <c r="K407" s="1" t="s">
        <v>2087</v>
      </c>
      <c r="L407" s="39" t="s">
        <v>2506</v>
      </c>
    </row>
    <row r="408" spans="1:12" ht="54" customHeight="1">
      <c r="A408" s="1">
        <v>859</v>
      </c>
      <c r="B408" s="1" t="s">
        <v>3177</v>
      </c>
      <c r="C408" s="1" t="s">
        <v>3178</v>
      </c>
      <c r="D408" s="1" t="s">
        <v>2784</v>
      </c>
      <c r="E408" s="1" t="s">
        <v>1653</v>
      </c>
      <c r="F408" s="1" t="s">
        <v>3179</v>
      </c>
      <c r="G408" s="6"/>
      <c r="K408" s="1" t="s">
        <v>2087</v>
      </c>
      <c r="L408" s="39" t="s">
        <v>2506</v>
      </c>
    </row>
    <row r="409" spans="1:12" ht="54" customHeight="1">
      <c r="A409" s="1">
        <v>601</v>
      </c>
      <c r="B409" s="1" t="s">
        <v>3180</v>
      </c>
      <c r="C409" s="1" t="s">
        <v>3181</v>
      </c>
      <c r="D409" s="1" t="s">
        <v>2784</v>
      </c>
      <c r="E409" s="1" t="s">
        <v>1710</v>
      </c>
      <c r="F409" s="1" t="s">
        <v>3182</v>
      </c>
      <c r="G409" s="7" t="s">
        <v>2595</v>
      </c>
      <c r="H409" s="14" t="s">
        <v>2595</v>
      </c>
      <c r="I409" s="14" t="s">
        <v>20</v>
      </c>
      <c r="J409" s="1" t="s">
        <v>1703</v>
      </c>
      <c r="K409" s="1" t="s">
        <v>2087</v>
      </c>
      <c r="L409" s="39" t="s">
        <v>2506</v>
      </c>
    </row>
    <row r="410" spans="1:12" ht="54" customHeight="1">
      <c r="A410" s="1">
        <v>603</v>
      </c>
      <c r="B410" s="1" t="s">
        <v>3183</v>
      </c>
      <c r="C410" s="1" t="s">
        <v>3184</v>
      </c>
      <c r="D410" s="1" t="s">
        <v>2784</v>
      </c>
      <c r="E410" s="1" t="s">
        <v>1710</v>
      </c>
      <c r="F410" s="1" t="s">
        <v>3185</v>
      </c>
      <c r="G410" s="9" t="s">
        <v>2595</v>
      </c>
      <c r="H410" s="22" t="s">
        <v>2595</v>
      </c>
      <c r="I410" s="22" t="s">
        <v>20</v>
      </c>
      <c r="J410" s="9" t="s">
        <v>1703</v>
      </c>
      <c r="K410" s="1" t="s">
        <v>2087</v>
      </c>
      <c r="L410" s="39" t="s">
        <v>2506</v>
      </c>
    </row>
    <row r="411" spans="1:12" ht="54" customHeight="1">
      <c r="A411" s="1">
        <v>62705</v>
      </c>
      <c r="B411" s="1" t="s">
        <v>3186</v>
      </c>
      <c r="C411" s="1" t="s">
        <v>3187</v>
      </c>
      <c r="D411" s="1" t="s">
        <v>2784</v>
      </c>
      <c r="E411" s="1" t="s">
        <v>2003</v>
      </c>
      <c r="F411" s="1" t="s">
        <v>3188</v>
      </c>
      <c r="G411" s="7" t="s">
        <v>57</v>
      </c>
      <c r="H411" s="14" t="s">
        <v>57</v>
      </c>
      <c r="I411" s="10"/>
      <c r="K411" s="1" t="s">
        <v>2087</v>
      </c>
      <c r="L411" s="39" t="s">
        <v>3189</v>
      </c>
    </row>
    <row r="412" spans="1:12" ht="54" customHeight="1">
      <c r="A412" s="1">
        <v>58459</v>
      </c>
      <c r="B412" s="1" t="s">
        <v>3190</v>
      </c>
      <c r="C412" s="1" t="s">
        <v>3191</v>
      </c>
      <c r="D412" s="1" t="s">
        <v>2784</v>
      </c>
      <c r="E412" s="1" t="s">
        <v>2003</v>
      </c>
      <c r="F412" s="1" t="s">
        <v>3192</v>
      </c>
      <c r="G412" s="7" t="s">
        <v>3193</v>
      </c>
      <c r="H412" s="14" t="s">
        <v>3193</v>
      </c>
      <c r="K412" s="1" t="s">
        <v>2087</v>
      </c>
      <c r="L412" s="39" t="s">
        <v>2506</v>
      </c>
    </row>
    <row r="413" spans="1:12" ht="54" customHeight="1">
      <c r="A413" s="1">
        <v>761</v>
      </c>
      <c r="B413" s="1" t="s">
        <v>3194</v>
      </c>
      <c r="C413" s="1" t="s">
        <v>3195</v>
      </c>
      <c r="D413" s="1" t="s">
        <v>2784</v>
      </c>
      <c r="E413" s="1" t="s">
        <v>2677</v>
      </c>
      <c r="F413" s="1" t="s">
        <v>3196</v>
      </c>
      <c r="G413" s="6"/>
      <c r="K413" s="1" t="s">
        <v>2087</v>
      </c>
      <c r="L413" s="39" t="s">
        <v>2506</v>
      </c>
    </row>
    <row r="414" spans="1:12" ht="54" customHeight="1">
      <c r="A414" s="1">
        <v>762</v>
      </c>
      <c r="B414" s="1" t="s">
        <v>3197</v>
      </c>
      <c r="C414" s="1" t="s">
        <v>3198</v>
      </c>
      <c r="D414" s="1" t="s">
        <v>2784</v>
      </c>
      <c r="E414" s="1" t="s">
        <v>3199</v>
      </c>
      <c r="F414" s="1" t="s">
        <v>3200</v>
      </c>
      <c r="G414" s="6"/>
      <c r="K414" s="1" t="s">
        <v>2087</v>
      </c>
      <c r="L414" s="39" t="s">
        <v>3201</v>
      </c>
    </row>
    <row r="415" spans="1:12" ht="54" customHeight="1">
      <c r="A415" s="1">
        <v>63112</v>
      </c>
      <c r="B415" s="1" t="s">
        <v>3202</v>
      </c>
      <c r="C415" s="1" t="s">
        <v>3203</v>
      </c>
      <c r="D415" s="1" t="s">
        <v>2784</v>
      </c>
      <c r="E415" s="1" t="s">
        <v>1646</v>
      </c>
      <c r="F415" s="1" t="s">
        <v>3204</v>
      </c>
      <c r="G415" s="7" t="s">
        <v>3205</v>
      </c>
      <c r="H415" s="14" t="s">
        <v>3205</v>
      </c>
      <c r="I415" s="25"/>
      <c r="K415" s="1" t="s">
        <v>2087</v>
      </c>
      <c r="L415" s="39" t="s">
        <v>2506</v>
      </c>
    </row>
    <row r="416" spans="1:12" ht="54" customHeight="1">
      <c r="A416" s="1">
        <v>91</v>
      </c>
      <c r="B416" s="1" t="s">
        <v>3206</v>
      </c>
      <c r="C416" s="1" t="s">
        <v>3207</v>
      </c>
      <c r="D416" s="1" t="s">
        <v>2784</v>
      </c>
      <c r="E416" s="1" t="s">
        <v>1646</v>
      </c>
      <c r="F416" s="1" t="s">
        <v>3208</v>
      </c>
      <c r="G416" s="6" t="s">
        <v>3209</v>
      </c>
      <c r="H416" s="22" t="s">
        <v>3210</v>
      </c>
      <c r="I416" s="22"/>
      <c r="J416" s="1" t="s">
        <v>3211</v>
      </c>
      <c r="K416" s="1" t="s">
        <v>2087</v>
      </c>
      <c r="L416" s="39" t="s">
        <v>2506</v>
      </c>
    </row>
    <row r="417" spans="1:12" ht="54" customHeight="1">
      <c r="A417" s="1">
        <v>162</v>
      </c>
      <c r="B417" s="1" t="s">
        <v>3212</v>
      </c>
      <c r="C417" s="1" t="s">
        <v>3213</v>
      </c>
      <c r="D417" s="1" t="s">
        <v>2784</v>
      </c>
      <c r="E417" s="1" t="s">
        <v>1646</v>
      </c>
      <c r="F417" s="1" t="s">
        <v>3214</v>
      </c>
      <c r="G417" s="7" t="s">
        <v>22</v>
      </c>
      <c r="H417" s="14" t="s">
        <v>22</v>
      </c>
      <c r="I417" s="10" t="s">
        <v>20</v>
      </c>
      <c r="K417" s="1" t="s">
        <v>2087</v>
      </c>
      <c r="L417" s="39" t="s">
        <v>2737</v>
      </c>
    </row>
    <row r="418" spans="1:12" ht="54" customHeight="1">
      <c r="A418" s="1">
        <v>66344</v>
      </c>
      <c r="B418" s="1" t="s">
        <v>3215</v>
      </c>
      <c r="C418" s="1" t="s">
        <v>3216</v>
      </c>
      <c r="D418" s="1" t="s">
        <v>2784</v>
      </c>
      <c r="E418" s="1" t="s">
        <v>1646</v>
      </c>
      <c r="F418" s="1" t="s">
        <v>3217</v>
      </c>
      <c r="G418" s="6" t="s">
        <v>3218</v>
      </c>
      <c r="J418" s="1" t="s">
        <v>3219</v>
      </c>
      <c r="K418" s="1" t="s">
        <v>2087</v>
      </c>
      <c r="L418" s="39" t="s">
        <v>2506</v>
      </c>
    </row>
    <row r="419" spans="1:12" ht="54" customHeight="1">
      <c r="A419" s="1">
        <v>684</v>
      </c>
      <c r="B419" s="1" t="s">
        <v>3220</v>
      </c>
      <c r="C419" s="1" t="s">
        <v>3221</v>
      </c>
      <c r="D419" s="1" t="s">
        <v>2784</v>
      </c>
      <c r="E419" s="1" t="s">
        <v>1646</v>
      </c>
      <c r="F419" s="1" t="s">
        <v>3222</v>
      </c>
      <c r="G419" s="7" t="s">
        <v>22</v>
      </c>
      <c r="H419" s="14" t="s">
        <v>22</v>
      </c>
      <c r="I419" s="25" t="s">
        <v>20</v>
      </c>
      <c r="K419" s="1" t="s">
        <v>2506</v>
      </c>
      <c r="L419" s="39" t="s">
        <v>2087</v>
      </c>
    </row>
    <row r="420" spans="1:12" ht="54" customHeight="1">
      <c r="A420" s="1">
        <v>712</v>
      </c>
      <c r="B420" s="1" t="s">
        <v>3223</v>
      </c>
      <c r="C420" s="1" t="s">
        <v>3224</v>
      </c>
      <c r="D420" s="1" t="s">
        <v>2784</v>
      </c>
      <c r="E420" s="1" t="s">
        <v>1646</v>
      </c>
      <c r="F420" s="1" t="s">
        <v>3225</v>
      </c>
      <c r="G420" s="6"/>
      <c r="K420" s="1" t="s">
        <v>2506</v>
      </c>
      <c r="L420" s="39" t="s">
        <v>2087</v>
      </c>
    </row>
    <row r="421" spans="1:12" ht="54" customHeight="1">
      <c r="A421" s="1">
        <v>766</v>
      </c>
      <c r="B421" s="1" t="s">
        <v>3226</v>
      </c>
      <c r="C421" s="1" t="s">
        <v>3227</v>
      </c>
      <c r="D421" s="1" t="s">
        <v>2784</v>
      </c>
      <c r="E421" s="1" t="s">
        <v>1646</v>
      </c>
      <c r="F421" s="1" t="s">
        <v>3228</v>
      </c>
      <c r="G421" s="7" t="s">
        <v>366</v>
      </c>
      <c r="H421" s="14" t="s">
        <v>366</v>
      </c>
      <c r="I421" s="10"/>
      <c r="K421" s="1" t="s">
        <v>2087</v>
      </c>
      <c r="L421" s="1" t="s">
        <v>2506</v>
      </c>
    </row>
    <row r="422" spans="1:12" ht="54" customHeight="1">
      <c r="A422" s="1">
        <v>777</v>
      </c>
      <c r="B422" s="1" t="s">
        <v>3229</v>
      </c>
      <c r="C422" s="1" t="s">
        <v>3230</v>
      </c>
      <c r="D422" s="1" t="s">
        <v>2784</v>
      </c>
      <c r="E422" s="1" t="s">
        <v>1646</v>
      </c>
      <c r="F422" s="1" t="s">
        <v>3231</v>
      </c>
      <c r="G422" s="7" t="s">
        <v>22</v>
      </c>
      <c r="H422" s="22" t="s">
        <v>22</v>
      </c>
      <c r="I422" s="22" t="s">
        <v>20</v>
      </c>
      <c r="K422" s="1" t="s">
        <v>2087</v>
      </c>
      <c r="L422" s="1" t="s">
        <v>2506</v>
      </c>
    </row>
    <row r="423" spans="1:12" ht="54" customHeight="1">
      <c r="A423" s="1">
        <v>759</v>
      </c>
      <c r="B423" s="1" t="s">
        <v>3232</v>
      </c>
      <c r="C423" s="1" t="s">
        <v>3233</v>
      </c>
      <c r="D423" s="1" t="s">
        <v>2784</v>
      </c>
      <c r="E423" s="1" t="s">
        <v>2059</v>
      </c>
      <c r="F423" s="1" t="s">
        <v>3234</v>
      </c>
      <c r="G423" s="7" t="s">
        <v>2061</v>
      </c>
      <c r="H423" s="14" t="s">
        <v>2061</v>
      </c>
      <c r="I423" s="25" t="s">
        <v>20</v>
      </c>
      <c r="K423" s="1" t="s">
        <v>2087</v>
      </c>
      <c r="L423" s="39" t="s">
        <v>2737</v>
      </c>
    </row>
    <row r="424" spans="1:12" ht="54" customHeight="1">
      <c r="A424" s="1">
        <v>58456</v>
      </c>
      <c r="B424" s="1" t="s">
        <v>3235</v>
      </c>
      <c r="C424" s="1" t="s">
        <v>3236</v>
      </c>
      <c r="D424" s="1" t="s">
        <v>2784</v>
      </c>
      <c r="E424" s="1" t="s">
        <v>2068</v>
      </c>
      <c r="F424" s="1" t="s">
        <v>3237</v>
      </c>
      <c r="G424" s="7" t="s">
        <v>3238</v>
      </c>
      <c r="H424" s="14" t="s">
        <v>3238</v>
      </c>
      <c r="I424" s="10"/>
      <c r="K424" s="1" t="s">
        <v>2087</v>
      </c>
      <c r="L424" s="39" t="s">
        <v>2506</v>
      </c>
    </row>
    <row r="425" spans="1:12" ht="54" customHeight="1">
      <c r="A425" s="1">
        <v>49734</v>
      </c>
      <c r="B425" s="1" t="s">
        <v>3239</v>
      </c>
      <c r="C425" s="1" t="s">
        <v>3240</v>
      </c>
      <c r="D425" s="1" t="s">
        <v>2784</v>
      </c>
      <c r="E425" s="1" t="s">
        <v>2072</v>
      </c>
      <c r="F425" s="1" t="s">
        <v>3241</v>
      </c>
      <c r="G425" s="7" t="s">
        <v>25</v>
      </c>
      <c r="H425" s="22" t="s">
        <v>25</v>
      </c>
      <c r="I425" s="22" t="s">
        <v>20</v>
      </c>
      <c r="K425" s="1" t="s">
        <v>2087</v>
      </c>
      <c r="L425" s="39" t="s">
        <v>2506</v>
      </c>
    </row>
    <row r="426" spans="1:12" ht="54" customHeight="1">
      <c r="A426" s="1">
        <v>49745</v>
      </c>
      <c r="B426" s="1" t="s">
        <v>3242</v>
      </c>
      <c r="C426" s="1" t="s">
        <v>3243</v>
      </c>
      <c r="D426" s="1" t="s">
        <v>2784</v>
      </c>
      <c r="E426" s="1" t="s">
        <v>2072</v>
      </c>
      <c r="F426" s="1" t="s">
        <v>3244</v>
      </c>
      <c r="G426" s="30" t="s">
        <v>25</v>
      </c>
      <c r="H426" s="14" t="s">
        <v>25</v>
      </c>
      <c r="I426" s="10" t="s">
        <v>20</v>
      </c>
      <c r="K426" s="1" t="s">
        <v>2087</v>
      </c>
      <c r="L426" s="39" t="s">
        <v>2506</v>
      </c>
    </row>
    <row r="427" spans="1:12" ht="54" customHeight="1">
      <c r="A427" s="1">
        <v>49785</v>
      </c>
      <c r="B427" s="1" t="s">
        <v>3245</v>
      </c>
      <c r="C427" s="1" t="s">
        <v>3246</v>
      </c>
      <c r="D427" s="1" t="s">
        <v>2784</v>
      </c>
      <c r="E427" s="1" t="s">
        <v>2072</v>
      </c>
      <c r="F427" s="1" t="s">
        <v>3247</v>
      </c>
      <c r="G427" s="7" t="s">
        <v>15</v>
      </c>
      <c r="H427" s="22" t="s">
        <v>15</v>
      </c>
      <c r="I427" s="22" t="s">
        <v>20</v>
      </c>
      <c r="K427" s="1" t="s">
        <v>2087</v>
      </c>
      <c r="L427" s="39" t="s">
        <v>2506</v>
      </c>
    </row>
    <row r="428" spans="1:12" ht="54" customHeight="1">
      <c r="A428" s="1">
        <v>20</v>
      </c>
      <c r="B428" s="1" t="s">
        <v>3248</v>
      </c>
      <c r="C428" s="1" t="s">
        <v>3249</v>
      </c>
      <c r="D428" s="1" t="s">
        <v>2784</v>
      </c>
      <c r="E428" s="1" t="s">
        <v>1657</v>
      </c>
      <c r="F428" s="1" t="s">
        <v>3250</v>
      </c>
      <c r="G428" s="8" t="s">
        <v>3251</v>
      </c>
      <c r="H428" s="14" t="s">
        <v>3251</v>
      </c>
      <c r="I428" s="25"/>
    </row>
    <row r="429" spans="1:12" ht="54" customHeight="1">
      <c r="A429" s="1">
        <v>637</v>
      </c>
      <c r="B429" s="1" t="s">
        <v>3252</v>
      </c>
      <c r="C429" s="1" t="s">
        <v>3253</v>
      </c>
      <c r="D429" s="1" t="s">
        <v>2784</v>
      </c>
      <c r="E429" s="1" t="s">
        <v>1657</v>
      </c>
      <c r="F429" s="1" t="s">
        <v>3254</v>
      </c>
      <c r="G429" s="7" t="s">
        <v>3255</v>
      </c>
      <c r="H429" s="22" t="s">
        <v>3255</v>
      </c>
      <c r="I429" s="22"/>
      <c r="K429" s="1" t="s">
        <v>1648</v>
      </c>
      <c r="L429" s="39" t="s">
        <v>1717</v>
      </c>
    </row>
    <row r="430" spans="1:12" ht="54" customHeight="1">
      <c r="A430" s="1">
        <v>49742</v>
      </c>
      <c r="B430" s="1" t="s">
        <v>3256</v>
      </c>
      <c r="C430" s="1" t="s">
        <v>3257</v>
      </c>
      <c r="D430" s="1" t="s">
        <v>2784</v>
      </c>
      <c r="E430" s="1" t="s">
        <v>1657</v>
      </c>
      <c r="F430" s="1" t="s">
        <v>3258</v>
      </c>
      <c r="G430" s="7" t="s">
        <v>15</v>
      </c>
      <c r="H430" s="14" t="s">
        <v>15</v>
      </c>
      <c r="I430" s="10" t="s">
        <v>20</v>
      </c>
    </row>
    <row r="431" spans="1:12" ht="54" customHeight="1">
      <c r="A431" s="1">
        <v>115</v>
      </c>
      <c r="B431" s="1" t="s">
        <v>3259</v>
      </c>
      <c r="C431" s="1" t="s">
        <v>3260</v>
      </c>
      <c r="D431" s="1" t="s">
        <v>2784</v>
      </c>
      <c r="E431" s="1" t="s">
        <v>1657</v>
      </c>
      <c r="F431" s="1" t="s">
        <v>3261</v>
      </c>
      <c r="G431" s="6"/>
      <c r="K431" s="1" t="s">
        <v>1648</v>
      </c>
      <c r="L431" s="39" t="s">
        <v>1717</v>
      </c>
    </row>
    <row r="432" spans="1:12" ht="54" customHeight="1">
      <c r="A432" s="1">
        <v>49753</v>
      </c>
      <c r="B432" s="1" t="s">
        <v>3262</v>
      </c>
      <c r="C432" s="1" t="s">
        <v>3263</v>
      </c>
      <c r="D432" s="1" t="s">
        <v>2784</v>
      </c>
      <c r="E432" s="1" t="s">
        <v>1657</v>
      </c>
      <c r="F432" s="1" t="s">
        <v>3264</v>
      </c>
      <c r="G432" s="6"/>
      <c r="K432" s="1" t="s">
        <v>1648</v>
      </c>
      <c r="L432" s="39" t="s">
        <v>1717</v>
      </c>
    </row>
    <row r="433" spans="1:12" ht="54" customHeight="1">
      <c r="A433" s="1">
        <v>163</v>
      </c>
      <c r="B433" s="1" t="s">
        <v>3265</v>
      </c>
      <c r="C433" s="1" t="s">
        <v>3266</v>
      </c>
      <c r="D433" s="1" t="s">
        <v>2784</v>
      </c>
      <c r="E433" s="1" t="s">
        <v>1657</v>
      </c>
      <c r="F433" s="1" t="s">
        <v>3267</v>
      </c>
      <c r="G433" s="7" t="s">
        <v>36</v>
      </c>
      <c r="H433" s="14" t="s">
        <v>36</v>
      </c>
      <c r="I433" s="25" t="s">
        <v>20</v>
      </c>
      <c r="K433" s="1" t="s">
        <v>2087</v>
      </c>
      <c r="L433" s="39" t="s">
        <v>2506</v>
      </c>
    </row>
    <row r="434" spans="1:12" ht="54" customHeight="1">
      <c r="A434" s="1">
        <v>184</v>
      </c>
      <c r="B434" s="1" t="s">
        <v>3268</v>
      </c>
      <c r="C434" s="1" t="s">
        <v>3269</v>
      </c>
      <c r="D434" s="1" t="s">
        <v>2784</v>
      </c>
      <c r="E434" s="1" t="s">
        <v>1657</v>
      </c>
      <c r="F434" s="1" t="s">
        <v>3270</v>
      </c>
      <c r="G434" s="6"/>
      <c r="K434" s="1" t="s">
        <v>2505</v>
      </c>
      <c r="L434" s="39" t="s">
        <v>2506</v>
      </c>
    </row>
    <row r="435" spans="1:12" ht="54" customHeight="1">
      <c r="A435" s="1">
        <v>664</v>
      </c>
      <c r="B435" s="1" t="s">
        <v>3271</v>
      </c>
      <c r="C435" s="1" t="s">
        <v>3272</v>
      </c>
      <c r="D435" s="1" t="s">
        <v>2784</v>
      </c>
      <c r="E435" s="1" t="s">
        <v>1657</v>
      </c>
      <c r="F435" s="1" t="s">
        <v>3273</v>
      </c>
      <c r="G435" s="7" t="s">
        <v>36</v>
      </c>
      <c r="H435" s="22" t="s">
        <v>36</v>
      </c>
      <c r="I435" s="22" t="s">
        <v>20</v>
      </c>
      <c r="K435" s="1" t="s">
        <v>2137</v>
      </c>
      <c r="L435" s="39" t="s">
        <v>2506</v>
      </c>
    </row>
    <row r="436" spans="1:12" ht="54" customHeight="1">
      <c r="A436" s="1">
        <v>261</v>
      </c>
      <c r="B436" s="1" t="s">
        <v>3274</v>
      </c>
      <c r="C436" s="1" t="s">
        <v>3275</v>
      </c>
      <c r="D436" s="1" t="s">
        <v>2784</v>
      </c>
      <c r="E436" s="1" t="s">
        <v>1657</v>
      </c>
      <c r="F436" s="1" t="s">
        <v>3276</v>
      </c>
      <c r="G436" s="7" t="s">
        <v>495</v>
      </c>
      <c r="H436" s="14" t="s">
        <v>495</v>
      </c>
      <c r="I436" s="25" t="s">
        <v>20</v>
      </c>
      <c r="K436" s="1" t="s">
        <v>2137</v>
      </c>
      <c r="L436" s="39" t="s">
        <v>2506</v>
      </c>
    </row>
    <row r="437" spans="1:12" ht="54" customHeight="1">
      <c r="A437" s="1">
        <v>49766</v>
      </c>
      <c r="B437" s="1" t="s">
        <v>3277</v>
      </c>
      <c r="C437" s="1" t="s">
        <v>3278</v>
      </c>
      <c r="D437" s="1" t="s">
        <v>2784</v>
      </c>
      <c r="E437" s="1" t="s">
        <v>1657</v>
      </c>
      <c r="F437" s="1" t="s">
        <v>3279</v>
      </c>
      <c r="G437" s="7" t="s">
        <v>15</v>
      </c>
      <c r="J437" s="1" t="s">
        <v>3280</v>
      </c>
      <c r="K437" s="1" t="s">
        <v>2137</v>
      </c>
      <c r="L437" s="39" t="s">
        <v>2506</v>
      </c>
    </row>
    <row r="438" spans="1:12" ht="54" customHeight="1">
      <c r="A438" s="1">
        <v>281</v>
      </c>
      <c r="B438" s="1" t="s">
        <v>3281</v>
      </c>
      <c r="C438" s="1" t="s">
        <v>3282</v>
      </c>
      <c r="D438" s="1" t="s">
        <v>2784</v>
      </c>
      <c r="E438" s="1" t="s">
        <v>1657</v>
      </c>
      <c r="F438" s="1" t="s">
        <v>3283</v>
      </c>
      <c r="G438" s="7" t="s">
        <v>36</v>
      </c>
      <c r="H438" s="22" t="s">
        <v>36</v>
      </c>
      <c r="I438" s="22" t="s">
        <v>20</v>
      </c>
      <c r="K438" s="1" t="s">
        <v>2137</v>
      </c>
      <c r="L438" s="39" t="s">
        <v>2506</v>
      </c>
    </row>
    <row r="439" spans="1:12" ht="54" customHeight="1">
      <c r="A439" s="1">
        <v>282</v>
      </c>
      <c r="B439" s="1" t="s">
        <v>3284</v>
      </c>
      <c r="C439" s="1" t="s">
        <v>3285</v>
      </c>
      <c r="D439" s="1" t="s">
        <v>2784</v>
      </c>
      <c r="E439" s="1" t="s">
        <v>1657</v>
      </c>
      <c r="F439" s="1" t="s">
        <v>3286</v>
      </c>
      <c r="G439" s="6"/>
      <c r="K439" s="1" t="s">
        <v>2137</v>
      </c>
      <c r="L439" s="39" t="s">
        <v>2506</v>
      </c>
    </row>
    <row r="440" spans="1:12" ht="54" customHeight="1">
      <c r="A440" s="1">
        <v>312</v>
      </c>
      <c r="B440" s="1" t="s">
        <v>3287</v>
      </c>
      <c r="C440" s="1" t="s">
        <v>3288</v>
      </c>
      <c r="D440" s="1" t="s">
        <v>2784</v>
      </c>
      <c r="E440" s="1" t="s">
        <v>1657</v>
      </c>
      <c r="F440" s="1" t="s">
        <v>3289</v>
      </c>
      <c r="G440" s="7" t="s">
        <v>3290</v>
      </c>
      <c r="H440" s="14" t="s">
        <v>3290</v>
      </c>
      <c r="I440" s="10"/>
      <c r="K440" s="1" t="s">
        <v>2137</v>
      </c>
      <c r="L440" s="39" t="s">
        <v>2506</v>
      </c>
    </row>
    <row r="441" spans="1:12" ht="54" customHeight="1">
      <c r="A441" s="1">
        <v>332</v>
      </c>
      <c r="B441" s="1" t="s">
        <v>3291</v>
      </c>
      <c r="C441" s="1" t="s">
        <v>3292</v>
      </c>
      <c r="D441" s="1" t="s">
        <v>2784</v>
      </c>
      <c r="E441" s="1" t="s">
        <v>1657</v>
      </c>
      <c r="F441" s="1" t="s">
        <v>3293</v>
      </c>
      <c r="G441" s="7" t="s">
        <v>64</v>
      </c>
      <c r="H441" s="14" t="s">
        <v>64</v>
      </c>
      <c r="I441" s="10"/>
      <c r="K441" s="1" t="s">
        <v>2137</v>
      </c>
      <c r="L441" s="39" t="s">
        <v>2506</v>
      </c>
    </row>
    <row r="442" spans="1:12" ht="54" customHeight="1">
      <c r="A442" s="1">
        <v>345</v>
      </c>
      <c r="B442" s="1" t="s">
        <v>3294</v>
      </c>
      <c r="C442" s="1" t="s">
        <v>3295</v>
      </c>
      <c r="D442" s="1" t="s">
        <v>2784</v>
      </c>
      <c r="E442" s="1" t="s">
        <v>1657</v>
      </c>
      <c r="F442" s="1" t="s">
        <v>3296</v>
      </c>
      <c r="G442" s="7" t="s">
        <v>3297</v>
      </c>
      <c r="H442" s="14" t="s">
        <v>3298</v>
      </c>
      <c r="I442" s="25" t="s">
        <v>20</v>
      </c>
      <c r="K442" s="1" t="s">
        <v>2137</v>
      </c>
      <c r="L442" s="39" t="s">
        <v>2506</v>
      </c>
    </row>
    <row r="443" spans="1:12" ht="54" customHeight="1">
      <c r="A443" s="1">
        <v>349</v>
      </c>
      <c r="B443" s="1" t="s">
        <v>3299</v>
      </c>
      <c r="C443" s="1" t="s">
        <v>3300</v>
      </c>
      <c r="D443" s="1" t="s">
        <v>2784</v>
      </c>
      <c r="E443" s="1" t="s">
        <v>1657</v>
      </c>
      <c r="F443" s="1" t="s">
        <v>3301</v>
      </c>
      <c r="G443" s="8" t="s">
        <v>3302</v>
      </c>
      <c r="H443" s="14" t="s">
        <v>3302</v>
      </c>
      <c r="I443" s="25"/>
      <c r="K443" s="1" t="s">
        <v>2137</v>
      </c>
      <c r="L443" s="39" t="s">
        <v>2506</v>
      </c>
    </row>
    <row r="444" spans="1:12" ht="54" customHeight="1">
      <c r="A444" s="1">
        <v>721</v>
      </c>
      <c r="B444" s="1" t="s">
        <v>3303</v>
      </c>
      <c r="C444" s="1" t="s">
        <v>3304</v>
      </c>
      <c r="D444" s="1" t="s">
        <v>2784</v>
      </c>
      <c r="E444" s="1" t="s">
        <v>1657</v>
      </c>
      <c r="F444" s="1" t="s">
        <v>3305</v>
      </c>
      <c r="G444" s="7" t="s">
        <v>3306</v>
      </c>
      <c r="H444" s="14" t="s">
        <v>3306</v>
      </c>
      <c r="I444" s="25"/>
      <c r="K444" s="1" t="s">
        <v>2087</v>
      </c>
      <c r="L444" s="39" t="s">
        <v>2506</v>
      </c>
    </row>
    <row r="445" spans="1:12" ht="54" customHeight="1">
      <c r="A445" s="1">
        <v>411</v>
      </c>
      <c r="B445" s="1" t="s">
        <v>3307</v>
      </c>
      <c r="C445" s="1" t="s">
        <v>3308</v>
      </c>
      <c r="D445" s="1" t="s">
        <v>2784</v>
      </c>
      <c r="E445" s="1" t="s">
        <v>1657</v>
      </c>
      <c r="F445" s="1" t="s">
        <v>3309</v>
      </c>
      <c r="G445" s="7" t="s">
        <v>3310</v>
      </c>
      <c r="H445" s="14" t="s">
        <v>3310</v>
      </c>
      <c r="I445" s="10"/>
      <c r="K445" s="1" t="s">
        <v>2087</v>
      </c>
      <c r="L445" s="39" t="s">
        <v>2506</v>
      </c>
    </row>
    <row r="446" spans="1:12" ht="54" customHeight="1">
      <c r="A446" s="1">
        <v>418</v>
      </c>
      <c r="B446" s="1" t="s">
        <v>3311</v>
      </c>
      <c r="C446" s="1" t="s">
        <v>3312</v>
      </c>
      <c r="D446" s="1" t="s">
        <v>2784</v>
      </c>
      <c r="E446" s="1" t="s">
        <v>1657</v>
      </c>
      <c r="F446" s="1" t="s">
        <v>3313</v>
      </c>
      <c r="G446" s="7" t="s">
        <v>64</v>
      </c>
      <c r="H446" s="14" t="s">
        <v>64</v>
      </c>
      <c r="I446" s="25"/>
      <c r="K446" s="1" t="s">
        <v>2087</v>
      </c>
      <c r="L446" s="39" t="s">
        <v>2506</v>
      </c>
    </row>
    <row r="447" spans="1:12" ht="54" customHeight="1">
      <c r="A447" s="1">
        <v>764</v>
      </c>
      <c r="B447" s="1" t="s">
        <v>3314</v>
      </c>
      <c r="C447" s="1" t="s">
        <v>3315</v>
      </c>
      <c r="D447" s="1" t="s">
        <v>2784</v>
      </c>
      <c r="E447" s="1" t="s">
        <v>1657</v>
      </c>
      <c r="F447" s="1" t="s">
        <v>3316</v>
      </c>
      <c r="G447" s="7" t="s">
        <v>15</v>
      </c>
      <c r="J447" s="1" t="s">
        <v>3280</v>
      </c>
      <c r="K447" s="1" t="s">
        <v>2087</v>
      </c>
      <c r="L447" s="39" t="s">
        <v>2506</v>
      </c>
    </row>
    <row r="448" spans="1:12" ht="54" customHeight="1">
      <c r="A448" s="1">
        <v>127</v>
      </c>
      <c r="B448" s="1" t="s">
        <v>3317</v>
      </c>
      <c r="C448" s="1" t="s">
        <v>3318</v>
      </c>
      <c r="D448" s="1" t="s">
        <v>2784</v>
      </c>
      <c r="E448" s="1" t="s">
        <v>3319</v>
      </c>
      <c r="F448" s="1" t="s">
        <v>3320</v>
      </c>
      <c r="G448" s="7" t="s">
        <v>3321</v>
      </c>
      <c r="H448" s="14" t="s">
        <v>3321</v>
      </c>
      <c r="I448" s="10"/>
      <c r="K448" s="1" t="s">
        <v>2087</v>
      </c>
      <c r="L448" s="39" t="s">
        <v>2506</v>
      </c>
    </row>
    <row r="449" spans="1:12" ht="54" customHeight="1">
      <c r="A449" s="1">
        <v>137</v>
      </c>
      <c r="B449" s="1" t="s">
        <v>3322</v>
      </c>
      <c r="C449" s="1" t="s">
        <v>3323</v>
      </c>
      <c r="D449" s="1" t="s">
        <v>2784</v>
      </c>
      <c r="E449" s="1" t="s">
        <v>3319</v>
      </c>
      <c r="F449" s="1" t="s">
        <v>3324</v>
      </c>
      <c r="G449" s="6"/>
      <c r="K449" s="1" t="s">
        <v>2087</v>
      </c>
      <c r="L449" s="39" t="s">
        <v>2506</v>
      </c>
    </row>
    <row r="450" spans="1:12" ht="54" customHeight="1">
      <c r="A450" s="1">
        <v>298</v>
      </c>
      <c r="B450" s="1" t="s">
        <v>3325</v>
      </c>
      <c r="C450" s="1" t="s">
        <v>3326</v>
      </c>
      <c r="D450" s="1" t="s">
        <v>2784</v>
      </c>
      <c r="E450" s="1" t="s">
        <v>3319</v>
      </c>
      <c r="F450" s="1" t="s">
        <v>3327</v>
      </c>
      <c r="G450" s="6" t="s">
        <v>3328</v>
      </c>
      <c r="K450" s="1" t="s">
        <v>2087</v>
      </c>
      <c r="L450" s="39" t="s">
        <v>2506</v>
      </c>
    </row>
    <row r="451" spans="1:12" ht="54" customHeight="1">
      <c r="A451" s="1">
        <v>39454</v>
      </c>
      <c r="B451" s="1" t="s">
        <v>3329</v>
      </c>
      <c r="C451" s="1" t="s">
        <v>3330</v>
      </c>
      <c r="D451" s="1" t="s">
        <v>2784</v>
      </c>
      <c r="E451" s="1" t="s">
        <v>3319</v>
      </c>
      <c r="F451" s="1" t="s">
        <v>3331</v>
      </c>
      <c r="G451" s="7" t="s">
        <v>3332</v>
      </c>
      <c r="H451" s="14" t="s">
        <v>3332</v>
      </c>
      <c r="I451" s="10"/>
      <c r="K451" s="1" t="s">
        <v>2087</v>
      </c>
      <c r="L451" s="39" t="s">
        <v>2506</v>
      </c>
    </row>
    <row r="452" spans="1:12" ht="54" customHeight="1">
      <c r="A452" s="1">
        <v>39456</v>
      </c>
      <c r="B452" s="1" t="s">
        <v>3333</v>
      </c>
      <c r="C452" s="1" t="s">
        <v>3334</v>
      </c>
      <c r="D452" s="1" t="s">
        <v>2784</v>
      </c>
      <c r="E452" s="1" t="s">
        <v>3319</v>
      </c>
      <c r="F452" s="1" t="s">
        <v>3335</v>
      </c>
      <c r="G452" s="7" t="s">
        <v>3336</v>
      </c>
      <c r="H452" s="22" t="s">
        <v>3337</v>
      </c>
      <c r="I452" s="22"/>
      <c r="J452" s="1" t="s">
        <v>3338</v>
      </c>
      <c r="K452" s="1" t="s">
        <v>2087</v>
      </c>
      <c r="L452" s="39" t="s">
        <v>2506</v>
      </c>
    </row>
    <row r="453" spans="1:12" ht="54" customHeight="1">
      <c r="A453" s="1">
        <v>39440</v>
      </c>
      <c r="B453" s="1" t="s">
        <v>3339</v>
      </c>
      <c r="C453" s="1" t="s">
        <v>3340</v>
      </c>
      <c r="D453" s="1" t="s">
        <v>2784</v>
      </c>
      <c r="E453" s="1" t="s">
        <v>3319</v>
      </c>
      <c r="F453" s="1" t="s">
        <v>3341</v>
      </c>
      <c r="G453" s="6" t="s">
        <v>3342</v>
      </c>
    </row>
    <row r="454" spans="1:12" ht="54" customHeight="1">
      <c r="A454" s="1">
        <v>674</v>
      </c>
      <c r="B454" s="1" t="s">
        <v>3343</v>
      </c>
      <c r="C454" s="1" t="s">
        <v>3344</v>
      </c>
      <c r="D454" s="1" t="s">
        <v>2784</v>
      </c>
      <c r="E454" s="1" t="s">
        <v>1666</v>
      </c>
      <c r="F454" s="1" t="s">
        <v>3345</v>
      </c>
      <c r="G454" s="6" t="s">
        <v>3328</v>
      </c>
      <c r="K454" s="1" t="s">
        <v>2506</v>
      </c>
      <c r="L454" s="39" t="s">
        <v>2087</v>
      </c>
    </row>
    <row r="455" spans="1:12" ht="54" customHeight="1">
      <c r="A455" s="1">
        <v>582</v>
      </c>
      <c r="B455" s="1" t="s">
        <v>3346</v>
      </c>
      <c r="C455" s="1" t="s">
        <v>3347</v>
      </c>
      <c r="D455" s="1" t="s">
        <v>2784</v>
      </c>
      <c r="E455" s="1" t="s">
        <v>1673</v>
      </c>
      <c r="F455" s="1" t="s">
        <v>3348</v>
      </c>
      <c r="G455" s="6"/>
    </row>
    <row r="456" spans="1:12" ht="54" customHeight="1">
      <c r="A456" s="1">
        <v>7</v>
      </c>
      <c r="B456" s="1" t="s">
        <v>3349</v>
      </c>
      <c r="C456" s="1" t="s">
        <v>3350</v>
      </c>
      <c r="D456" s="1" t="s">
        <v>2784</v>
      </c>
      <c r="E456" s="1" t="s">
        <v>1673</v>
      </c>
      <c r="F456" s="1" t="s">
        <v>3351</v>
      </c>
      <c r="G456" s="6" t="s">
        <v>3352</v>
      </c>
    </row>
    <row r="457" spans="1:12" ht="54" customHeight="1">
      <c r="A457" s="1">
        <v>9</v>
      </c>
      <c r="B457" s="1" t="s">
        <v>3353</v>
      </c>
      <c r="C457" s="1" t="s">
        <v>3354</v>
      </c>
      <c r="D457" s="1" t="s">
        <v>2784</v>
      </c>
      <c r="E457" s="1" t="s">
        <v>1673</v>
      </c>
      <c r="F457" s="1" t="s">
        <v>3355</v>
      </c>
      <c r="G457" s="7" t="s">
        <v>3356</v>
      </c>
    </row>
    <row r="458" spans="1:12" ht="54" customHeight="1">
      <c r="A458" s="1">
        <v>10</v>
      </c>
      <c r="B458" s="1" t="s">
        <v>3357</v>
      </c>
      <c r="C458" s="1" t="s">
        <v>3358</v>
      </c>
      <c r="D458" s="1" t="s">
        <v>2784</v>
      </c>
      <c r="E458" s="1" t="s">
        <v>1673</v>
      </c>
      <c r="F458" s="1" t="s">
        <v>3359</v>
      </c>
      <c r="G458" s="7" t="s">
        <v>3360</v>
      </c>
    </row>
    <row r="459" spans="1:12" ht="54" customHeight="1">
      <c r="A459" s="1">
        <v>11</v>
      </c>
      <c r="B459" s="1" t="s">
        <v>3361</v>
      </c>
      <c r="C459" s="1" t="s">
        <v>3362</v>
      </c>
      <c r="D459" s="1" t="s">
        <v>2784</v>
      </c>
      <c r="E459" s="1" t="s">
        <v>1673</v>
      </c>
      <c r="F459" s="1" t="s">
        <v>3363</v>
      </c>
      <c r="G459" s="7" t="s">
        <v>3364</v>
      </c>
    </row>
    <row r="460" spans="1:12" ht="54" customHeight="1">
      <c r="A460" s="1">
        <v>12</v>
      </c>
      <c r="B460" s="1" t="s">
        <v>3365</v>
      </c>
      <c r="C460" s="1" t="s">
        <v>3366</v>
      </c>
      <c r="D460" s="1" t="s">
        <v>2784</v>
      </c>
      <c r="E460" s="1" t="s">
        <v>1673</v>
      </c>
      <c r="F460" s="1" t="s">
        <v>3367</v>
      </c>
      <c r="G460" s="6" t="s">
        <v>3368</v>
      </c>
    </row>
    <row r="461" spans="1:12" ht="54" customHeight="1">
      <c r="A461" s="1">
        <v>583</v>
      </c>
      <c r="B461" s="1" t="s">
        <v>3369</v>
      </c>
      <c r="C461" s="1" t="s">
        <v>3370</v>
      </c>
      <c r="D461" s="1" t="s">
        <v>2784</v>
      </c>
      <c r="E461" s="1" t="s">
        <v>1673</v>
      </c>
      <c r="F461" s="1" t="s">
        <v>3371</v>
      </c>
      <c r="G461" s="6"/>
    </row>
    <row r="462" spans="1:12" ht="54" customHeight="1">
      <c r="A462" s="1">
        <v>16</v>
      </c>
      <c r="B462" s="1" t="s">
        <v>3372</v>
      </c>
      <c r="C462" s="1" t="s">
        <v>3373</v>
      </c>
      <c r="D462" s="1" t="s">
        <v>2784</v>
      </c>
      <c r="E462" s="1" t="s">
        <v>1673</v>
      </c>
      <c r="F462" s="1" t="s">
        <v>3374</v>
      </c>
      <c r="G462" s="6" t="s">
        <v>3375</v>
      </c>
    </row>
    <row r="463" spans="1:12" ht="54" customHeight="1">
      <c r="A463" s="1">
        <v>590</v>
      </c>
      <c r="B463" s="1" t="s">
        <v>3376</v>
      </c>
      <c r="C463" s="1" t="s">
        <v>3377</v>
      </c>
      <c r="D463" s="1" t="s">
        <v>2784</v>
      </c>
      <c r="E463" s="1" t="s">
        <v>1673</v>
      </c>
      <c r="F463" s="1" t="s">
        <v>3378</v>
      </c>
      <c r="G463" s="7" t="s">
        <v>3379</v>
      </c>
      <c r="H463" s="14" t="s">
        <v>3379</v>
      </c>
      <c r="I463" s="14"/>
    </row>
    <row r="464" spans="1:12" ht="54" customHeight="1">
      <c r="A464" s="1">
        <v>591</v>
      </c>
      <c r="B464" s="1" t="s">
        <v>3380</v>
      </c>
      <c r="C464" s="1" t="s">
        <v>3381</v>
      </c>
      <c r="D464" s="1" t="s">
        <v>2784</v>
      </c>
      <c r="E464" s="1" t="s">
        <v>1673</v>
      </c>
      <c r="F464" s="1" t="s">
        <v>3382</v>
      </c>
      <c r="G464" s="6"/>
      <c r="J464" s="1" t="s">
        <v>3383</v>
      </c>
    </row>
    <row r="465" spans="1:12" ht="54" customHeight="1">
      <c r="A465" s="1">
        <v>592</v>
      </c>
      <c r="B465" s="1" t="s">
        <v>3384</v>
      </c>
      <c r="C465" s="1" t="s">
        <v>3385</v>
      </c>
      <c r="D465" s="1" t="s">
        <v>2784</v>
      </c>
      <c r="E465" s="1" t="s">
        <v>1673</v>
      </c>
      <c r="F465" s="1" t="s">
        <v>3386</v>
      </c>
      <c r="G465" s="9" t="s">
        <v>296</v>
      </c>
    </row>
    <row r="466" spans="1:12" ht="54" customHeight="1">
      <c r="A466" s="1">
        <v>18</v>
      </c>
      <c r="B466" s="1" t="s">
        <v>3387</v>
      </c>
      <c r="C466" s="1" t="s">
        <v>3388</v>
      </c>
      <c r="D466" s="1" t="s">
        <v>2784</v>
      </c>
      <c r="E466" s="1" t="s">
        <v>1673</v>
      </c>
      <c r="F466" s="1" t="s">
        <v>3389</v>
      </c>
      <c r="G466" s="7" t="s">
        <v>3390</v>
      </c>
      <c r="J466" s="28" t="s">
        <v>3391</v>
      </c>
    </row>
    <row r="467" spans="1:12" ht="54" customHeight="1">
      <c r="A467" s="1">
        <v>23</v>
      </c>
      <c r="B467" s="1" t="s">
        <v>3392</v>
      </c>
      <c r="C467" s="1" t="s">
        <v>3393</v>
      </c>
      <c r="D467" s="1" t="s">
        <v>2784</v>
      </c>
      <c r="E467" s="1" t="s">
        <v>1673</v>
      </c>
      <c r="F467" s="1" t="s">
        <v>3394</v>
      </c>
      <c r="G467" s="6" t="s">
        <v>3395</v>
      </c>
    </row>
    <row r="468" spans="1:12" ht="54" customHeight="1">
      <c r="A468" s="1">
        <v>614</v>
      </c>
      <c r="B468" s="1" t="s">
        <v>3396</v>
      </c>
      <c r="C468" s="1" t="s">
        <v>3397</v>
      </c>
      <c r="D468" s="1" t="s">
        <v>2784</v>
      </c>
      <c r="E468" s="1" t="s">
        <v>1673</v>
      </c>
      <c r="F468" s="1" t="s">
        <v>3398</v>
      </c>
      <c r="G468" s="6"/>
    </row>
    <row r="469" spans="1:12" ht="54" customHeight="1">
      <c r="A469" s="1">
        <v>616</v>
      </c>
      <c r="B469" s="1" t="s">
        <v>3399</v>
      </c>
      <c r="C469" s="1" t="s">
        <v>3400</v>
      </c>
      <c r="D469" s="1" t="s">
        <v>2784</v>
      </c>
      <c r="E469" s="1" t="s">
        <v>1673</v>
      </c>
      <c r="F469" s="1" t="s">
        <v>3401</v>
      </c>
      <c r="G469" s="7" t="s">
        <v>3402</v>
      </c>
    </row>
    <row r="470" spans="1:12" ht="54" customHeight="1">
      <c r="A470" s="1">
        <v>641</v>
      </c>
      <c r="B470" s="1" t="s">
        <v>3403</v>
      </c>
      <c r="C470" s="1" t="s">
        <v>3404</v>
      </c>
      <c r="D470" s="1" t="s">
        <v>2784</v>
      </c>
      <c r="E470" s="1" t="s">
        <v>1673</v>
      </c>
      <c r="F470" s="1" t="s">
        <v>3405</v>
      </c>
      <c r="G470" s="6"/>
    </row>
    <row r="471" spans="1:12" ht="54" customHeight="1">
      <c r="A471" s="1">
        <v>678</v>
      </c>
      <c r="B471" s="1" t="s">
        <v>3406</v>
      </c>
      <c r="C471" s="1" t="s">
        <v>3407</v>
      </c>
      <c r="D471" s="1" t="s">
        <v>2784</v>
      </c>
      <c r="E471" s="1" t="s">
        <v>1673</v>
      </c>
      <c r="F471" s="1" t="s">
        <v>3408</v>
      </c>
      <c r="G471" s="6" t="s">
        <v>3409</v>
      </c>
    </row>
    <row r="472" spans="1:12" ht="54" customHeight="1">
      <c r="A472" s="1">
        <v>682</v>
      </c>
      <c r="B472" s="1" t="s">
        <v>3410</v>
      </c>
      <c r="C472" s="1" t="s">
        <v>3411</v>
      </c>
      <c r="D472" s="1" t="s">
        <v>2784</v>
      </c>
      <c r="E472" s="1" t="s">
        <v>1673</v>
      </c>
      <c r="F472" s="1" t="s">
        <v>3412</v>
      </c>
      <c r="G472" s="6"/>
    </row>
    <row r="473" spans="1:12" ht="54" customHeight="1">
      <c r="A473" s="1">
        <v>326</v>
      </c>
      <c r="B473" s="1" t="s">
        <v>3413</v>
      </c>
      <c r="C473" s="1" t="s">
        <v>3414</v>
      </c>
      <c r="D473" s="1" t="s">
        <v>2784</v>
      </c>
      <c r="E473" s="1" t="s">
        <v>1673</v>
      </c>
      <c r="F473" s="1" t="s">
        <v>3415</v>
      </c>
      <c r="G473" s="6" t="s">
        <v>3416</v>
      </c>
      <c r="K473" s="1" t="s">
        <v>2087</v>
      </c>
      <c r="L473" s="39" t="s">
        <v>2759</v>
      </c>
    </row>
    <row r="474" spans="1:12" ht="54" customHeight="1">
      <c r="A474" s="1">
        <v>690</v>
      </c>
      <c r="B474" s="1" t="s">
        <v>3417</v>
      </c>
      <c r="C474" s="1" t="s">
        <v>3418</v>
      </c>
      <c r="D474" s="1" t="s">
        <v>2784</v>
      </c>
      <c r="E474" s="1" t="s">
        <v>1673</v>
      </c>
      <c r="F474" s="1" t="s">
        <v>3419</v>
      </c>
      <c r="G474" s="6" t="s">
        <v>3420</v>
      </c>
    </row>
    <row r="475" spans="1:12" ht="54" customHeight="1">
      <c r="A475" s="1">
        <v>692</v>
      </c>
      <c r="B475" s="1" t="s">
        <v>3421</v>
      </c>
      <c r="C475" s="1" t="s">
        <v>3422</v>
      </c>
      <c r="D475" s="1" t="s">
        <v>2784</v>
      </c>
      <c r="E475" s="1" t="s">
        <v>1673</v>
      </c>
      <c r="F475" s="1" t="s">
        <v>3423</v>
      </c>
      <c r="G475" s="6"/>
    </row>
    <row r="476" spans="1:12" ht="54" customHeight="1">
      <c r="A476" s="1">
        <v>693</v>
      </c>
      <c r="B476" s="1" t="s">
        <v>3424</v>
      </c>
      <c r="C476" s="1" t="s">
        <v>3425</v>
      </c>
      <c r="D476" s="1" t="s">
        <v>2784</v>
      </c>
      <c r="E476" s="1" t="s">
        <v>1673</v>
      </c>
      <c r="F476" s="1" t="s">
        <v>3426</v>
      </c>
      <c r="G476" s="6"/>
    </row>
    <row r="477" spans="1:12" ht="54" customHeight="1">
      <c r="A477" s="1">
        <v>390</v>
      </c>
      <c r="B477" s="1" t="s">
        <v>3427</v>
      </c>
      <c r="C477" s="1" t="s">
        <v>3428</v>
      </c>
      <c r="D477" s="1" t="s">
        <v>2784</v>
      </c>
      <c r="E477" s="1" t="s">
        <v>1673</v>
      </c>
      <c r="F477" s="1" t="s">
        <v>3429</v>
      </c>
      <c r="G477" s="6"/>
    </row>
    <row r="478" spans="1:12" ht="54" customHeight="1">
      <c r="A478" s="1">
        <v>703</v>
      </c>
      <c r="B478" s="1" t="s">
        <v>3430</v>
      </c>
      <c r="C478" s="1" t="s">
        <v>3431</v>
      </c>
      <c r="D478" s="1" t="s">
        <v>2784</v>
      </c>
      <c r="E478" s="1" t="s">
        <v>1673</v>
      </c>
      <c r="F478" s="1" t="s">
        <v>3432</v>
      </c>
      <c r="G478" s="6"/>
    </row>
    <row r="479" spans="1:12" ht="54" customHeight="1">
      <c r="A479" s="1">
        <v>709</v>
      </c>
      <c r="B479" s="1" t="s">
        <v>3433</v>
      </c>
      <c r="C479" s="1" t="s">
        <v>3434</v>
      </c>
      <c r="D479" s="1" t="s">
        <v>2784</v>
      </c>
      <c r="E479" s="1" t="s">
        <v>1673</v>
      </c>
      <c r="F479" s="1" t="s">
        <v>3435</v>
      </c>
      <c r="G479" s="6"/>
    </row>
    <row r="480" spans="1:12" ht="54" customHeight="1">
      <c r="A480" s="1">
        <v>745</v>
      </c>
      <c r="B480" s="1" t="s">
        <v>3436</v>
      </c>
      <c r="C480" s="1" t="s">
        <v>3437</v>
      </c>
      <c r="D480" s="1" t="s">
        <v>2784</v>
      </c>
      <c r="E480" s="1" t="s">
        <v>1673</v>
      </c>
      <c r="F480" s="1" t="s">
        <v>3438</v>
      </c>
      <c r="G480" s="6"/>
    </row>
    <row r="481" spans="1:12" ht="54" customHeight="1">
      <c r="A481" s="1">
        <v>746</v>
      </c>
      <c r="B481" s="1" t="s">
        <v>3439</v>
      </c>
      <c r="C481" s="1" t="s">
        <v>3440</v>
      </c>
      <c r="D481" s="1" t="s">
        <v>2784</v>
      </c>
      <c r="E481" s="1" t="s">
        <v>1673</v>
      </c>
      <c r="F481" s="1" t="s">
        <v>3441</v>
      </c>
      <c r="G481" s="7" t="s">
        <v>3442</v>
      </c>
    </row>
    <row r="482" spans="1:12" ht="54" customHeight="1">
      <c r="A482" s="1">
        <v>770</v>
      </c>
      <c r="B482" s="1" t="s">
        <v>3443</v>
      </c>
      <c r="C482" s="1" t="s">
        <v>3444</v>
      </c>
      <c r="D482" s="1" t="s">
        <v>2784</v>
      </c>
      <c r="E482" s="1" t="s">
        <v>1673</v>
      </c>
      <c r="F482" s="1" t="s">
        <v>3445</v>
      </c>
      <c r="G482" s="6" t="s">
        <v>3446</v>
      </c>
    </row>
    <row r="483" spans="1:12" ht="54" customHeight="1">
      <c r="A483" s="1">
        <v>776</v>
      </c>
      <c r="B483" s="1" t="s">
        <v>3447</v>
      </c>
      <c r="C483" s="1" t="s">
        <v>3448</v>
      </c>
      <c r="D483" s="1" t="s">
        <v>2784</v>
      </c>
      <c r="E483" s="1" t="s">
        <v>1673</v>
      </c>
      <c r="F483" s="1" t="s">
        <v>3449</v>
      </c>
      <c r="G483" s="7" t="s">
        <v>3450</v>
      </c>
    </row>
    <row r="484" spans="1:12" ht="54" customHeight="1">
      <c r="A484" s="1">
        <v>781</v>
      </c>
      <c r="B484" s="1" t="s">
        <v>3451</v>
      </c>
      <c r="C484" s="1" t="s">
        <v>3452</v>
      </c>
      <c r="D484" s="1" t="s">
        <v>2784</v>
      </c>
      <c r="E484" s="1" t="s">
        <v>1673</v>
      </c>
      <c r="F484" s="1" t="s">
        <v>3453</v>
      </c>
      <c r="G484" s="6" t="s">
        <v>3454</v>
      </c>
      <c r="K484" s="1" t="s">
        <v>2505</v>
      </c>
      <c r="L484" s="39" t="s">
        <v>2759</v>
      </c>
    </row>
    <row r="485" spans="1:12" ht="54" customHeight="1">
      <c r="A485" s="1">
        <v>784</v>
      </c>
      <c r="B485" s="1" t="s">
        <v>3455</v>
      </c>
      <c r="C485" s="1" t="s">
        <v>3456</v>
      </c>
      <c r="D485" s="1" t="s">
        <v>2784</v>
      </c>
      <c r="E485" s="1" t="s">
        <v>1673</v>
      </c>
      <c r="F485" s="1" t="s">
        <v>3457</v>
      </c>
      <c r="G485" s="6" t="s">
        <v>3458</v>
      </c>
    </row>
    <row r="486" spans="1:12" ht="54" customHeight="1">
      <c r="A486" s="1">
        <v>808</v>
      </c>
      <c r="B486" s="1" t="s">
        <v>3459</v>
      </c>
      <c r="C486" s="1" t="s">
        <v>3460</v>
      </c>
      <c r="D486" s="1" t="s">
        <v>2784</v>
      </c>
      <c r="E486" s="1" t="s">
        <v>1673</v>
      </c>
      <c r="F486" s="1" t="s">
        <v>3461</v>
      </c>
      <c r="G486" s="6"/>
    </row>
    <row r="487" spans="1:12" ht="54" customHeight="1">
      <c r="A487" s="1">
        <v>831</v>
      </c>
      <c r="B487" s="1" t="s">
        <v>3462</v>
      </c>
      <c r="C487" s="1" t="s">
        <v>3463</v>
      </c>
      <c r="D487" s="1" t="s">
        <v>2784</v>
      </c>
      <c r="E487" s="1" t="s">
        <v>1673</v>
      </c>
      <c r="F487" s="1" t="s">
        <v>3464</v>
      </c>
      <c r="G487" s="6"/>
    </row>
    <row r="488" spans="1:12" ht="54" customHeight="1">
      <c r="A488" s="1">
        <v>83091</v>
      </c>
      <c r="B488" s="1" t="s">
        <v>3465</v>
      </c>
      <c r="C488" s="1" t="s">
        <v>3466</v>
      </c>
      <c r="D488" s="1" t="s">
        <v>2784</v>
      </c>
      <c r="E488" s="1" t="s">
        <v>1673</v>
      </c>
      <c r="F488" s="1" t="s">
        <v>3467</v>
      </c>
      <c r="G488" s="7" t="s">
        <v>3468</v>
      </c>
      <c r="H488" s="14" t="s">
        <v>3468</v>
      </c>
      <c r="I488" s="10"/>
    </row>
    <row r="489" spans="1:12" ht="54" customHeight="1">
      <c r="A489" s="1">
        <v>873</v>
      </c>
      <c r="B489" s="1" t="s">
        <v>3469</v>
      </c>
      <c r="C489" s="1" t="s">
        <v>3470</v>
      </c>
      <c r="D489" s="1" t="s">
        <v>2784</v>
      </c>
      <c r="E489" s="1" t="s">
        <v>2254</v>
      </c>
      <c r="F489" s="1" t="s">
        <v>3471</v>
      </c>
      <c r="G489" s="30" t="s">
        <v>3472</v>
      </c>
      <c r="H489" s="14" t="s">
        <v>3472</v>
      </c>
      <c r="I489" s="25"/>
      <c r="K489" s="1" t="s">
        <v>2506</v>
      </c>
      <c r="L489" s="39" t="s">
        <v>2087</v>
      </c>
    </row>
    <row r="490" spans="1:12" ht="54" customHeight="1">
      <c r="A490" s="1">
        <v>67</v>
      </c>
      <c r="B490" s="1" t="s">
        <v>3473</v>
      </c>
      <c r="C490" s="1" t="s">
        <v>3474</v>
      </c>
      <c r="D490" s="1" t="s">
        <v>2784</v>
      </c>
      <c r="E490" s="1" t="s">
        <v>2254</v>
      </c>
      <c r="F490" s="1" t="s">
        <v>3475</v>
      </c>
      <c r="G490" s="7" t="s">
        <v>3476</v>
      </c>
      <c r="K490" s="1" t="s">
        <v>2506</v>
      </c>
      <c r="L490" s="39" t="s">
        <v>2087</v>
      </c>
    </row>
    <row r="491" spans="1:12" ht="54" customHeight="1">
      <c r="A491" s="1">
        <v>217</v>
      </c>
      <c r="B491" s="1" t="s">
        <v>3477</v>
      </c>
      <c r="C491" s="1" t="s">
        <v>3478</v>
      </c>
      <c r="D491" s="1" t="s">
        <v>2784</v>
      </c>
      <c r="E491" s="1" t="s">
        <v>2254</v>
      </c>
      <c r="F491" s="1" t="s">
        <v>3479</v>
      </c>
      <c r="G491" s="7" t="s">
        <v>3480</v>
      </c>
      <c r="K491" s="1" t="s">
        <v>2506</v>
      </c>
      <c r="L491" s="39" t="s">
        <v>2087</v>
      </c>
    </row>
    <row r="492" spans="1:12" ht="54" customHeight="1">
      <c r="A492" s="1">
        <v>405</v>
      </c>
      <c r="B492" s="1" t="s">
        <v>3481</v>
      </c>
      <c r="C492" s="1" t="s">
        <v>3482</v>
      </c>
      <c r="D492" s="1" t="s">
        <v>2784</v>
      </c>
      <c r="E492" s="1" t="s">
        <v>2254</v>
      </c>
      <c r="F492" s="1" t="s">
        <v>3483</v>
      </c>
      <c r="G492" s="6" t="s">
        <v>3484</v>
      </c>
      <c r="K492" s="1" t="s">
        <v>2137</v>
      </c>
      <c r="L492" s="39" t="s">
        <v>2767</v>
      </c>
    </row>
    <row r="493" spans="1:12" ht="54" customHeight="1">
      <c r="A493" s="1">
        <v>527</v>
      </c>
      <c r="B493" s="1" t="s">
        <v>3485</v>
      </c>
      <c r="C493" s="1" t="s">
        <v>3486</v>
      </c>
      <c r="D493" s="1" t="s">
        <v>2784</v>
      </c>
      <c r="E493" s="1" t="s">
        <v>2254</v>
      </c>
      <c r="F493" s="1" t="s">
        <v>3487</v>
      </c>
      <c r="G493" s="6"/>
      <c r="K493" s="1" t="s">
        <v>2087</v>
      </c>
      <c r="L493" s="39" t="s">
        <v>2506</v>
      </c>
    </row>
    <row r="494" spans="1:12" ht="54" customHeight="1">
      <c r="A494" s="1">
        <v>39457</v>
      </c>
      <c r="B494" s="1" t="s">
        <v>3488</v>
      </c>
      <c r="C494" s="1" t="s">
        <v>3489</v>
      </c>
      <c r="D494" s="1" t="s">
        <v>2784</v>
      </c>
      <c r="E494" s="1" t="s">
        <v>3490</v>
      </c>
      <c r="F494" s="1" t="s">
        <v>3491</v>
      </c>
      <c r="G494" s="7" t="s">
        <v>3492</v>
      </c>
      <c r="J494" s="1" t="s">
        <v>3493</v>
      </c>
      <c r="K494" s="1" t="s">
        <v>2137</v>
      </c>
      <c r="L494" s="39" t="s">
        <v>2506</v>
      </c>
    </row>
    <row r="495" spans="1:12" ht="54" customHeight="1">
      <c r="A495" s="1">
        <v>535</v>
      </c>
      <c r="B495" s="1" t="s">
        <v>3494</v>
      </c>
      <c r="C495" s="1" t="s">
        <v>3495</v>
      </c>
      <c r="D495" s="1" t="s">
        <v>2784</v>
      </c>
      <c r="E495" s="1" t="s">
        <v>2560</v>
      </c>
      <c r="F495" s="1" t="s">
        <v>3496</v>
      </c>
      <c r="G495" s="6"/>
      <c r="J495" s="1" t="s">
        <v>2708</v>
      </c>
      <c r="K495" s="1" t="s">
        <v>2137</v>
      </c>
      <c r="L495" s="39" t="s">
        <v>2506</v>
      </c>
    </row>
    <row r="496" spans="1:12" ht="54" customHeight="1">
      <c r="A496" s="1">
        <v>38</v>
      </c>
      <c r="B496" s="1" t="s">
        <v>3497</v>
      </c>
      <c r="C496" s="1" t="s">
        <v>3498</v>
      </c>
      <c r="D496" s="1" t="s">
        <v>2784</v>
      </c>
      <c r="E496" s="1" t="s">
        <v>2266</v>
      </c>
      <c r="F496" s="1" t="s">
        <v>3499</v>
      </c>
      <c r="G496" s="7" t="s">
        <v>3500</v>
      </c>
      <c r="H496" s="14" t="s">
        <v>3500</v>
      </c>
      <c r="I496" s="25"/>
      <c r="K496" s="1" t="s">
        <v>2087</v>
      </c>
      <c r="L496" s="39" t="s">
        <v>2506</v>
      </c>
    </row>
    <row r="497" spans="1:12" ht="54" customHeight="1">
      <c r="A497" s="1">
        <v>95</v>
      </c>
      <c r="B497" s="1" t="s">
        <v>3501</v>
      </c>
      <c r="C497" s="1" t="s">
        <v>3502</v>
      </c>
      <c r="D497" s="1" t="s">
        <v>2784</v>
      </c>
      <c r="E497" s="1" t="s">
        <v>2266</v>
      </c>
      <c r="F497" s="1" t="s">
        <v>3503</v>
      </c>
      <c r="G497" s="7" t="s">
        <v>2153</v>
      </c>
      <c r="H497" s="22" t="s">
        <v>2153</v>
      </c>
      <c r="I497" s="22"/>
      <c r="K497" s="1" t="s">
        <v>2087</v>
      </c>
      <c r="L497" s="39" t="s">
        <v>2506</v>
      </c>
    </row>
    <row r="498" spans="1:12" ht="54" customHeight="1">
      <c r="A498" s="1">
        <v>193</v>
      </c>
      <c r="B498" s="1" t="s">
        <v>3504</v>
      </c>
      <c r="C498" s="1" t="s">
        <v>3505</v>
      </c>
      <c r="D498" s="1" t="s">
        <v>2784</v>
      </c>
      <c r="E498" s="1" t="s">
        <v>2266</v>
      </c>
      <c r="F498" s="1" t="s">
        <v>3506</v>
      </c>
      <c r="G498" s="7" t="s">
        <v>15</v>
      </c>
      <c r="K498" s="1" t="s">
        <v>2087</v>
      </c>
      <c r="L498" s="39" t="s">
        <v>2506</v>
      </c>
    </row>
    <row r="499" spans="1:12" ht="54" customHeight="1">
      <c r="A499" s="1">
        <v>243</v>
      </c>
      <c r="B499" s="1" t="s">
        <v>3507</v>
      </c>
      <c r="C499" s="1" t="s">
        <v>3508</v>
      </c>
      <c r="D499" s="1" t="s">
        <v>2784</v>
      </c>
      <c r="E499" s="1" t="s">
        <v>2266</v>
      </c>
      <c r="F499" s="1" t="s">
        <v>3509</v>
      </c>
      <c r="G499" s="6"/>
      <c r="K499" s="1" t="s">
        <v>2087</v>
      </c>
      <c r="L499" s="39" t="s">
        <v>2506</v>
      </c>
    </row>
    <row r="500" spans="1:12" ht="54" customHeight="1">
      <c r="A500" s="1">
        <v>291</v>
      </c>
      <c r="B500" s="1" t="s">
        <v>3510</v>
      </c>
      <c r="C500" s="1" t="s">
        <v>3511</v>
      </c>
      <c r="D500" s="1" t="s">
        <v>2784</v>
      </c>
      <c r="E500" s="1" t="s">
        <v>2266</v>
      </c>
      <c r="F500" s="1" t="s">
        <v>3512</v>
      </c>
      <c r="G500" s="7" t="s">
        <v>74</v>
      </c>
      <c r="H500" s="14" t="s">
        <v>74</v>
      </c>
      <c r="I500" s="25" t="s">
        <v>20</v>
      </c>
      <c r="K500" s="1" t="s">
        <v>2087</v>
      </c>
      <c r="L500" s="39" t="s">
        <v>3513</v>
      </c>
    </row>
    <row r="501" spans="1:12" ht="54" customHeight="1">
      <c r="A501" s="1">
        <v>292</v>
      </c>
      <c r="B501" s="1" t="s">
        <v>3514</v>
      </c>
      <c r="C501" s="1" t="s">
        <v>3515</v>
      </c>
      <c r="D501" s="1" t="s">
        <v>2784</v>
      </c>
      <c r="E501" s="1" t="s">
        <v>2266</v>
      </c>
      <c r="F501" s="1" t="s">
        <v>3516</v>
      </c>
      <c r="G501" s="7" t="s">
        <v>2153</v>
      </c>
      <c r="J501" s="9" t="s">
        <v>3517</v>
      </c>
      <c r="K501" s="1" t="s">
        <v>2087</v>
      </c>
      <c r="L501" s="39" t="s">
        <v>2506</v>
      </c>
    </row>
    <row r="502" spans="1:12" ht="54" customHeight="1">
      <c r="A502" s="1">
        <v>362</v>
      </c>
      <c r="B502" s="1" t="s">
        <v>3518</v>
      </c>
      <c r="C502" s="1" t="s">
        <v>3519</v>
      </c>
      <c r="D502" s="1" t="s">
        <v>2784</v>
      </c>
      <c r="E502" s="1" t="s">
        <v>2266</v>
      </c>
      <c r="F502" s="1" t="s">
        <v>3520</v>
      </c>
      <c r="G502" s="7" t="s">
        <v>3521</v>
      </c>
      <c r="H502" s="14" t="s">
        <v>3521</v>
      </c>
      <c r="I502" s="25"/>
      <c r="K502" s="1" t="s">
        <v>2087</v>
      </c>
      <c r="L502" s="39" t="s">
        <v>2506</v>
      </c>
    </row>
    <row r="503" spans="1:12" ht="54" customHeight="1">
      <c r="A503" s="1">
        <v>422</v>
      </c>
      <c r="B503" s="1" t="s">
        <v>3522</v>
      </c>
      <c r="C503" s="1" t="s">
        <v>3523</v>
      </c>
      <c r="D503" s="1" t="s">
        <v>2784</v>
      </c>
      <c r="E503" s="1" t="s">
        <v>2266</v>
      </c>
      <c r="F503" s="1" t="s">
        <v>3524</v>
      </c>
      <c r="G503" s="7" t="s">
        <v>3525</v>
      </c>
      <c r="K503" s="1" t="s">
        <v>2087</v>
      </c>
      <c r="L503" s="39" t="s">
        <v>2506</v>
      </c>
    </row>
    <row r="504" spans="1:12" ht="54" customHeight="1">
      <c r="A504" s="1">
        <v>430</v>
      </c>
      <c r="B504" s="1" t="s">
        <v>3526</v>
      </c>
      <c r="C504" s="1" t="s">
        <v>3527</v>
      </c>
      <c r="D504" s="1" t="s">
        <v>2784</v>
      </c>
      <c r="E504" s="1" t="s">
        <v>2266</v>
      </c>
      <c r="F504" s="1" t="s">
        <v>3528</v>
      </c>
      <c r="G504" s="7" t="s">
        <v>2153</v>
      </c>
      <c r="K504" s="1" t="s">
        <v>2087</v>
      </c>
      <c r="L504" s="39" t="s">
        <v>2506</v>
      </c>
    </row>
    <row r="505" spans="1:12" ht="54" customHeight="1">
      <c r="A505" s="1">
        <v>64523</v>
      </c>
      <c r="B505" s="1" t="s">
        <v>3529</v>
      </c>
      <c r="C505" s="1" t="s">
        <v>3530</v>
      </c>
      <c r="D505" s="1" t="s">
        <v>2784</v>
      </c>
      <c r="E505" s="1" t="s">
        <v>2266</v>
      </c>
      <c r="F505" s="1" t="s">
        <v>3531</v>
      </c>
      <c r="G505" s="7" t="s">
        <v>15</v>
      </c>
      <c r="K505" s="1" t="s">
        <v>2087</v>
      </c>
      <c r="L505" s="39" t="s">
        <v>2506</v>
      </c>
    </row>
    <row r="506" spans="1:12" ht="54" customHeight="1">
      <c r="A506" s="1">
        <v>469</v>
      </c>
      <c r="B506" s="1" t="s">
        <v>3532</v>
      </c>
      <c r="C506" s="1" t="s">
        <v>3533</v>
      </c>
      <c r="D506" s="1" t="s">
        <v>2784</v>
      </c>
      <c r="E506" s="1" t="s">
        <v>2266</v>
      </c>
      <c r="F506" s="1" t="s">
        <v>3534</v>
      </c>
      <c r="G506" s="6"/>
      <c r="K506" s="1" t="s">
        <v>2087</v>
      </c>
      <c r="L506" s="39" t="s">
        <v>2506</v>
      </c>
    </row>
    <row r="507" spans="1:12" ht="54" customHeight="1">
      <c r="A507" s="1">
        <v>39452</v>
      </c>
      <c r="B507" s="1" t="s">
        <v>3535</v>
      </c>
      <c r="C507" s="1" t="s">
        <v>3536</v>
      </c>
      <c r="D507" s="1" t="s">
        <v>2784</v>
      </c>
      <c r="E507" s="1" t="s">
        <v>1753</v>
      </c>
      <c r="F507" s="1" t="s">
        <v>3537</v>
      </c>
      <c r="G507" s="8" t="s">
        <v>3538</v>
      </c>
      <c r="H507" s="14" t="s">
        <v>3538</v>
      </c>
      <c r="I507" s="25"/>
      <c r="K507" s="1" t="s">
        <v>2505</v>
      </c>
      <c r="L507" s="39" t="s">
        <v>2506</v>
      </c>
    </row>
    <row r="508" spans="1:12" ht="54" customHeight="1">
      <c r="A508" s="1">
        <v>8</v>
      </c>
      <c r="B508" s="1" t="s">
        <v>3539</v>
      </c>
      <c r="C508" s="1" t="s">
        <v>3540</v>
      </c>
      <c r="D508" s="1" t="s">
        <v>2784</v>
      </c>
      <c r="E508" s="1" t="s">
        <v>1753</v>
      </c>
      <c r="F508" s="1" t="s">
        <v>3541</v>
      </c>
      <c r="G508" s="7" t="s">
        <v>87</v>
      </c>
      <c r="H508" s="14" t="s">
        <v>87</v>
      </c>
      <c r="I508" s="25"/>
      <c r="K508" s="1" t="s">
        <v>2505</v>
      </c>
      <c r="L508" s="39" t="s">
        <v>2506</v>
      </c>
    </row>
    <row r="509" spans="1:12" ht="54" customHeight="1">
      <c r="A509" s="1">
        <v>15</v>
      </c>
      <c r="B509" s="1" t="s">
        <v>3542</v>
      </c>
      <c r="C509" s="1" t="s">
        <v>3543</v>
      </c>
      <c r="D509" s="1" t="s">
        <v>2784</v>
      </c>
      <c r="E509" s="1" t="s">
        <v>1753</v>
      </c>
      <c r="F509" s="1" t="s">
        <v>3544</v>
      </c>
      <c r="G509" s="6"/>
      <c r="H509" s="22" t="s">
        <v>3545</v>
      </c>
      <c r="K509" s="1" t="s">
        <v>2505</v>
      </c>
      <c r="L509" s="39" t="s">
        <v>2506</v>
      </c>
    </row>
    <row r="510" spans="1:12" ht="54" customHeight="1">
      <c r="A510" s="1">
        <v>62208</v>
      </c>
      <c r="B510" s="1" t="s">
        <v>3546</v>
      </c>
      <c r="C510" s="1" t="s">
        <v>3547</v>
      </c>
      <c r="D510" s="1" t="s">
        <v>2784</v>
      </c>
      <c r="E510" s="1" t="s">
        <v>1753</v>
      </c>
      <c r="F510" s="1" t="s">
        <v>3548</v>
      </c>
      <c r="G510" s="7" t="s">
        <v>3549</v>
      </c>
      <c r="H510" s="14" t="s">
        <v>3549</v>
      </c>
      <c r="I510" s="14"/>
      <c r="J510" s="1" t="s">
        <v>3550</v>
      </c>
      <c r="K510" s="1" t="s">
        <v>2505</v>
      </c>
      <c r="L510" s="39" t="s">
        <v>2506</v>
      </c>
    </row>
    <row r="511" spans="1:12" ht="54" customHeight="1">
      <c r="A511" s="1">
        <v>63060</v>
      </c>
      <c r="B511" s="1" t="s">
        <v>3551</v>
      </c>
      <c r="C511" s="1" t="s">
        <v>3552</v>
      </c>
      <c r="D511" s="1" t="s">
        <v>2784</v>
      </c>
      <c r="E511" s="1" t="s">
        <v>1753</v>
      </c>
      <c r="F511" s="1" t="s">
        <v>3553</v>
      </c>
      <c r="G511" s="7" t="s">
        <v>3554</v>
      </c>
      <c r="H511" s="22" t="s">
        <v>3554</v>
      </c>
      <c r="I511" s="22"/>
      <c r="J511" s="1" t="s">
        <v>3555</v>
      </c>
      <c r="K511" s="1" t="s">
        <v>2506</v>
      </c>
      <c r="L511" s="39" t="s">
        <v>2087</v>
      </c>
    </row>
    <row r="512" spans="1:12" ht="54" customHeight="1">
      <c r="A512" s="1">
        <v>62206</v>
      </c>
      <c r="B512" s="1" t="s">
        <v>3556</v>
      </c>
      <c r="C512" s="1" t="s">
        <v>3557</v>
      </c>
      <c r="D512" s="1" t="s">
        <v>2784</v>
      </c>
      <c r="E512" s="1" t="s">
        <v>1753</v>
      </c>
      <c r="F512" s="1" t="s">
        <v>3558</v>
      </c>
      <c r="G512" s="7" t="s">
        <v>97</v>
      </c>
      <c r="H512" s="22"/>
      <c r="I512" s="22"/>
      <c r="J512" s="1" t="s">
        <v>3559</v>
      </c>
      <c r="K512" s="1" t="s">
        <v>2506</v>
      </c>
      <c r="L512" s="39" t="s">
        <v>2087</v>
      </c>
    </row>
    <row r="513" spans="1:12" ht="54" customHeight="1">
      <c r="A513" s="1">
        <v>65</v>
      </c>
      <c r="B513" s="1" t="s">
        <v>3560</v>
      </c>
      <c r="C513" s="1" t="s">
        <v>3561</v>
      </c>
      <c r="D513" s="1" t="s">
        <v>2784</v>
      </c>
      <c r="E513" s="1" t="s">
        <v>1753</v>
      </c>
      <c r="F513" s="1" t="s">
        <v>3562</v>
      </c>
      <c r="G513" s="30" t="s">
        <v>3563</v>
      </c>
      <c r="H513" s="7" t="s">
        <v>3563</v>
      </c>
      <c r="K513" s="1" t="s">
        <v>2506</v>
      </c>
      <c r="L513" s="39" t="s">
        <v>2087</v>
      </c>
    </row>
    <row r="514" spans="1:12" ht="54" customHeight="1">
      <c r="A514" s="1">
        <v>62263</v>
      </c>
      <c r="B514" s="1" t="s">
        <v>3564</v>
      </c>
      <c r="C514" s="1" t="s">
        <v>3565</v>
      </c>
      <c r="D514" s="1" t="s">
        <v>2784</v>
      </c>
      <c r="E514" s="1" t="s">
        <v>1753</v>
      </c>
      <c r="F514" s="1" t="s">
        <v>3566</v>
      </c>
      <c r="G514" s="7" t="s">
        <v>3567</v>
      </c>
      <c r="H514" s="22" t="s">
        <v>3567</v>
      </c>
      <c r="I514" s="22"/>
      <c r="J514" s="1" t="s">
        <v>1703</v>
      </c>
      <c r="K514" s="1" t="s">
        <v>2506</v>
      </c>
      <c r="L514" s="39" t="s">
        <v>2087</v>
      </c>
    </row>
    <row r="515" spans="1:12" ht="54" customHeight="1">
      <c r="A515" s="1">
        <v>62228</v>
      </c>
      <c r="B515" s="1" t="s">
        <v>3568</v>
      </c>
      <c r="C515" s="1" t="s">
        <v>3569</v>
      </c>
      <c r="D515" s="1" t="s">
        <v>2784</v>
      </c>
      <c r="E515" s="1" t="s">
        <v>1753</v>
      </c>
      <c r="F515" s="1" t="s">
        <v>3570</v>
      </c>
      <c r="G515" s="7" t="s">
        <v>3571</v>
      </c>
      <c r="H515" s="14" t="s">
        <v>3571</v>
      </c>
      <c r="K515" s="1" t="s">
        <v>2506</v>
      </c>
      <c r="L515" s="39" t="s">
        <v>2087</v>
      </c>
    </row>
    <row r="516" spans="1:12" ht="54" customHeight="1">
      <c r="A516" s="1">
        <v>62223</v>
      </c>
      <c r="B516" s="1" t="s">
        <v>3572</v>
      </c>
      <c r="C516" s="1" t="s">
        <v>3573</v>
      </c>
      <c r="D516" s="1" t="s">
        <v>2784</v>
      </c>
      <c r="E516" s="1" t="s">
        <v>1753</v>
      </c>
      <c r="F516" s="1" t="s">
        <v>3574</v>
      </c>
      <c r="G516" s="7" t="s">
        <v>3575</v>
      </c>
      <c r="H516" s="22" t="s">
        <v>3575</v>
      </c>
      <c r="I516" s="22"/>
      <c r="K516" s="1" t="s">
        <v>2506</v>
      </c>
      <c r="L516" s="39" t="s">
        <v>2087</v>
      </c>
    </row>
    <row r="517" spans="1:12" ht="54" customHeight="1">
      <c r="A517" s="1">
        <v>89</v>
      </c>
      <c r="B517" s="1" t="s">
        <v>3576</v>
      </c>
      <c r="C517" s="1" t="s">
        <v>3577</v>
      </c>
      <c r="D517" s="1" t="s">
        <v>2784</v>
      </c>
      <c r="E517" s="1" t="s">
        <v>1753</v>
      </c>
      <c r="F517" s="1" t="s">
        <v>3578</v>
      </c>
      <c r="G517" s="6"/>
      <c r="J517" s="1" t="s">
        <v>2708</v>
      </c>
      <c r="K517" s="1" t="s">
        <v>2506</v>
      </c>
      <c r="L517" s="39" t="s">
        <v>2087</v>
      </c>
    </row>
    <row r="518" spans="1:12" ht="54" customHeight="1">
      <c r="A518" s="1">
        <v>92</v>
      </c>
      <c r="B518" s="1" t="s">
        <v>3579</v>
      </c>
      <c r="C518" s="1" t="s">
        <v>3580</v>
      </c>
      <c r="D518" s="1" t="s">
        <v>2784</v>
      </c>
      <c r="E518" s="1" t="s">
        <v>1753</v>
      </c>
      <c r="F518" s="1" t="s">
        <v>3581</v>
      </c>
      <c r="G518" s="53" t="s">
        <v>2632</v>
      </c>
      <c r="H518" s="53" t="s">
        <v>2632</v>
      </c>
      <c r="J518" s="54" t="s">
        <v>3582</v>
      </c>
      <c r="K518" s="1" t="s">
        <v>2506</v>
      </c>
      <c r="L518" s="39" t="s">
        <v>2087</v>
      </c>
    </row>
    <row r="519" spans="1:12" ht="54" customHeight="1">
      <c r="A519" s="1">
        <v>62216</v>
      </c>
      <c r="B519" s="1" t="s">
        <v>3583</v>
      </c>
      <c r="C519" s="1" t="s">
        <v>3584</v>
      </c>
      <c r="D519" s="1" t="s">
        <v>2784</v>
      </c>
      <c r="E519" s="1" t="s">
        <v>1753</v>
      </c>
      <c r="F519" s="1" t="s">
        <v>3585</v>
      </c>
      <c r="G519" s="7" t="s">
        <v>3586</v>
      </c>
      <c r="H519" s="22" t="s">
        <v>3586</v>
      </c>
      <c r="J519" s="1" t="s">
        <v>3587</v>
      </c>
      <c r="K519" s="1" t="s">
        <v>2506</v>
      </c>
      <c r="L519" s="39" t="s">
        <v>2087</v>
      </c>
    </row>
    <row r="520" spans="1:12" ht="54" customHeight="1">
      <c r="A520" s="1">
        <v>105</v>
      </c>
      <c r="B520" s="1" t="s">
        <v>3588</v>
      </c>
      <c r="C520" s="1" t="s">
        <v>3589</v>
      </c>
      <c r="D520" s="1" t="s">
        <v>2784</v>
      </c>
      <c r="E520" s="1" t="s">
        <v>1753</v>
      </c>
      <c r="F520" s="1" t="s">
        <v>3590</v>
      </c>
      <c r="G520" s="7" t="s">
        <v>3591</v>
      </c>
      <c r="H520" s="22" t="s">
        <v>3591</v>
      </c>
      <c r="K520" s="1" t="s">
        <v>2506</v>
      </c>
      <c r="L520" s="39" t="s">
        <v>2087</v>
      </c>
    </row>
    <row r="521" spans="1:12" ht="54" customHeight="1">
      <c r="A521" s="1">
        <v>63092</v>
      </c>
      <c r="B521" s="1" t="s">
        <v>3592</v>
      </c>
      <c r="C521" s="1" t="s">
        <v>3593</v>
      </c>
      <c r="D521" s="1" t="s">
        <v>2784</v>
      </c>
      <c r="E521" s="1" t="s">
        <v>1753</v>
      </c>
      <c r="F521" s="1" t="s">
        <v>3594</v>
      </c>
      <c r="G521" s="7" t="s">
        <v>3567</v>
      </c>
      <c r="H521" s="14" t="s">
        <v>3567</v>
      </c>
      <c r="I521" s="10"/>
      <c r="K521" s="1" t="s">
        <v>2506</v>
      </c>
      <c r="L521" s="39" t="s">
        <v>2087</v>
      </c>
    </row>
    <row r="522" spans="1:12" ht="54" customHeight="1">
      <c r="A522" s="1">
        <v>138</v>
      </c>
      <c r="B522" s="1" t="s">
        <v>3595</v>
      </c>
      <c r="C522" s="1" t="s">
        <v>3596</v>
      </c>
      <c r="D522" s="1" t="s">
        <v>2784</v>
      </c>
      <c r="E522" s="1" t="s">
        <v>1753</v>
      </c>
      <c r="F522" s="1" t="s">
        <v>3597</v>
      </c>
      <c r="G522" s="7" t="s">
        <v>3598</v>
      </c>
      <c r="H522" s="14" t="s">
        <v>3598</v>
      </c>
      <c r="I522" s="10"/>
      <c r="K522" s="1" t="s">
        <v>2137</v>
      </c>
      <c r="L522" s="39" t="s">
        <v>2506</v>
      </c>
    </row>
    <row r="523" spans="1:12" ht="54" customHeight="1">
      <c r="A523" s="1">
        <v>62214</v>
      </c>
      <c r="B523" s="1" t="s">
        <v>3599</v>
      </c>
      <c r="C523" s="1" t="s">
        <v>3600</v>
      </c>
      <c r="D523" s="1" t="s">
        <v>2784</v>
      </c>
      <c r="E523" s="1" t="s">
        <v>1753</v>
      </c>
      <c r="F523" s="1" t="s">
        <v>3601</v>
      </c>
      <c r="G523" s="7" t="s">
        <v>84</v>
      </c>
      <c r="H523" s="10" t="s">
        <v>3602</v>
      </c>
      <c r="J523" s="1" t="s">
        <v>3603</v>
      </c>
      <c r="K523" s="1" t="s">
        <v>2137</v>
      </c>
      <c r="L523" s="39" t="s">
        <v>2506</v>
      </c>
    </row>
    <row r="524" spans="1:12" ht="54" customHeight="1">
      <c r="A524" s="1">
        <v>62215</v>
      </c>
      <c r="B524" s="1" t="s">
        <v>3604</v>
      </c>
      <c r="C524" s="1" t="s">
        <v>3605</v>
      </c>
      <c r="D524" s="1" t="s">
        <v>2784</v>
      </c>
      <c r="E524" s="1" t="s">
        <v>1753</v>
      </c>
      <c r="F524" s="1" t="s">
        <v>3606</v>
      </c>
      <c r="G524" s="7" t="s">
        <v>97</v>
      </c>
      <c r="H524" s="14" t="s">
        <v>97</v>
      </c>
      <c r="I524" s="10"/>
      <c r="J524" s="1" t="s">
        <v>3607</v>
      </c>
      <c r="K524" s="1" t="s">
        <v>2137</v>
      </c>
      <c r="L524" s="39" t="s">
        <v>2506</v>
      </c>
    </row>
    <row r="525" spans="1:12" ht="54" customHeight="1">
      <c r="A525" s="1">
        <v>153</v>
      </c>
      <c r="B525" s="1" t="s">
        <v>1543</v>
      </c>
      <c r="C525" s="1" t="s">
        <v>3608</v>
      </c>
      <c r="D525" s="1" t="s">
        <v>2784</v>
      </c>
      <c r="E525" s="1" t="s">
        <v>1753</v>
      </c>
      <c r="F525" s="1" t="s">
        <v>3609</v>
      </c>
      <c r="G525" s="8" t="s">
        <v>102</v>
      </c>
      <c r="H525" s="10" t="s">
        <v>102</v>
      </c>
      <c r="I525" s="6"/>
      <c r="K525" s="1" t="s">
        <v>2137</v>
      </c>
      <c r="L525" s="39" t="s">
        <v>2506</v>
      </c>
    </row>
    <row r="526" spans="1:12" ht="54" customHeight="1">
      <c r="A526" s="1">
        <v>160</v>
      </c>
      <c r="B526" s="1" t="s">
        <v>3610</v>
      </c>
      <c r="C526" s="1" t="s">
        <v>3611</v>
      </c>
      <c r="D526" s="1" t="s">
        <v>2784</v>
      </c>
      <c r="E526" s="1" t="s">
        <v>1753</v>
      </c>
      <c r="F526" s="1" t="s">
        <v>3612</v>
      </c>
      <c r="G526" s="7" t="s">
        <v>87</v>
      </c>
      <c r="H526" s="10" t="s">
        <v>87</v>
      </c>
      <c r="K526" s="1" t="s">
        <v>2087</v>
      </c>
      <c r="L526" s="39" t="s">
        <v>2506</v>
      </c>
    </row>
    <row r="527" spans="1:12" ht="54" customHeight="1">
      <c r="A527" s="1">
        <v>62229</v>
      </c>
      <c r="B527" s="1" t="s">
        <v>3613</v>
      </c>
      <c r="C527" s="1" t="s">
        <v>3614</v>
      </c>
      <c r="D527" s="1" t="s">
        <v>2784</v>
      </c>
      <c r="E527" s="1" t="s">
        <v>1753</v>
      </c>
      <c r="F527" s="1" t="s">
        <v>3615</v>
      </c>
      <c r="G527" s="7" t="s">
        <v>97</v>
      </c>
      <c r="J527" s="1" t="s">
        <v>3616</v>
      </c>
      <c r="K527" s="1" t="s">
        <v>2087</v>
      </c>
      <c r="L527" s="39" t="s">
        <v>2506</v>
      </c>
    </row>
    <row r="528" spans="1:12" ht="54" customHeight="1">
      <c r="A528" s="1">
        <v>62217</v>
      </c>
      <c r="B528" s="1" t="s">
        <v>3617</v>
      </c>
      <c r="C528" s="1" t="s">
        <v>3618</v>
      </c>
      <c r="D528" s="1" t="s">
        <v>2784</v>
      </c>
      <c r="E528" s="1" t="s">
        <v>1753</v>
      </c>
      <c r="F528" s="1" t="s">
        <v>3619</v>
      </c>
      <c r="G528" s="7" t="s">
        <v>3602</v>
      </c>
      <c r="J528" s="1" t="s">
        <v>3620</v>
      </c>
      <c r="K528" s="1" t="s">
        <v>2506</v>
      </c>
      <c r="L528" s="39" t="s">
        <v>2087</v>
      </c>
    </row>
    <row r="529" spans="1:12" ht="54" customHeight="1">
      <c r="A529" s="1">
        <v>62221</v>
      </c>
      <c r="B529" s="1" t="s">
        <v>3621</v>
      </c>
      <c r="C529" s="1" t="s">
        <v>3622</v>
      </c>
      <c r="D529" s="1" t="s">
        <v>2784</v>
      </c>
      <c r="E529" s="1" t="s">
        <v>1753</v>
      </c>
      <c r="F529" s="1" t="s">
        <v>3623</v>
      </c>
      <c r="G529" s="7" t="s">
        <v>1530</v>
      </c>
      <c r="J529" s="1" t="s">
        <v>3624</v>
      </c>
      <c r="K529" s="1" t="s">
        <v>2506</v>
      </c>
      <c r="L529" s="39" t="s">
        <v>2087</v>
      </c>
    </row>
    <row r="530" spans="1:12" ht="54" customHeight="1">
      <c r="A530" s="1">
        <v>198</v>
      </c>
      <c r="B530" s="1" t="s">
        <v>3625</v>
      </c>
      <c r="C530" s="1" t="s">
        <v>3626</v>
      </c>
      <c r="D530" s="1" t="s">
        <v>2784</v>
      </c>
      <c r="E530" s="1" t="s">
        <v>1753</v>
      </c>
      <c r="F530" s="1" t="s">
        <v>3627</v>
      </c>
      <c r="G530" s="7" t="s">
        <v>84</v>
      </c>
      <c r="J530" s="1" t="s">
        <v>3628</v>
      </c>
      <c r="K530" s="1" t="s">
        <v>2506</v>
      </c>
      <c r="L530" s="39" t="s">
        <v>2087</v>
      </c>
    </row>
    <row r="531" spans="1:12" ht="54" customHeight="1">
      <c r="A531" s="1">
        <v>62213</v>
      </c>
      <c r="B531" s="1" t="s">
        <v>3629</v>
      </c>
      <c r="C531" s="1" t="s">
        <v>3630</v>
      </c>
      <c r="D531" s="1" t="s">
        <v>2784</v>
      </c>
      <c r="E531" s="1" t="s">
        <v>1753</v>
      </c>
      <c r="F531" s="1" t="s">
        <v>3631</v>
      </c>
      <c r="G531" s="7" t="s">
        <v>3632</v>
      </c>
      <c r="H531" s="22" t="s">
        <v>3632</v>
      </c>
      <c r="J531" s="1" t="s">
        <v>3587</v>
      </c>
      <c r="K531" s="1" t="s">
        <v>2137</v>
      </c>
      <c r="L531" s="39" t="s">
        <v>2506</v>
      </c>
    </row>
    <row r="532" spans="1:12" ht="54" customHeight="1">
      <c r="A532" s="1">
        <v>251</v>
      </c>
      <c r="B532" s="1" t="s">
        <v>3633</v>
      </c>
      <c r="C532" s="1" t="s">
        <v>3634</v>
      </c>
      <c r="D532" s="1" t="s">
        <v>2784</v>
      </c>
      <c r="E532" s="1" t="s">
        <v>1753</v>
      </c>
      <c r="F532" s="1" t="s">
        <v>3635</v>
      </c>
      <c r="G532" s="7" t="s">
        <v>87</v>
      </c>
      <c r="H532" s="10" t="s">
        <v>87</v>
      </c>
      <c r="K532" s="1" t="s">
        <v>2087</v>
      </c>
      <c r="L532" s="39" t="s">
        <v>2506</v>
      </c>
    </row>
    <row r="533" spans="1:12" ht="54" customHeight="1">
      <c r="A533" s="1">
        <v>255</v>
      </c>
      <c r="B533" s="1" t="s">
        <v>3636</v>
      </c>
      <c r="C533" s="1" t="s">
        <v>3637</v>
      </c>
      <c r="D533" s="1" t="s">
        <v>2784</v>
      </c>
      <c r="E533" s="1" t="s">
        <v>1753</v>
      </c>
      <c r="F533" s="1" t="s">
        <v>3638</v>
      </c>
      <c r="G533" s="7" t="s">
        <v>3639</v>
      </c>
      <c r="H533" s="22" t="s">
        <v>3639</v>
      </c>
      <c r="J533" s="1" t="s">
        <v>3640</v>
      </c>
      <c r="K533" s="1" t="s">
        <v>2087</v>
      </c>
      <c r="L533" s="39" t="s">
        <v>2506</v>
      </c>
    </row>
    <row r="534" spans="1:12" ht="54" customHeight="1">
      <c r="A534" s="1">
        <v>62220</v>
      </c>
      <c r="B534" s="1" t="s">
        <v>3641</v>
      </c>
      <c r="C534" s="1" t="s">
        <v>3642</v>
      </c>
      <c r="D534" s="1" t="s">
        <v>2784</v>
      </c>
      <c r="E534" s="1" t="s">
        <v>1753</v>
      </c>
      <c r="F534" s="1" t="s">
        <v>3643</v>
      </c>
      <c r="G534" s="7" t="s">
        <v>3644</v>
      </c>
      <c r="H534" s="22" t="s">
        <v>2297</v>
      </c>
      <c r="K534" s="1" t="s">
        <v>2087</v>
      </c>
      <c r="L534" s="39" t="s">
        <v>2506</v>
      </c>
    </row>
    <row r="535" spans="1:12" ht="54" customHeight="1">
      <c r="A535" s="1">
        <v>62211</v>
      </c>
      <c r="B535" s="1" t="s">
        <v>3645</v>
      </c>
      <c r="C535" s="1" t="s">
        <v>3646</v>
      </c>
      <c r="D535" s="1" t="s">
        <v>2784</v>
      </c>
      <c r="E535" s="1" t="s">
        <v>1753</v>
      </c>
      <c r="F535" s="1" t="s">
        <v>3647</v>
      </c>
      <c r="G535" s="7" t="s">
        <v>3648</v>
      </c>
      <c r="J535" s="1" t="s">
        <v>3649</v>
      </c>
      <c r="K535" s="1" t="s">
        <v>2087</v>
      </c>
      <c r="L535" s="39" t="s">
        <v>2506</v>
      </c>
    </row>
    <row r="536" spans="1:12" ht="54" customHeight="1">
      <c r="A536" s="1">
        <v>62226</v>
      </c>
      <c r="B536" s="1" t="s">
        <v>3650</v>
      </c>
      <c r="C536" s="1" t="s">
        <v>3651</v>
      </c>
      <c r="D536" s="1" t="s">
        <v>2784</v>
      </c>
      <c r="E536" s="1" t="s">
        <v>1753</v>
      </c>
      <c r="F536" s="1" t="s">
        <v>3652</v>
      </c>
      <c r="G536" s="6" t="s">
        <v>3653</v>
      </c>
      <c r="J536" s="1" t="s">
        <v>2708</v>
      </c>
      <c r="K536" s="1" t="s">
        <v>2087</v>
      </c>
      <c r="L536" s="39" t="s">
        <v>2506</v>
      </c>
    </row>
    <row r="537" spans="1:12" ht="54" customHeight="1">
      <c r="A537" s="1">
        <v>63080</v>
      </c>
      <c r="B537" s="1" t="s">
        <v>3654</v>
      </c>
      <c r="C537" s="1" t="s">
        <v>3655</v>
      </c>
      <c r="D537" s="1" t="s">
        <v>2784</v>
      </c>
      <c r="E537" s="1" t="s">
        <v>1753</v>
      </c>
      <c r="F537" s="1" t="s">
        <v>3656</v>
      </c>
      <c r="G537" s="6" t="s">
        <v>3328</v>
      </c>
      <c r="K537" s="1" t="s">
        <v>2087</v>
      </c>
      <c r="L537" s="39" t="s">
        <v>2506</v>
      </c>
    </row>
    <row r="538" spans="1:12" ht="54" customHeight="1">
      <c r="A538" s="1">
        <v>284</v>
      </c>
      <c r="B538" s="1" t="s">
        <v>3657</v>
      </c>
      <c r="C538" s="1" t="s">
        <v>3658</v>
      </c>
      <c r="D538" s="1" t="s">
        <v>2784</v>
      </c>
      <c r="E538" s="1" t="s">
        <v>1753</v>
      </c>
      <c r="F538" s="1" t="s">
        <v>3659</v>
      </c>
      <c r="G538" s="6" t="s">
        <v>3328</v>
      </c>
      <c r="K538" s="1" t="s">
        <v>2087</v>
      </c>
      <c r="L538" s="39" t="s">
        <v>2506</v>
      </c>
    </row>
    <row r="539" spans="1:12" ht="54" customHeight="1">
      <c r="A539" s="1">
        <v>323</v>
      </c>
      <c r="B539" s="1" t="s">
        <v>3660</v>
      </c>
      <c r="C539" s="1" t="s">
        <v>3661</v>
      </c>
      <c r="D539" s="1" t="s">
        <v>2784</v>
      </c>
      <c r="E539" s="1" t="s">
        <v>1753</v>
      </c>
      <c r="F539" s="1" t="s">
        <v>3662</v>
      </c>
      <c r="G539" s="7" t="s">
        <v>3663</v>
      </c>
      <c r="K539" s="1" t="s">
        <v>2087</v>
      </c>
      <c r="L539" s="39" t="s">
        <v>2506</v>
      </c>
    </row>
    <row r="540" spans="1:12" ht="54" customHeight="1">
      <c r="A540" s="1">
        <v>62205</v>
      </c>
      <c r="B540" s="1" t="s">
        <v>3664</v>
      </c>
      <c r="C540" s="1" t="s">
        <v>3665</v>
      </c>
      <c r="D540" s="1" t="s">
        <v>2784</v>
      </c>
      <c r="E540" s="1" t="s">
        <v>1753</v>
      </c>
      <c r="F540" s="1" t="s">
        <v>3666</v>
      </c>
      <c r="G540" s="7" t="s">
        <v>3667</v>
      </c>
      <c r="K540" s="1" t="s">
        <v>2087</v>
      </c>
      <c r="L540" s="39" t="s">
        <v>2506</v>
      </c>
    </row>
    <row r="541" spans="1:12" ht="54" customHeight="1">
      <c r="A541" s="1">
        <v>62225</v>
      </c>
      <c r="B541" s="1" t="s">
        <v>3668</v>
      </c>
      <c r="C541" s="1" t="s">
        <v>3669</v>
      </c>
      <c r="D541" s="1" t="s">
        <v>2784</v>
      </c>
      <c r="E541" s="1" t="s">
        <v>1753</v>
      </c>
      <c r="F541" s="1" t="s">
        <v>3670</v>
      </c>
      <c r="G541" s="6" t="s">
        <v>3671</v>
      </c>
      <c r="J541" s="1" t="s">
        <v>2708</v>
      </c>
      <c r="K541" s="1" t="s">
        <v>2087</v>
      </c>
      <c r="L541" s="39" t="s">
        <v>2506</v>
      </c>
    </row>
    <row r="542" spans="1:12" ht="54" customHeight="1">
      <c r="A542" s="1">
        <v>342</v>
      </c>
      <c r="B542" s="1" t="s">
        <v>3672</v>
      </c>
      <c r="C542" s="1" t="s">
        <v>3673</v>
      </c>
      <c r="D542" s="1" t="s">
        <v>2784</v>
      </c>
      <c r="E542" s="1" t="s">
        <v>1753</v>
      </c>
      <c r="F542" s="1" t="s">
        <v>3674</v>
      </c>
      <c r="G542" s="6"/>
      <c r="J542" s="1" t="s">
        <v>2708</v>
      </c>
      <c r="K542" s="1" t="s">
        <v>2087</v>
      </c>
      <c r="L542" s="39" t="s">
        <v>2506</v>
      </c>
    </row>
    <row r="543" spans="1:12" ht="54" customHeight="1">
      <c r="A543" s="1">
        <v>62222</v>
      </c>
      <c r="B543" s="1" t="s">
        <v>3675</v>
      </c>
      <c r="C543" s="1" t="s">
        <v>3676</v>
      </c>
      <c r="D543" s="1" t="s">
        <v>2784</v>
      </c>
      <c r="E543" s="1" t="s">
        <v>1753</v>
      </c>
      <c r="F543" s="1" t="s">
        <v>3677</v>
      </c>
      <c r="G543" s="6"/>
      <c r="J543" s="1" t="s">
        <v>2708</v>
      </c>
      <c r="K543" s="1" t="s">
        <v>2087</v>
      </c>
      <c r="L543" s="39" t="s">
        <v>2506</v>
      </c>
    </row>
    <row r="544" spans="1:12" ht="54" customHeight="1">
      <c r="A544" s="1">
        <v>718</v>
      </c>
      <c r="B544" s="1" t="s">
        <v>3678</v>
      </c>
      <c r="C544" s="1" t="s">
        <v>3679</v>
      </c>
      <c r="D544" s="1" t="s">
        <v>2784</v>
      </c>
      <c r="E544" s="1" t="s">
        <v>1753</v>
      </c>
      <c r="F544" s="1" t="s">
        <v>3680</v>
      </c>
      <c r="G544" s="7" t="s">
        <v>3681</v>
      </c>
      <c r="H544" s="14" t="s">
        <v>3681</v>
      </c>
      <c r="I544" s="25"/>
      <c r="K544" s="1" t="s">
        <v>2087</v>
      </c>
      <c r="L544" s="39" t="s">
        <v>2506</v>
      </c>
    </row>
    <row r="545" spans="1:12" ht="54" customHeight="1">
      <c r="A545" s="1">
        <v>757</v>
      </c>
      <c r="B545" s="1" t="s">
        <v>1451</v>
      </c>
      <c r="C545" s="9" t="s">
        <v>3682</v>
      </c>
      <c r="D545" s="1" t="s">
        <v>2784</v>
      </c>
      <c r="E545" s="1" t="s">
        <v>1753</v>
      </c>
      <c r="F545" s="1" t="s">
        <v>3683</v>
      </c>
      <c r="G545" s="8" t="s">
        <v>3684</v>
      </c>
      <c r="H545" s="14" t="s">
        <v>3684</v>
      </c>
      <c r="I545" s="25"/>
    </row>
    <row r="546" spans="1:12" ht="54" customHeight="1">
      <c r="A546" s="1">
        <v>62210</v>
      </c>
      <c r="B546" s="1" t="s">
        <v>3685</v>
      </c>
      <c r="C546" s="1" t="s">
        <v>3686</v>
      </c>
      <c r="D546" s="1" t="s">
        <v>2784</v>
      </c>
      <c r="E546" s="1" t="s">
        <v>1753</v>
      </c>
      <c r="F546" s="1" t="s">
        <v>3687</v>
      </c>
      <c r="G546" s="6"/>
      <c r="J546" s="1" t="s">
        <v>2708</v>
      </c>
      <c r="K546" s="1" t="s">
        <v>2087</v>
      </c>
      <c r="L546" s="39" t="s">
        <v>2506</v>
      </c>
    </row>
    <row r="547" spans="1:12" ht="54" customHeight="1">
      <c r="A547" s="1">
        <v>62209</v>
      </c>
      <c r="B547" s="1" t="s">
        <v>3688</v>
      </c>
      <c r="C547" s="1" t="s">
        <v>3689</v>
      </c>
      <c r="D547" s="1" t="s">
        <v>2784</v>
      </c>
      <c r="E547" s="1" t="s">
        <v>1753</v>
      </c>
      <c r="F547" s="1" t="s">
        <v>3690</v>
      </c>
      <c r="G547" s="6"/>
      <c r="J547" s="1" t="s">
        <v>2708</v>
      </c>
      <c r="K547" s="1" t="s">
        <v>2087</v>
      </c>
      <c r="L547" s="39" t="s">
        <v>2506</v>
      </c>
    </row>
    <row r="548" spans="1:12" ht="54" customHeight="1">
      <c r="A548" s="1">
        <v>63078</v>
      </c>
      <c r="B548" s="1" t="s">
        <v>3691</v>
      </c>
      <c r="C548" s="1" t="s">
        <v>3692</v>
      </c>
      <c r="D548" s="1" t="s">
        <v>2784</v>
      </c>
      <c r="E548" s="1" t="s">
        <v>1753</v>
      </c>
      <c r="F548" s="1" t="s">
        <v>3693</v>
      </c>
      <c r="G548" s="6"/>
      <c r="K548" s="1" t="s">
        <v>2087</v>
      </c>
      <c r="L548" s="39" t="s">
        <v>3694</v>
      </c>
    </row>
    <row r="549" spans="1:12" ht="54" customHeight="1">
      <c r="A549" s="1">
        <v>62224</v>
      </c>
      <c r="B549" s="1" t="s">
        <v>3695</v>
      </c>
      <c r="C549" s="1" t="s">
        <v>3696</v>
      </c>
      <c r="D549" s="1" t="s">
        <v>2784</v>
      </c>
      <c r="E549" s="1" t="s">
        <v>1753</v>
      </c>
      <c r="F549" s="1" t="s">
        <v>3697</v>
      </c>
      <c r="G549" s="6"/>
      <c r="J549" s="1" t="s">
        <v>2708</v>
      </c>
      <c r="K549" s="1" t="s">
        <v>2087</v>
      </c>
      <c r="L549" s="39" t="s">
        <v>2506</v>
      </c>
    </row>
    <row r="550" spans="1:12" ht="54" customHeight="1">
      <c r="A550" s="1">
        <v>842</v>
      </c>
      <c r="B550" s="1" t="s">
        <v>3698</v>
      </c>
      <c r="C550" s="1" t="s">
        <v>3699</v>
      </c>
      <c r="D550" s="1" t="s">
        <v>2784</v>
      </c>
      <c r="E550" s="1" t="s">
        <v>1753</v>
      </c>
      <c r="F550" s="1" t="s">
        <v>3700</v>
      </c>
      <c r="G550" s="7" t="s">
        <v>87</v>
      </c>
      <c r="K550" s="1" t="s">
        <v>2087</v>
      </c>
      <c r="L550" s="39" t="s">
        <v>2506</v>
      </c>
    </row>
    <row r="551" spans="1:12" ht="54" customHeight="1">
      <c r="A551" s="1">
        <v>62227</v>
      </c>
      <c r="B551" s="1" t="s">
        <v>3701</v>
      </c>
      <c r="C551" s="1" t="s">
        <v>3702</v>
      </c>
      <c r="D551" s="1" t="s">
        <v>2784</v>
      </c>
      <c r="E551" s="1" t="s">
        <v>1753</v>
      </c>
      <c r="F551" s="1" t="s">
        <v>3703</v>
      </c>
      <c r="G551" s="7" t="s">
        <v>3704</v>
      </c>
      <c r="H551" s="14" t="s">
        <v>3704</v>
      </c>
      <c r="I551" s="10"/>
      <c r="K551" s="1" t="s">
        <v>2087</v>
      </c>
      <c r="L551" s="39" t="s">
        <v>2506</v>
      </c>
    </row>
    <row r="552" spans="1:12" ht="54" customHeight="1">
      <c r="A552" s="1">
        <v>866</v>
      </c>
      <c r="B552" s="1" t="s">
        <v>3705</v>
      </c>
      <c r="C552" s="1" t="s">
        <v>3706</v>
      </c>
      <c r="D552" s="1" t="s">
        <v>2784</v>
      </c>
      <c r="E552" s="1" t="s">
        <v>1753</v>
      </c>
      <c r="F552" s="1" t="s">
        <v>3707</v>
      </c>
      <c r="G552" s="7" t="s">
        <v>3708</v>
      </c>
      <c r="K552" s="1" t="s">
        <v>2087</v>
      </c>
      <c r="L552" s="39" t="s">
        <v>2506</v>
      </c>
    </row>
    <row r="553" spans="1:12" ht="54" customHeight="1">
      <c r="A553" s="1">
        <v>534</v>
      </c>
      <c r="B553" s="1" t="s">
        <v>3709</v>
      </c>
      <c r="C553" s="1" t="s">
        <v>3710</v>
      </c>
      <c r="D553" s="1" t="s">
        <v>2784</v>
      </c>
      <c r="E553" s="1" t="s">
        <v>3711</v>
      </c>
      <c r="F553" s="1" t="s">
        <v>3712</v>
      </c>
      <c r="G553" s="7" t="s">
        <v>25</v>
      </c>
      <c r="H553" s="22"/>
      <c r="J553" s="1" t="s">
        <v>3713</v>
      </c>
      <c r="K553" s="1" t="s">
        <v>2137</v>
      </c>
      <c r="L553" s="39" t="s">
        <v>2772</v>
      </c>
    </row>
    <row r="554" spans="1:12" ht="54" customHeight="1">
      <c r="A554" s="1">
        <v>289</v>
      </c>
      <c r="B554" s="1" t="s">
        <v>3714</v>
      </c>
      <c r="C554" s="1" t="s">
        <v>3715</v>
      </c>
      <c r="D554" s="1" t="s">
        <v>2784</v>
      </c>
      <c r="E554" s="1" t="s">
        <v>3716</v>
      </c>
      <c r="F554" s="1" t="s">
        <v>3717</v>
      </c>
      <c r="G554" s="7" t="s">
        <v>2365</v>
      </c>
      <c r="H554" s="14" t="s">
        <v>2365</v>
      </c>
      <c r="I554" s="25" t="s">
        <v>20</v>
      </c>
      <c r="K554" s="1" t="s">
        <v>2137</v>
      </c>
      <c r="L554" s="39" t="s">
        <v>2772</v>
      </c>
    </row>
    <row r="555" spans="1:12" ht="54" customHeight="1">
      <c r="A555" s="1">
        <v>22</v>
      </c>
      <c r="B555" s="1" t="s">
        <v>3718</v>
      </c>
      <c r="C555" s="1" t="s">
        <v>3719</v>
      </c>
      <c r="D555" s="1" t="s">
        <v>2784</v>
      </c>
      <c r="E555" s="1" t="s">
        <v>1680</v>
      </c>
      <c r="F555" s="1" t="s">
        <v>3720</v>
      </c>
      <c r="G555" s="7" t="s">
        <v>25</v>
      </c>
      <c r="H555" s="22" t="s">
        <v>25</v>
      </c>
      <c r="I555" s="22" t="s">
        <v>20</v>
      </c>
      <c r="J555" s="1" t="s">
        <v>3721</v>
      </c>
      <c r="K555" s="1" t="s">
        <v>2137</v>
      </c>
      <c r="L555" s="39" t="s">
        <v>2506</v>
      </c>
    </row>
    <row r="556" spans="1:12" ht="54" customHeight="1">
      <c r="A556" s="1">
        <v>613</v>
      </c>
      <c r="B556" s="1" t="s">
        <v>3722</v>
      </c>
      <c r="C556" s="1" t="s">
        <v>3723</v>
      </c>
      <c r="D556" s="1" t="s">
        <v>2784</v>
      </c>
      <c r="E556" s="1" t="s">
        <v>1680</v>
      </c>
      <c r="F556" s="1" t="s">
        <v>3724</v>
      </c>
      <c r="G556" s="8" t="s">
        <v>209</v>
      </c>
      <c r="H556" s="14" t="s">
        <v>209</v>
      </c>
      <c r="I556" s="25"/>
      <c r="K556" s="1" t="s">
        <v>2137</v>
      </c>
      <c r="L556" s="39" t="s">
        <v>2506</v>
      </c>
    </row>
    <row r="557" spans="1:12" ht="54" customHeight="1">
      <c r="A557" s="1">
        <v>88</v>
      </c>
      <c r="B557" s="1" t="s">
        <v>3725</v>
      </c>
      <c r="C557" s="1" t="s">
        <v>3726</v>
      </c>
      <c r="D557" s="1" t="s">
        <v>2784</v>
      </c>
      <c r="E557" s="1" t="s">
        <v>1680</v>
      </c>
      <c r="F557" s="1" t="s">
        <v>3727</v>
      </c>
      <c r="G557" s="6"/>
      <c r="K557" s="1" t="s">
        <v>2137</v>
      </c>
      <c r="L557" s="39" t="s">
        <v>2506</v>
      </c>
    </row>
    <row r="558" spans="1:12" ht="54" customHeight="1">
      <c r="A558" s="1">
        <v>107</v>
      </c>
      <c r="B558" s="1" t="s">
        <v>3728</v>
      </c>
      <c r="C558" s="1" t="s">
        <v>3729</v>
      </c>
      <c r="D558" s="1" t="s">
        <v>2784</v>
      </c>
      <c r="E558" s="1" t="s">
        <v>1680</v>
      </c>
      <c r="F558" s="1" t="s">
        <v>3730</v>
      </c>
      <c r="G558" s="7" t="s">
        <v>3731</v>
      </c>
      <c r="H558" s="14" t="s">
        <v>3731</v>
      </c>
      <c r="I558" s="10"/>
      <c r="K558" s="1" t="s">
        <v>2137</v>
      </c>
      <c r="L558" s="39" t="s">
        <v>2506</v>
      </c>
    </row>
    <row r="559" spans="1:12" ht="54" customHeight="1">
      <c r="A559" s="1">
        <v>141</v>
      </c>
      <c r="B559" s="1" t="s">
        <v>3732</v>
      </c>
      <c r="C559" s="1" t="s">
        <v>3733</v>
      </c>
      <c r="D559" s="1" t="s">
        <v>2784</v>
      </c>
      <c r="E559" s="1" t="s">
        <v>1680</v>
      </c>
      <c r="F559" s="1" t="s">
        <v>3734</v>
      </c>
      <c r="G559" s="7" t="s">
        <v>25</v>
      </c>
      <c r="H559" s="14" t="s">
        <v>25</v>
      </c>
      <c r="I559" s="10" t="s">
        <v>20</v>
      </c>
      <c r="K559" s="1" t="s">
        <v>2137</v>
      </c>
      <c r="L559" s="39" t="s">
        <v>2772</v>
      </c>
    </row>
    <row r="560" spans="1:12" ht="54" customHeight="1">
      <c r="A560" s="1">
        <v>152</v>
      </c>
      <c r="B560" s="1" t="s">
        <v>3735</v>
      </c>
      <c r="C560" s="1" t="s">
        <v>3736</v>
      </c>
      <c r="D560" s="1" t="s">
        <v>2784</v>
      </c>
      <c r="E560" s="1" t="s">
        <v>1680</v>
      </c>
      <c r="F560" s="1" t="s">
        <v>3737</v>
      </c>
      <c r="G560" s="7" t="s">
        <v>2342</v>
      </c>
      <c r="H560" s="14" t="s">
        <v>2342</v>
      </c>
      <c r="I560" s="14" t="s">
        <v>20</v>
      </c>
      <c r="K560" s="1" t="s">
        <v>2137</v>
      </c>
      <c r="L560" s="39" t="s">
        <v>2772</v>
      </c>
    </row>
    <row r="561" spans="1:12" ht="54" customHeight="1">
      <c r="A561" s="1">
        <v>199</v>
      </c>
      <c r="B561" s="1" t="s">
        <v>3738</v>
      </c>
      <c r="C561" s="1" t="s">
        <v>3739</v>
      </c>
      <c r="D561" s="1" t="s">
        <v>2784</v>
      </c>
      <c r="E561" s="1" t="s">
        <v>1680</v>
      </c>
      <c r="F561" s="1" t="s">
        <v>3740</v>
      </c>
      <c r="G561" s="7" t="s">
        <v>25</v>
      </c>
      <c r="H561" s="22" t="s">
        <v>54</v>
      </c>
      <c r="I561" s="22"/>
      <c r="J561" s="36" t="s">
        <v>3741</v>
      </c>
      <c r="K561" s="1" t="s">
        <v>2137</v>
      </c>
      <c r="L561" s="39" t="s">
        <v>2506</v>
      </c>
    </row>
    <row r="562" spans="1:12" ht="54" customHeight="1">
      <c r="A562" s="1">
        <v>311</v>
      </c>
      <c r="B562" s="1" t="s">
        <v>3742</v>
      </c>
      <c r="C562" s="1" t="s">
        <v>3743</v>
      </c>
      <c r="D562" s="1" t="s">
        <v>2784</v>
      </c>
      <c r="E562" s="1" t="s">
        <v>1680</v>
      </c>
      <c r="F562" s="1" t="s">
        <v>3744</v>
      </c>
      <c r="G562" s="7" t="s">
        <v>3745</v>
      </c>
      <c r="H562" s="14" t="s">
        <v>3745</v>
      </c>
      <c r="I562" s="14"/>
      <c r="K562" s="1" t="s">
        <v>2137</v>
      </c>
      <c r="L562" s="39" t="s">
        <v>2506</v>
      </c>
    </row>
    <row r="563" spans="1:12" ht="54" customHeight="1">
      <c r="A563" s="1">
        <v>680</v>
      </c>
      <c r="B563" s="1" t="s">
        <v>3746</v>
      </c>
      <c r="C563" s="1" t="s">
        <v>3747</v>
      </c>
      <c r="D563" s="1" t="s">
        <v>2784</v>
      </c>
      <c r="E563" s="1" t="s">
        <v>1680</v>
      </c>
      <c r="F563" s="1" t="s">
        <v>3748</v>
      </c>
      <c r="G563" s="7" t="s">
        <v>3749</v>
      </c>
      <c r="H563" s="22" t="s">
        <v>3750</v>
      </c>
      <c r="I563" s="22"/>
      <c r="J563" s="1" t="s">
        <v>3751</v>
      </c>
      <c r="K563" s="1" t="s">
        <v>2137</v>
      </c>
      <c r="L563" s="39" t="s">
        <v>2506</v>
      </c>
    </row>
    <row r="564" spans="1:12" ht="54" customHeight="1">
      <c r="A564" s="1">
        <v>330</v>
      </c>
      <c r="B564" s="1" t="s">
        <v>3752</v>
      </c>
      <c r="C564" s="1" t="s">
        <v>3753</v>
      </c>
      <c r="D564" s="1" t="s">
        <v>2784</v>
      </c>
      <c r="E564" s="1" t="s">
        <v>1680</v>
      </c>
      <c r="F564" s="1" t="s">
        <v>3754</v>
      </c>
      <c r="G564" s="7" t="s">
        <v>2365</v>
      </c>
      <c r="H564" s="14" t="s">
        <v>3755</v>
      </c>
      <c r="I564" s="25"/>
      <c r="J564" s="1" t="s">
        <v>3756</v>
      </c>
      <c r="K564" s="1" t="s">
        <v>2137</v>
      </c>
      <c r="L564" s="39" t="s">
        <v>2506</v>
      </c>
    </row>
    <row r="565" spans="1:12" ht="54" customHeight="1">
      <c r="A565" s="1">
        <v>343</v>
      </c>
      <c r="B565" s="1" t="s">
        <v>3757</v>
      </c>
      <c r="C565" s="1" t="s">
        <v>3758</v>
      </c>
      <c r="D565" s="1" t="s">
        <v>2784</v>
      </c>
      <c r="E565" s="1" t="s">
        <v>1680</v>
      </c>
      <c r="F565" s="1" t="s">
        <v>3759</v>
      </c>
      <c r="G565" s="7" t="s">
        <v>3760</v>
      </c>
      <c r="H565" s="14" t="s">
        <v>3760</v>
      </c>
      <c r="I565" s="25"/>
      <c r="J565" s="1" t="s">
        <v>3761</v>
      </c>
      <c r="K565" s="1" t="s">
        <v>2137</v>
      </c>
      <c r="L565" s="39" t="s">
        <v>2506</v>
      </c>
    </row>
    <row r="566" spans="1:12" ht="54" customHeight="1">
      <c r="A566" s="1">
        <v>763</v>
      </c>
      <c r="B566" s="1" t="s">
        <v>3762</v>
      </c>
      <c r="C566" s="1" t="s">
        <v>3763</v>
      </c>
      <c r="D566" s="1" t="s">
        <v>2784</v>
      </c>
      <c r="E566" s="1" t="s">
        <v>1680</v>
      </c>
      <c r="F566" s="1" t="s">
        <v>3764</v>
      </c>
      <c r="G566" s="7" t="s">
        <v>25</v>
      </c>
      <c r="J566" s="1" t="s">
        <v>3765</v>
      </c>
      <c r="K566" s="40" t="s">
        <v>2137</v>
      </c>
      <c r="L566" s="41" t="s">
        <v>2772</v>
      </c>
    </row>
    <row r="567" spans="1:12" ht="54" customHeight="1">
      <c r="A567" s="1">
        <v>821</v>
      </c>
      <c r="B567" s="1" t="s">
        <v>3766</v>
      </c>
      <c r="C567" s="1" t="s">
        <v>3767</v>
      </c>
      <c r="D567" s="1" t="s">
        <v>2784</v>
      </c>
      <c r="E567" s="1" t="s">
        <v>1680</v>
      </c>
      <c r="F567" s="1" t="s">
        <v>3768</v>
      </c>
      <c r="G567" s="7" t="s">
        <v>25</v>
      </c>
      <c r="H567" s="22" t="s">
        <v>3769</v>
      </c>
      <c r="J567" s="1" t="s">
        <v>3770</v>
      </c>
      <c r="K567" s="40" t="s">
        <v>2137</v>
      </c>
      <c r="L567" s="41" t="s">
        <v>2772</v>
      </c>
    </row>
    <row r="568" spans="1:12" ht="54" customHeight="1">
      <c r="A568" s="1">
        <v>536</v>
      </c>
      <c r="B568" s="1" t="s">
        <v>3771</v>
      </c>
      <c r="C568" s="1" t="s">
        <v>3772</v>
      </c>
      <c r="D568" s="1" t="s">
        <v>2784</v>
      </c>
      <c r="E568" s="1" t="s">
        <v>2541</v>
      </c>
      <c r="F568" s="1" t="s">
        <v>3773</v>
      </c>
      <c r="G568" s="7" t="s">
        <v>25</v>
      </c>
      <c r="H568" s="14" t="s">
        <v>25</v>
      </c>
      <c r="I568" s="10" t="s">
        <v>20</v>
      </c>
      <c r="K568" s="1" t="s">
        <v>2137</v>
      </c>
      <c r="L568" s="39" t="s">
        <v>2506</v>
      </c>
    </row>
    <row r="569" spans="1:12" ht="54" customHeight="1">
      <c r="A569" s="1">
        <v>112</v>
      </c>
      <c r="B569" s="1" t="s">
        <v>3774</v>
      </c>
      <c r="C569" s="1" t="s">
        <v>3775</v>
      </c>
      <c r="D569" s="1" t="s">
        <v>2784</v>
      </c>
      <c r="F569" s="1" t="s">
        <v>3776</v>
      </c>
      <c r="G569" s="6" t="s">
        <v>3777</v>
      </c>
      <c r="K569" s="1" t="s">
        <v>2087</v>
      </c>
      <c r="L569" s="39" t="s">
        <v>2506</v>
      </c>
    </row>
    <row r="570" spans="1:12" ht="54" customHeight="1">
      <c r="A570" s="1">
        <v>271</v>
      </c>
      <c r="B570" s="1" t="s">
        <v>3778</v>
      </c>
      <c r="C570" s="1" t="s">
        <v>3779</v>
      </c>
      <c r="D570" s="1" t="s">
        <v>2784</v>
      </c>
      <c r="F570" s="1" t="s">
        <v>3780</v>
      </c>
      <c r="G570" s="7" t="s">
        <v>2595</v>
      </c>
      <c r="H570" s="14" t="s">
        <v>2595</v>
      </c>
      <c r="I570" s="10" t="s">
        <v>20</v>
      </c>
    </row>
    <row r="571" spans="1:12" ht="54" customHeight="1">
      <c r="A571" s="1">
        <v>468</v>
      </c>
      <c r="B571" s="1" t="s">
        <v>3781</v>
      </c>
      <c r="C571" s="1" t="s">
        <v>3782</v>
      </c>
      <c r="D571" s="1" t="s">
        <v>2784</v>
      </c>
      <c r="F571" s="1" t="s">
        <v>3783</v>
      </c>
      <c r="G571" s="7" t="s">
        <v>2948</v>
      </c>
      <c r="H571" s="14" t="s">
        <v>2948</v>
      </c>
      <c r="I571" s="10" t="s">
        <v>20</v>
      </c>
      <c r="J571" s="1" t="s">
        <v>3784</v>
      </c>
      <c r="K571" s="1" t="s">
        <v>2087</v>
      </c>
      <c r="L571" s="39" t="s">
        <v>2737</v>
      </c>
    </row>
    <row r="572" spans="1:12" ht="54" customHeight="1">
      <c r="A572" s="1">
        <v>824</v>
      </c>
      <c r="B572" s="1" t="s">
        <v>3785</v>
      </c>
      <c r="C572" s="1" t="s">
        <v>3786</v>
      </c>
      <c r="D572" s="1" t="s">
        <v>2784</v>
      </c>
      <c r="F572" s="1" t="s">
        <v>3787</v>
      </c>
      <c r="G572" s="7" t="s">
        <v>2776</v>
      </c>
      <c r="H572" s="14" t="s">
        <v>2776</v>
      </c>
    </row>
    <row r="573" spans="1:12" ht="54" customHeight="1">
      <c r="A573" s="1">
        <v>655</v>
      </c>
      <c r="B573" s="1" t="s">
        <v>3788</v>
      </c>
      <c r="C573" s="1" t="s">
        <v>3789</v>
      </c>
      <c r="D573" s="1" t="s">
        <v>3790</v>
      </c>
      <c r="E573" s="1" t="s">
        <v>1653</v>
      </c>
      <c r="F573" s="1" t="s">
        <v>3791</v>
      </c>
      <c r="G573" s="7" t="s">
        <v>3792</v>
      </c>
      <c r="H573" s="14" t="s">
        <v>3792</v>
      </c>
      <c r="I573" s="10"/>
      <c r="K573" s="1" t="s">
        <v>1648</v>
      </c>
      <c r="L573" s="39" t="s">
        <v>1704</v>
      </c>
    </row>
    <row r="574" spans="1:12" ht="54" customHeight="1">
      <c r="A574" s="1">
        <v>541</v>
      </c>
      <c r="B574" s="2">
        <v>0.09</v>
      </c>
      <c r="C574" s="9" t="s">
        <v>3793</v>
      </c>
      <c r="D574" s="1" t="s">
        <v>3794</v>
      </c>
      <c r="E574" s="1" t="s">
        <v>1653</v>
      </c>
      <c r="F574" s="1" t="s">
        <v>3795</v>
      </c>
      <c r="G574" s="7" t="s">
        <v>3796</v>
      </c>
      <c r="H574" s="14" t="s">
        <v>3796</v>
      </c>
      <c r="I574" s="14"/>
      <c r="K574" s="1" t="s">
        <v>1648</v>
      </c>
      <c r="L574" s="39" t="s">
        <v>1704</v>
      </c>
    </row>
    <row r="575" spans="1:12" ht="54" customHeight="1">
      <c r="A575" s="1">
        <v>542</v>
      </c>
      <c r="B575" s="2">
        <v>1</v>
      </c>
      <c r="C575" s="1" t="s">
        <v>3797</v>
      </c>
      <c r="D575" s="1" t="s">
        <v>3794</v>
      </c>
      <c r="E575" s="1" t="s">
        <v>1653</v>
      </c>
      <c r="F575" s="1" t="s">
        <v>3798</v>
      </c>
      <c r="G575" s="7" t="s">
        <v>3799</v>
      </c>
      <c r="H575" s="14" t="s">
        <v>3799</v>
      </c>
      <c r="I575" s="14"/>
    </row>
    <row r="576" spans="1:12" ht="54" customHeight="1">
      <c r="A576" s="1">
        <v>543</v>
      </c>
      <c r="B576" s="1">
        <v>12</v>
      </c>
      <c r="C576" s="9" t="s">
        <v>3800</v>
      </c>
      <c r="D576" s="1" t="s">
        <v>3794</v>
      </c>
      <c r="E576" s="1" t="s">
        <v>1653</v>
      </c>
      <c r="F576" s="1" t="s">
        <v>3801</v>
      </c>
      <c r="G576" s="7" t="s">
        <v>3802</v>
      </c>
      <c r="H576" s="14" t="s">
        <v>3803</v>
      </c>
      <c r="I576" s="14"/>
    </row>
    <row r="577" spans="1:12" ht="54" customHeight="1">
      <c r="A577" s="1">
        <v>544</v>
      </c>
      <c r="B577" s="1">
        <v>13</v>
      </c>
      <c r="C577" s="1" t="s">
        <v>3804</v>
      </c>
      <c r="D577" s="1" t="s">
        <v>3794</v>
      </c>
      <c r="E577" s="1" t="s">
        <v>1653</v>
      </c>
      <c r="F577" s="1" t="s">
        <v>3805</v>
      </c>
      <c r="G577" s="7" t="s">
        <v>3806</v>
      </c>
      <c r="H577" s="14" t="s">
        <v>3806</v>
      </c>
      <c r="I577" s="14"/>
      <c r="J577" s="1" t="s">
        <v>1703</v>
      </c>
    </row>
    <row r="578" spans="1:12" ht="54" customHeight="1">
      <c r="A578" s="1">
        <v>545</v>
      </c>
      <c r="B578" s="1">
        <v>14</v>
      </c>
      <c r="C578" s="1" t="s">
        <v>3807</v>
      </c>
      <c r="D578" s="1" t="s">
        <v>3794</v>
      </c>
      <c r="E578" s="1" t="s">
        <v>1653</v>
      </c>
      <c r="F578" s="1" t="s">
        <v>3808</v>
      </c>
      <c r="G578" s="7" t="s">
        <v>3809</v>
      </c>
      <c r="H578" s="14" t="s">
        <v>3809</v>
      </c>
      <c r="I578" s="14"/>
      <c r="J578" s="1" t="s">
        <v>1703</v>
      </c>
      <c r="K578" s="1" t="s">
        <v>1648</v>
      </c>
      <c r="L578" s="39" t="s">
        <v>1704</v>
      </c>
    </row>
    <row r="579" spans="1:12" ht="54" customHeight="1">
      <c r="A579" s="1">
        <v>546</v>
      </c>
      <c r="B579" s="1">
        <v>18</v>
      </c>
      <c r="C579" s="9" t="s">
        <v>3810</v>
      </c>
      <c r="D579" s="1" t="s">
        <v>3794</v>
      </c>
      <c r="E579" s="1" t="s">
        <v>1653</v>
      </c>
      <c r="F579" s="1" t="s">
        <v>3811</v>
      </c>
      <c r="G579" s="7" t="s">
        <v>3812</v>
      </c>
      <c r="H579" s="14" t="s">
        <v>3812</v>
      </c>
      <c r="I579" s="14"/>
      <c r="J579" s="1" t="s">
        <v>1703</v>
      </c>
      <c r="K579" s="1" t="s">
        <v>1648</v>
      </c>
      <c r="L579" s="39" t="s">
        <v>1704</v>
      </c>
    </row>
    <row r="580" spans="1:12" ht="54" customHeight="1">
      <c r="A580" s="1">
        <v>547</v>
      </c>
      <c r="B580" s="1">
        <v>28</v>
      </c>
      <c r="C580" s="1" t="s">
        <v>3813</v>
      </c>
      <c r="D580" s="1" t="s">
        <v>3794</v>
      </c>
      <c r="E580" s="1" t="s">
        <v>1653</v>
      </c>
      <c r="F580" s="1" t="s">
        <v>3814</v>
      </c>
      <c r="G580" s="7" t="s">
        <v>3815</v>
      </c>
      <c r="H580" s="14" t="s">
        <v>3815</v>
      </c>
      <c r="I580" s="14"/>
      <c r="J580" s="1" t="s">
        <v>1703</v>
      </c>
      <c r="K580" s="1" t="s">
        <v>1648</v>
      </c>
      <c r="L580" s="39" t="s">
        <v>1704</v>
      </c>
    </row>
    <row r="581" spans="1:12" ht="54" customHeight="1">
      <c r="A581" s="1">
        <v>548</v>
      </c>
      <c r="B581" s="1">
        <v>38</v>
      </c>
      <c r="C581" s="1" t="s">
        <v>3816</v>
      </c>
      <c r="D581" s="1" t="s">
        <v>3794</v>
      </c>
      <c r="E581" s="1" t="s">
        <v>1653</v>
      </c>
      <c r="F581" s="1" t="s">
        <v>3817</v>
      </c>
      <c r="G581" s="7" t="s">
        <v>3818</v>
      </c>
      <c r="H581" s="14" t="s">
        <v>3818</v>
      </c>
      <c r="I581" s="14"/>
      <c r="J581" s="1" t="s">
        <v>1703</v>
      </c>
      <c r="K581" s="1" t="s">
        <v>1648</v>
      </c>
      <c r="L581" s="39" t="s">
        <v>1704</v>
      </c>
    </row>
    <row r="582" spans="1:12" ht="54" customHeight="1">
      <c r="A582" s="1">
        <v>549</v>
      </c>
      <c r="B582" s="1">
        <v>83</v>
      </c>
      <c r="C582" s="1" t="s">
        <v>3819</v>
      </c>
      <c r="D582" s="1" t="s">
        <v>3794</v>
      </c>
      <c r="E582" s="1" t="s">
        <v>1653</v>
      </c>
      <c r="F582" s="1" t="s">
        <v>3820</v>
      </c>
      <c r="G582" s="7" t="s">
        <v>3821</v>
      </c>
      <c r="H582" s="14" t="s">
        <v>3821</v>
      </c>
      <c r="I582" s="14"/>
      <c r="J582" s="1" t="s">
        <v>1703</v>
      </c>
      <c r="K582" s="1" t="s">
        <v>1648</v>
      </c>
      <c r="L582" s="39" t="s">
        <v>1704</v>
      </c>
    </row>
    <row r="583" spans="1:12" ht="54" customHeight="1">
      <c r="A583" s="1">
        <v>550</v>
      </c>
      <c r="B583" s="1">
        <v>88</v>
      </c>
      <c r="C583" s="1" t="s">
        <v>3822</v>
      </c>
      <c r="D583" s="1" t="s">
        <v>3794</v>
      </c>
      <c r="E583" s="1" t="s">
        <v>1653</v>
      </c>
      <c r="F583" s="1" t="s">
        <v>3823</v>
      </c>
      <c r="G583" s="7" t="s">
        <v>3824</v>
      </c>
      <c r="H583" s="14" t="s">
        <v>3824</v>
      </c>
      <c r="I583" s="14"/>
      <c r="J583" s="1" t="s">
        <v>1703</v>
      </c>
      <c r="K583" s="1" t="s">
        <v>1648</v>
      </c>
      <c r="L583" s="39" t="s">
        <v>1704</v>
      </c>
    </row>
    <row r="584" spans="1:12" ht="54" customHeight="1">
      <c r="A584" s="1">
        <v>551</v>
      </c>
      <c r="B584" s="1">
        <v>131</v>
      </c>
      <c r="C584" s="1" t="s">
        <v>3825</v>
      </c>
      <c r="D584" s="1" t="s">
        <v>3794</v>
      </c>
      <c r="E584" s="1" t="s">
        <v>1653</v>
      </c>
      <c r="F584" s="1" t="s">
        <v>3826</v>
      </c>
      <c r="G584" s="7" t="s">
        <v>1441</v>
      </c>
      <c r="H584" s="14" t="s">
        <v>1441</v>
      </c>
      <c r="I584" s="14"/>
      <c r="J584" s="1" t="s">
        <v>1703</v>
      </c>
      <c r="K584" s="1" t="s">
        <v>1648</v>
      </c>
      <c r="L584" s="39" t="s">
        <v>1704</v>
      </c>
    </row>
    <row r="585" spans="1:12" ht="54" customHeight="1">
      <c r="A585" s="1">
        <v>552</v>
      </c>
      <c r="B585" s="1">
        <v>311</v>
      </c>
      <c r="C585" s="1" t="s">
        <v>3827</v>
      </c>
      <c r="D585" s="1" t="s">
        <v>3794</v>
      </c>
      <c r="E585" s="1" t="s">
        <v>1653</v>
      </c>
      <c r="F585" s="1" t="s">
        <v>3828</v>
      </c>
      <c r="G585" s="7" t="s">
        <v>3829</v>
      </c>
      <c r="H585" s="14" t="s">
        <v>3829</v>
      </c>
      <c r="I585" s="14"/>
      <c r="J585" s="1" t="s">
        <v>1703</v>
      </c>
      <c r="K585" s="1" t="s">
        <v>1648</v>
      </c>
      <c r="L585" s="39" t="s">
        <v>1704</v>
      </c>
    </row>
    <row r="586" spans="1:12" ht="54" customHeight="1">
      <c r="A586" s="1">
        <v>553</v>
      </c>
      <c r="B586" s="1">
        <v>318</v>
      </c>
      <c r="C586" s="1" t="s">
        <v>3830</v>
      </c>
      <c r="D586" s="1" t="s">
        <v>3794</v>
      </c>
      <c r="E586" s="1" t="s">
        <v>1653</v>
      </c>
      <c r="F586" s="1" t="s">
        <v>3831</v>
      </c>
      <c r="G586" s="7" t="s">
        <v>3832</v>
      </c>
      <c r="H586" s="14" t="s">
        <v>3832</v>
      </c>
      <c r="I586" s="14"/>
      <c r="J586" s="1" t="s">
        <v>1703</v>
      </c>
      <c r="K586" s="1" t="s">
        <v>1648</v>
      </c>
      <c r="L586" s="39" t="s">
        <v>1704</v>
      </c>
    </row>
    <row r="587" spans="1:12" ht="54" customHeight="1">
      <c r="A587" s="1">
        <v>554</v>
      </c>
      <c r="B587" s="1">
        <v>511</v>
      </c>
      <c r="C587" s="1" t="s">
        <v>3833</v>
      </c>
      <c r="D587" s="1" t="s">
        <v>3794</v>
      </c>
      <c r="E587" s="1" t="s">
        <v>1653</v>
      </c>
      <c r="F587" s="1" t="s">
        <v>3834</v>
      </c>
      <c r="G587" s="7" t="s">
        <v>3835</v>
      </c>
      <c r="H587" s="14" t="s">
        <v>3836</v>
      </c>
      <c r="I587" s="14"/>
      <c r="J587" s="1" t="s">
        <v>1703</v>
      </c>
      <c r="K587" s="1" t="s">
        <v>1648</v>
      </c>
      <c r="L587" s="39" t="s">
        <v>1704</v>
      </c>
    </row>
    <row r="588" spans="1:12" ht="54" customHeight="1">
      <c r="A588" s="1">
        <v>555</v>
      </c>
      <c r="B588" s="1">
        <v>737</v>
      </c>
      <c r="C588" s="1" t="s">
        <v>3837</v>
      </c>
      <c r="D588" s="1" t="s">
        <v>3794</v>
      </c>
      <c r="E588" s="1" t="s">
        <v>1653</v>
      </c>
      <c r="F588" s="1" t="s">
        <v>3838</v>
      </c>
      <c r="G588" s="7" t="s">
        <v>3839</v>
      </c>
      <c r="H588" s="14" t="s">
        <v>3839</v>
      </c>
      <c r="I588" s="14"/>
      <c r="J588" s="1" t="s">
        <v>1703</v>
      </c>
      <c r="K588" s="1" t="s">
        <v>1648</v>
      </c>
      <c r="L588" s="39" t="s">
        <v>1704</v>
      </c>
    </row>
    <row r="589" spans="1:12" ht="54" customHeight="1">
      <c r="A589" s="1">
        <v>561</v>
      </c>
      <c r="B589" s="1" t="s">
        <v>3840</v>
      </c>
      <c r="C589" s="1" t="s">
        <v>3841</v>
      </c>
      <c r="D589" s="1" t="s">
        <v>3794</v>
      </c>
      <c r="E589" s="1" t="s">
        <v>1653</v>
      </c>
      <c r="F589" s="1" t="s">
        <v>3842</v>
      </c>
      <c r="G589" s="7" t="s">
        <v>3843</v>
      </c>
      <c r="H589" s="14" t="s">
        <v>3843</v>
      </c>
      <c r="I589" s="14"/>
      <c r="J589" s="1" t="s">
        <v>1703</v>
      </c>
      <c r="K589" s="1" t="s">
        <v>1648</v>
      </c>
      <c r="L589" s="39" t="s">
        <v>1704</v>
      </c>
    </row>
    <row r="590" spans="1:12" ht="54" customHeight="1">
      <c r="A590" s="1">
        <v>560</v>
      </c>
      <c r="B590" s="1" t="s">
        <v>3844</v>
      </c>
      <c r="C590" s="1" t="s">
        <v>3845</v>
      </c>
      <c r="D590" s="1" t="s">
        <v>3794</v>
      </c>
      <c r="E590" s="1" t="s">
        <v>1653</v>
      </c>
      <c r="F590" s="1" t="s">
        <v>3846</v>
      </c>
      <c r="G590" s="7" t="s">
        <v>3847</v>
      </c>
      <c r="H590" s="14" t="s">
        <v>3847</v>
      </c>
      <c r="I590" s="14"/>
      <c r="J590" s="1" t="s">
        <v>1703</v>
      </c>
      <c r="K590" s="1" t="s">
        <v>1648</v>
      </c>
      <c r="L590" s="39" t="s">
        <v>1704</v>
      </c>
    </row>
    <row r="591" spans="1:12" ht="54" customHeight="1">
      <c r="A591" s="1">
        <v>562</v>
      </c>
      <c r="B591" s="1" t="s">
        <v>3848</v>
      </c>
      <c r="C591" s="1" t="s">
        <v>3849</v>
      </c>
      <c r="D591" s="1" t="s">
        <v>3794</v>
      </c>
      <c r="E591" s="1" t="s">
        <v>1653</v>
      </c>
      <c r="F591" s="1" t="s">
        <v>3850</v>
      </c>
      <c r="G591" s="7" t="s">
        <v>1712</v>
      </c>
      <c r="H591" s="14" t="s">
        <v>1712</v>
      </c>
      <c r="I591" s="14"/>
      <c r="J591" s="1" t="s">
        <v>1703</v>
      </c>
      <c r="K591" s="1" t="s">
        <v>1648</v>
      </c>
      <c r="L591" s="39" t="s">
        <v>1704</v>
      </c>
    </row>
    <row r="592" spans="1:12" ht="54" customHeight="1">
      <c r="A592" s="1">
        <v>567</v>
      </c>
      <c r="B592" s="1" t="s">
        <v>3851</v>
      </c>
      <c r="C592" s="1" t="s">
        <v>3852</v>
      </c>
      <c r="D592" s="1" t="s">
        <v>3794</v>
      </c>
      <c r="E592" s="1" t="s">
        <v>1653</v>
      </c>
      <c r="F592" s="1" t="s">
        <v>3853</v>
      </c>
      <c r="G592" s="7" t="s">
        <v>3854</v>
      </c>
      <c r="H592" s="14" t="s">
        <v>3854</v>
      </c>
      <c r="I592" s="14"/>
      <c r="J592" s="1" t="s">
        <v>1703</v>
      </c>
      <c r="K592" s="1" t="s">
        <v>1648</v>
      </c>
      <c r="L592" s="39" t="s">
        <v>1704</v>
      </c>
    </row>
    <row r="593" spans="1:12" ht="54" customHeight="1">
      <c r="A593" s="1">
        <v>575</v>
      </c>
      <c r="B593" s="1" t="s">
        <v>3855</v>
      </c>
      <c r="C593" s="1" t="s">
        <v>3856</v>
      </c>
      <c r="D593" s="1" t="s">
        <v>3794</v>
      </c>
      <c r="E593" s="1" t="s">
        <v>1653</v>
      </c>
      <c r="F593" s="1" t="s">
        <v>3857</v>
      </c>
      <c r="G593" s="7" t="s">
        <v>3858</v>
      </c>
      <c r="H593" s="22" t="s">
        <v>3858</v>
      </c>
      <c r="I593" s="22"/>
      <c r="J593" s="1" t="s">
        <v>1703</v>
      </c>
      <c r="K593" s="1" t="s">
        <v>1648</v>
      </c>
      <c r="L593" s="39" t="s">
        <v>1704</v>
      </c>
    </row>
    <row r="594" spans="1:12" ht="54" customHeight="1">
      <c r="A594" s="1">
        <v>576</v>
      </c>
      <c r="B594" s="1" t="s">
        <v>3859</v>
      </c>
      <c r="C594" s="1" t="s">
        <v>3860</v>
      </c>
      <c r="D594" s="1" t="s">
        <v>3794</v>
      </c>
      <c r="E594" s="1" t="s">
        <v>1653</v>
      </c>
      <c r="F594" s="1" t="s">
        <v>3861</v>
      </c>
      <c r="G594" s="7" t="s">
        <v>3862</v>
      </c>
      <c r="H594" s="14" t="s">
        <v>3862</v>
      </c>
      <c r="I594" s="14"/>
      <c r="J594" s="1" t="s">
        <v>1703</v>
      </c>
      <c r="K594" s="1" t="s">
        <v>1648</v>
      </c>
      <c r="L594" s="39" t="s">
        <v>1704</v>
      </c>
    </row>
    <row r="595" spans="1:12" ht="54" customHeight="1">
      <c r="A595" s="1">
        <v>617</v>
      </c>
      <c r="B595" s="1" t="s">
        <v>3863</v>
      </c>
      <c r="C595" s="1" t="s">
        <v>3864</v>
      </c>
      <c r="D595" s="1" t="s">
        <v>3794</v>
      </c>
      <c r="E595" s="1" t="s">
        <v>1653</v>
      </c>
      <c r="F595" s="1" t="s">
        <v>3865</v>
      </c>
      <c r="G595" s="7" t="s">
        <v>3866</v>
      </c>
      <c r="H595" s="14" t="s">
        <v>3866</v>
      </c>
      <c r="I595" s="25"/>
      <c r="K595" s="1" t="s">
        <v>1648</v>
      </c>
      <c r="L595" s="39" t="s">
        <v>1704</v>
      </c>
    </row>
    <row r="596" spans="1:12" ht="54" customHeight="1">
      <c r="A596" s="1">
        <v>627</v>
      </c>
      <c r="B596" s="1" t="s">
        <v>3867</v>
      </c>
      <c r="C596" s="1" t="s">
        <v>3868</v>
      </c>
      <c r="D596" s="1" t="s">
        <v>3794</v>
      </c>
      <c r="E596" s="1" t="s">
        <v>1653</v>
      </c>
      <c r="F596" s="1" t="s">
        <v>3869</v>
      </c>
      <c r="G596" s="7" t="s">
        <v>1918</v>
      </c>
      <c r="H596" s="14" t="s">
        <v>1918</v>
      </c>
      <c r="I596" s="25"/>
      <c r="K596" s="1" t="s">
        <v>1648</v>
      </c>
      <c r="L596" s="39" t="s">
        <v>1704</v>
      </c>
    </row>
    <row r="597" spans="1:12" ht="54" customHeight="1">
      <c r="A597" s="1">
        <v>82</v>
      </c>
      <c r="B597" s="1" t="s">
        <v>3870</v>
      </c>
      <c r="C597" s="1" t="s">
        <v>3871</v>
      </c>
      <c r="D597" s="1" t="s">
        <v>3794</v>
      </c>
      <c r="E597" s="1" t="s">
        <v>1653</v>
      </c>
      <c r="F597" s="1" t="s">
        <v>3872</v>
      </c>
      <c r="G597" s="7" t="s">
        <v>3873</v>
      </c>
      <c r="H597" s="14" t="s">
        <v>3873</v>
      </c>
      <c r="I597" s="25"/>
      <c r="K597" s="1" t="s">
        <v>1648</v>
      </c>
      <c r="L597" s="39" t="s">
        <v>1704</v>
      </c>
    </row>
    <row r="598" spans="1:12" ht="54" customHeight="1">
      <c r="A598" s="1">
        <v>633</v>
      </c>
      <c r="B598" s="1" t="s">
        <v>3874</v>
      </c>
      <c r="C598" s="1" t="s">
        <v>3875</v>
      </c>
      <c r="D598" s="1" t="s">
        <v>3794</v>
      </c>
      <c r="E598" s="1" t="s">
        <v>1653</v>
      </c>
      <c r="F598" s="1" t="s">
        <v>3876</v>
      </c>
      <c r="G598" s="7" t="s">
        <v>3877</v>
      </c>
      <c r="H598" s="14" t="s">
        <v>3877</v>
      </c>
      <c r="I598" s="25"/>
      <c r="K598" s="1" t="s">
        <v>1648</v>
      </c>
      <c r="L598" s="39" t="s">
        <v>1704</v>
      </c>
    </row>
    <row r="599" spans="1:12" ht="54" customHeight="1">
      <c r="A599" s="1">
        <v>634</v>
      </c>
      <c r="B599" s="1" t="s">
        <v>3878</v>
      </c>
      <c r="C599" s="1" t="s">
        <v>3879</v>
      </c>
      <c r="D599" s="1" t="s">
        <v>3794</v>
      </c>
      <c r="E599" s="1" t="s">
        <v>1653</v>
      </c>
      <c r="F599" s="1" t="s">
        <v>3880</v>
      </c>
      <c r="G599" s="6"/>
      <c r="K599" s="1" t="s">
        <v>1648</v>
      </c>
      <c r="L599" s="39" t="s">
        <v>1704</v>
      </c>
    </row>
    <row r="600" spans="1:12" ht="54" customHeight="1">
      <c r="A600" s="1">
        <v>638</v>
      </c>
      <c r="B600" s="1" t="s">
        <v>3881</v>
      </c>
      <c r="C600" s="1" t="s">
        <v>3882</v>
      </c>
      <c r="D600" s="1" t="s">
        <v>3794</v>
      </c>
      <c r="E600" s="1" t="s">
        <v>1653</v>
      </c>
      <c r="F600" s="1" t="s">
        <v>3883</v>
      </c>
      <c r="G600" s="7" t="s">
        <v>3884</v>
      </c>
      <c r="H600" s="14" t="s">
        <v>3884</v>
      </c>
      <c r="I600" s="25"/>
      <c r="K600" s="1" t="s">
        <v>1648</v>
      </c>
      <c r="L600" s="39" t="s">
        <v>1704</v>
      </c>
    </row>
    <row r="601" spans="1:12" ht="54" customHeight="1">
      <c r="A601" s="1">
        <v>644</v>
      </c>
      <c r="B601" s="1" t="s">
        <v>3885</v>
      </c>
      <c r="C601" s="1" t="s">
        <v>3886</v>
      </c>
      <c r="D601" s="1" t="s">
        <v>3794</v>
      </c>
      <c r="E601" s="1" t="s">
        <v>1653</v>
      </c>
      <c r="F601" s="1" t="s">
        <v>3887</v>
      </c>
      <c r="G601" s="7" t="s">
        <v>3888</v>
      </c>
      <c r="H601" s="14" t="s">
        <v>3888</v>
      </c>
      <c r="I601" s="10"/>
      <c r="K601" s="1" t="s">
        <v>1648</v>
      </c>
      <c r="L601" s="39" t="s">
        <v>1704</v>
      </c>
    </row>
    <row r="602" spans="1:12" ht="54" customHeight="1">
      <c r="A602" s="1">
        <v>131</v>
      </c>
      <c r="B602" s="1" t="s">
        <v>3889</v>
      </c>
      <c r="C602" s="1" t="s">
        <v>3890</v>
      </c>
      <c r="D602" s="1" t="s">
        <v>3794</v>
      </c>
      <c r="E602" s="1" t="s">
        <v>1653</v>
      </c>
      <c r="F602" s="1" t="s">
        <v>3891</v>
      </c>
      <c r="G602" s="7" t="s">
        <v>3892</v>
      </c>
      <c r="H602" s="14" t="s">
        <v>3892</v>
      </c>
      <c r="I602" s="10"/>
      <c r="K602" s="1" t="s">
        <v>1648</v>
      </c>
      <c r="L602" s="39" t="s">
        <v>1704</v>
      </c>
    </row>
    <row r="603" spans="1:12" ht="54" customHeight="1">
      <c r="A603" s="1">
        <v>169</v>
      </c>
      <c r="B603" s="1" t="s">
        <v>3893</v>
      </c>
      <c r="C603" s="1" t="s">
        <v>3894</v>
      </c>
      <c r="D603" s="1" t="s">
        <v>3794</v>
      </c>
      <c r="E603" s="1" t="s">
        <v>1653</v>
      </c>
      <c r="F603" s="1" t="s">
        <v>3895</v>
      </c>
      <c r="G603" s="7" t="s">
        <v>3896</v>
      </c>
      <c r="H603" s="14" t="s">
        <v>3896</v>
      </c>
      <c r="K603" s="1" t="s">
        <v>1648</v>
      </c>
      <c r="L603" s="39" t="s">
        <v>1704</v>
      </c>
    </row>
    <row r="604" spans="1:12" ht="54" customHeight="1">
      <c r="A604" s="1">
        <v>209</v>
      </c>
      <c r="B604" s="1" t="s">
        <v>3897</v>
      </c>
      <c r="C604" s="1" t="s">
        <v>3898</v>
      </c>
      <c r="D604" s="1" t="s">
        <v>3794</v>
      </c>
      <c r="E604" s="1" t="s">
        <v>1653</v>
      </c>
      <c r="F604" s="1" t="s">
        <v>3899</v>
      </c>
      <c r="G604" s="7" t="s">
        <v>3900</v>
      </c>
      <c r="H604" s="14" t="s">
        <v>3900</v>
      </c>
      <c r="I604" s="10"/>
      <c r="K604" s="1" t="s">
        <v>1648</v>
      </c>
      <c r="L604" s="39" t="s">
        <v>1704</v>
      </c>
    </row>
    <row r="605" spans="1:12" ht="54" customHeight="1">
      <c r="A605" s="1">
        <v>213</v>
      </c>
      <c r="B605" s="1" t="s">
        <v>3901</v>
      </c>
      <c r="C605" s="1" t="s">
        <v>3902</v>
      </c>
      <c r="D605" s="1" t="s">
        <v>3794</v>
      </c>
      <c r="E605" s="1" t="s">
        <v>1653</v>
      </c>
      <c r="F605" s="1" t="s">
        <v>3903</v>
      </c>
      <c r="G605" s="7" t="s">
        <v>3904</v>
      </c>
      <c r="H605" s="14" t="s">
        <v>3904</v>
      </c>
      <c r="I605" s="10"/>
      <c r="K605" s="1" t="s">
        <v>1648</v>
      </c>
      <c r="L605" s="39" t="s">
        <v>1704</v>
      </c>
    </row>
    <row r="606" spans="1:12" ht="54" customHeight="1">
      <c r="A606" s="1">
        <v>667</v>
      </c>
      <c r="B606" s="1" t="s">
        <v>3905</v>
      </c>
      <c r="C606" s="1" t="s">
        <v>3906</v>
      </c>
      <c r="D606" s="1" t="s">
        <v>3794</v>
      </c>
      <c r="E606" s="1" t="s">
        <v>1653</v>
      </c>
      <c r="F606" s="1" t="s">
        <v>3907</v>
      </c>
      <c r="G606" s="7" t="s">
        <v>3908</v>
      </c>
      <c r="H606" s="14" t="s">
        <v>3908</v>
      </c>
      <c r="I606" s="10"/>
    </row>
    <row r="607" spans="1:12" ht="54" customHeight="1">
      <c r="A607" s="1">
        <v>223</v>
      </c>
      <c r="B607" s="1" t="s">
        <v>3909</v>
      </c>
      <c r="C607" s="1" t="s">
        <v>3910</v>
      </c>
      <c r="D607" s="1" t="s">
        <v>3794</v>
      </c>
      <c r="E607" s="1" t="s">
        <v>1653</v>
      </c>
      <c r="F607" s="1" t="s">
        <v>3911</v>
      </c>
      <c r="G607" s="7" t="s">
        <v>3912</v>
      </c>
      <c r="H607" s="14" t="s">
        <v>3912</v>
      </c>
      <c r="K607" s="1" t="s">
        <v>1648</v>
      </c>
      <c r="L607" s="39" t="s">
        <v>1704</v>
      </c>
    </row>
    <row r="608" spans="1:12" ht="54" customHeight="1">
      <c r="A608" s="1">
        <v>670</v>
      </c>
      <c r="B608" s="1" t="s">
        <v>3913</v>
      </c>
      <c r="C608" s="1" t="s">
        <v>3914</v>
      </c>
      <c r="D608" s="1" t="s">
        <v>3794</v>
      </c>
      <c r="E608" s="1" t="s">
        <v>1653</v>
      </c>
      <c r="F608" s="1" t="s">
        <v>3915</v>
      </c>
      <c r="G608" s="6" t="s">
        <v>3916</v>
      </c>
      <c r="J608" s="1" t="s">
        <v>3917</v>
      </c>
      <c r="K608" s="1" t="s">
        <v>1648</v>
      </c>
      <c r="L608" s="39" t="s">
        <v>1704</v>
      </c>
    </row>
    <row r="609" spans="1:12" ht="54" customHeight="1">
      <c r="A609" s="1">
        <v>234</v>
      </c>
      <c r="B609" s="1" t="s">
        <v>3918</v>
      </c>
      <c r="C609" s="1" t="s">
        <v>3919</v>
      </c>
      <c r="D609" s="1" t="s">
        <v>3794</v>
      </c>
      <c r="E609" s="1" t="s">
        <v>1653</v>
      </c>
      <c r="F609" s="1" t="s">
        <v>3920</v>
      </c>
      <c r="G609" s="7" t="s">
        <v>3921</v>
      </c>
      <c r="H609" s="14" t="s">
        <v>3921</v>
      </c>
      <c r="I609" s="10"/>
      <c r="K609" s="1" t="s">
        <v>1648</v>
      </c>
      <c r="L609" s="39" t="s">
        <v>1704</v>
      </c>
    </row>
    <row r="610" spans="1:12" ht="54" customHeight="1">
      <c r="A610" s="1">
        <v>239</v>
      </c>
      <c r="B610" s="1" t="s">
        <v>3922</v>
      </c>
      <c r="C610" s="1" t="s">
        <v>3923</v>
      </c>
      <c r="D610" s="1" t="s">
        <v>3794</v>
      </c>
      <c r="E610" s="1" t="s">
        <v>1653</v>
      </c>
      <c r="F610" s="1" t="s">
        <v>3924</v>
      </c>
      <c r="G610" s="7" t="s">
        <v>3925</v>
      </c>
      <c r="H610" s="14" t="s">
        <v>3925</v>
      </c>
      <c r="I610" s="10"/>
      <c r="K610" s="1" t="s">
        <v>1648</v>
      </c>
      <c r="L610" s="39" t="s">
        <v>1704</v>
      </c>
    </row>
    <row r="611" spans="1:12" ht="54" customHeight="1">
      <c r="A611" s="1">
        <v>248</v>
      </c>
      <c r="B611" s="1" t="s">
        <v>3926</v>
      </c>
      <c r="C611" s="1" t="s">
        <v>3927</v>
      </c>
      <c r="D611" s="1" t="s">
        <v>3794</v>
      </c>
      <c r="E611" s="1" t="s">
        <v>1653</v>
      </c>
      <c r="F611" s="1" t="s">
        <v>3928</v>
      </c>
      <c r="G611" s="7" t="s">
        <v>3929</v>
      </c>
      <c r="H611" s="14" t="s">
        <v>3929</v>
      </c>
      <c r="I611" s="10"/>
      <c r="K611" s="1" t="s">
        <v>1648</v>
      </c>
      <c r="L611" s="39" t="s">
        <v>1704</v>
      </c>
    </row>
    <row r="612" spans="1:12" ht="54" customHeight="1">
      <c r="A612" s="1">
        <v>308</v>
      </c>
      <c r="B612" s="1" t="s">
        <v>3930</v>
      </c>
      <c r="C612" s="1" t="s">
        <v>3931</v>
      </c>
      <c r="D612" s="1" t="s">
        <v>3794</v>
      </c>
      <c r="E612" s="1" t="s">
        <v>1653</v>
      </c>
      <c r="F612" s="1" t="s">
        <v>3932</v>
      </c>
      <c r="G612" s="7" t="s">
        <v>3933</v>
      </c>
      <c r="H612" s="14" t="s">
        <v>3933</v>
      </c>
      <c r="I612" s="25"/>
      <c r="K612" s="1" t="s">
        <v>1648</v>
      </c>
      <c r="L612" s="39" t="s">
        <v>1704</v>
      </c>
    </row>
    <row r="613" spans="1:12" ht="54" customHeight="1">
      <c r="A613" s="1">
        <v>309</v>
      </c>
      <c r="B613" s="1" t="s">
        <v>3934</v>
      </c>
      <c r="C613" s="1" t="s">
        <v>3935</v>
      </c>
      <c r="D613" s="1" t="s">
        <v>3794</v>
      </c>
      <c r="E613" s="1" t="s">
        <v>1653</v>
      </c>
      <c r="F613" s="1" t="s">
        <v>3936</v>
      </c>
      <c r="G613" s="7" t="s">
        <v>3937</v>
      </c>
      <c r="H613" s="14" t="s">
        <v>3937</v>
      </c>
      <c r="I613" s="25"/>
      <c r="K613" s="1" t="s">
        <v>1648</v>
      </c>
      <c r="L613" s="39" t="s">
        <v>1704</v>
      </c>
    </row>
    <row r="614" spans="1:12" ht="54" customHeight="1">
      <c r="A614" s="1">
        <v>318</v>
      </c>
      <c r="B614" s="1" t="s">
        <v>3938</v>
      </c>
      <c r="C614" s="1" t="s">
        <v>3939</v>
      </c>
      <c r="D614" s="1" t="s">
        <v>3794</v>
      </c>
      <c r="E614" s="1" t="s">
        <v>1653</v>
      </c>
      <c r="F614" s="1" t="s">
        <v>3940</v>
      </c>
      <c r="G614" s="7" t="s">
        <v>3941</v>
      </c>
      <c r="H614" s="14" t="s">
        <v>3941</v>
      </c>
      <c r="I614" s="25"/>
      <c r="K614" s="1" t="s">
        <v>1648</v>
      </c>
      <c r="L614" s="39" t="s">
        <v>1704</v>
      </c>
    </row>
    <row r="615" spans="1:12" ht="54" customHeight="1">
      <c r="A615" s="1">
        <v>694</v>
      </c>
      <c r="B615" s="1" t="s">
        <v>3942</v>
      </c>
      <c r="C615" s="1" t="s">
        <v>3943</v>
      </c>
      <c r="D615" s="1" t="s">
        <v>3794</v>
      </c>
      <c r="E615" s="1" t="s">
        <v>1653</v>
      </c>
      <c r="F615" s="1" t="s">
        <v>3944</v>
      </c>
      <c r="G615" s="7" t="s">
        <v>3945</v>
      </c>
      <c r="H615" s="14" t="s">
        <v>3945</v>
      </c>
      <c r="I615" s="25"/>
      <c r="K615" s="1" t="s">
        <v>1648</v>
      </c>
      <c r="L615" s="39" t="s">
        <v>1704</v>
      </c>
    </row>
    <row r="616" spans="1:12" ht="54" customHeight="1">
      <c r="A616" s="1">
        <v>371</v>
      </c>
      <c r="B616" s="1" t="s">
        <v>3946</v>
      </c>
      <c r="C616" s="1" t="s">
        <v>3947</v>
      </c>
      <c r="D616" s="1" t="s">
        <v>3794</v>
      </c>
      <c r="E616" s="1" t="s">
        <v>1653</v>
      </c>
      <c r="F616" s="1" t="s">
        <v>3948</v>
      </c>
      <c r="G616" s="7" t="s">
        <v>3949</v>
      </c>
      <c r="H616" s="14" t="s">
        <v>3949</v>
      </c>
      <c r="I616" s="14"/>
      <c r="K616" s="1" t="s">
        <v>1648</v>
      </c>
      <c r="L616" s="39" t="s">
        <v>1704</v>
      </c>
    </row>
    <row r="617" spans="1:12" ht="54" customHeight="1">
      <c r="A617" s="1">
        <v>696</v>
      </c>
      <c r="B617" s="1" t="s">
        <v>3950</v>
      </c>
      <c r="C617" s="1" t="s">
        <v>3951</v>
      </c>
      <c r="D617" s="1" t="s">
        <v>3794</v>
      </c>
      <c r="E617" s="1" t="s">
        <v>1653</v>
      </c>
      <c r="F617" s="1" t="s">
        <v>3952</v>
      </c>
      <c r="G617" s="7" t="s">
        <v>3953</v>
      </c>
      <c r="H617" s="14" t="s">
        <v>3953</v>
      </c>
      <c r="I617" s="25"/>
    </row>
    <row r="618" spans="1:12" ht="54" customHeight="1">
      <c r="A618" s="1">
        <v>395</v>
      </c>
      <c r="B618" s="1" t="s">
        <v>3954</v>
      </c>
      <c r="C618" s="1" t="s">
        <v>3955</v>
      </c>
      <c r="D618" s="1" t="s">
        <v>3794</v>
      </c>
      <c r="E618" s="1" t="s">
        <v>1653</v>
      </c>
      <c r="F618" s="1" t="s">
        <v>3956</v>
      </c>
      <c r="G618" s="7" t="s">
        <v>3957</v>
      </c>
      <c r="H618" s="14" t="s">
        <v>3957</v>
      </c>
      <c r="I618" s="25"/>
      <c r="K618" s="1" t="s">
        <v>1648</v>
      </c>
      <c r="L618" s="39" t="s">
        <v>1704</v>
      </c>
    </row>
    <row r="619" spans="1:12" ht="54" customHeight="1">
      <c r="A619" s="1">
        <v>699</v>
      </c>
      <c r="B619" s="1" t="s">
        <v>3958</v>
      </c>
      <c r="C619" s="1" t="s">
        <v>3959</v>
      </c>
      <c r="D619" s="1" t="s">
        <v>3794</v>
      </c>
      <c r="E619" s="1" t="s">
        <v>1653</v>
      </c>
      <c r="F619" s="1" t="s">
        <v>3960</v>
      </c>
      <c r="G619" s="7" t="s">
        <v>3961</v>
      </c>
      <c r="H619" s="14" t="s">
        <v>3961</v>
      </c>
      <c r="I619" s="25"/>
      <c r="K619" s="1" t="s">
        <v>1648</v>
      </c>
      <c r="L619" s="39" t="s">
        <v>1704</v>
      </c>
    </row>
    <row r="620" spans="1:12" ht="54" customHeight="1">
      <c r="A620" s="1">
        <v>701</v>
      </c>
      <c r="B620" s="1" t="s">
        <v>3962</v>
      </c>
      <c r="C620" s="1" t="s">
        <v>3963</v>
      </c>
      <c r="D620" s="1" t="s">
        <v>3794</v>
      </c>
      <c r="E620" s="1" t="s">
        <v>1653</v>
      </c>
      <c r="F620" s="1" t="s">
        <v>3964</v>
      </c>
      <c r="G620" s="7" t="s">
        <v>3965</v>
      </c>
      <c r="H620" s="14" t="s">
        <v>3965</v>
      </c>
      <c r="I620" s="25"/>
      <c r="K620" s="1" t="s">
        <v>1648</v>
      </c>
      <c r="L620" s="39" t="s">
        <v>1704</v>
      </c>
    </row>
    <row r="621" spans="1:12" ht="54" customHeight="1">
      <c r="A621" s="1">
        <v>710</v>
      </c>
      <c r="B621" s="1" t="s">
        <v>3966</v>
      </c>
      <c r="C621" s="1" t="s">
        <v>3967</v>
      </c>
      <c r="D621" s="1" t="s">
        <v>3794</v>
      </c>
      <c r="E621" s="1" t="s">
        <v>1653</v>
      </c>
      <c r="F621" s="1" t="s">
        <v>3968</v>
      </c>
      <c r="G621" s="7" t="s">
        <v>3969</v>
      </c>
      <c r="H621" s="14" t="s">
        <v>3969</v>
      </c>
      <c r="I621" s="25"/>
      <c r="K621" s="1" t="s">
        <v>1648</v>
      </c>
      <c r="L621" s="39" t="s">
        <v>1704</v>
      </c>
    </row>
    <row r="622" spans="1:12" ht="54" customHeight="1">
      <c r="A622" s="1">
        <v>724</v>
      </c>
      <c r="B622" s="1" t="s">
        <v>3970</v>
      </c>
      <c r="C622" s="1" t="s">
        <v>3971</v>
      </c>
      <c r="D622" s="1" t="s">
        <v>3794</v>
      </c>
      <c r="E622" s="1" t="s">
        <v>1653</v>
      </c>
      <c r="F622" s="1" t="s">
        <v>3972</v>
      </c>
      <c r="G622" s="7" t="s">
        <v>3973</v>
      </c>
      <c r="H622" s="14" t="s">
        <v>3973</v>
      </c>
      <c r="I622" s="25"/>
      <c r="K622" s="1" t="s">
        <v>1648</v>
      </c>
      <c r="L622" s="39" t="s">
        <v>1704</v>
      </c>
    </row>
    <row r="623" spans="1:12" ht="54" customHeight="1">
      <c r="A623" s="1">
        <v>412</v>
      </c>
      <c r="B623" s="1" t="s">
        <v>3974</v>
      </c>
      <c r="C623" s="1" t="s">
        <v>3975</v>
      </c>
      <c r="D623" s="1" t="s">
        <v>3794</v>
      </c>
      <c r="E623" s="1" t="s">
        <v>1653</v>
      </c>
      <c r="F623" s="1" t="s">
        <v>3976</v>
      </c>
      <c r="G623" s="7" t="s">
        <v>3977</v>
      </c>
      <c r="H623" s="14" t="s">
        <v>3977</v>
      </c>
      <c r="I623" s="25"/>
      <c r="K623" s="1" t="s">
        <v>1648</v>
      </c>
      <c r="L623" s="39" t="s">
        <v>1704</v>
      </c>
    </row>
    <row r="624" spans="1:12" ht="54" customHeight="1">
      <c r="A624" s="1">
        <v>433</v>
      </c>
      <c r="B624" s="1" t="s">
        <v>3978</v>
      </c>
      <c r="C624" s="1" t="s">
        <v>3979</v>
      </c>
      <c r="D624" s="1" t="s">
        <v>3794</v>
      </c>
      <c r="E624" s="1" t="s">
        <v>1653</v>
      </c>
      <c r="F624" s="1" t="s">
        <v>3980</v>
      </c>
      <c r="G624" s="7" t="s">
        <v>3981</v>
      </c>
      <c r="H624" s="7" t="s">
        <v>3981</v>
      </c>
      <c r="K624" s="1" t="s">
        <v>1648</v>
      </c>
      <c r="L624" s="39" t="s">
        <v>1704</v>
      </c>
    </row>
    <row r="625" spans="1:12" ht="54" customHeight="1">
      <c r="A625" s="1">
        <v>454</v>
      </c>
      <c r="B625" s="1" t="s">
        <v>3982</v>
      </c>
      <c r="C625" s="1" t="s">
        <v>3983</v>
      </c>
      <c r="D625" s="1" t="s">
        <v>3794</v>
      </c>
      <c r="E625" s="1" t="s">
        <v>1653</v>
      </c>
      <c r="F625" s="1" t="s">
        <v>3984</v>
      </c>
      <c r="G625" s="7" t="s">
        <v>3985</v>
      </c>
      <c r="H625" s="14" t="s">
        <v>3985</v>
      </c>
      <c r="I625" s="14"/>
      <c r="K625" s="1" t="s">
        <v>1648</v>
      </c>
      <c r="L625" s="39" t="s">
        <v>1704</v>
      </c>
    </row>
    <row r="626" spans="1:12" ht="54" customHeight="1">
      <c r="A626" s="1">
        <v>787</v>
      </c>
      <c r="B626" s="1" t="s">
        <v>3986</v>
      </c>
      <c r="C626" s="1" t="s">
        <v>3987</v>
      </c>
      <c r="D626" s="1" t="s">
        <v>3794</v>
      </c>
      <c r="E626" s="1" t="s">
        <v>1653</v>
      </c>
      <c r="F626" s="1" t="s">
        <v>3988</v>
      </c>
      <c r="G626" s="7" t="s">
        <v>3989</v>
      </c>
      <c r="H626" s="14" t="s">
        <v>3989</v>
      </c>
      <c r="I626" s="14"/>
      <c r="K626" s="1" t="s">
        <v>1648</v>
      </c>
      <c r="L626" s="39" t="s">
        <v>1704</v>
      </c>
    </row>
    <row r="627" spans="1:12" ht="54" customHeight="1">
      <c r="A627" s="1">
        <v>457</v>
      </c>
      <c r="B627" s="1" t="s">
        <v>3990</v>
      </c>
      <c r="C627" s="1" t="s">
        <v>3991</v>
      </c>
      <c r="D627" s="1" t="s">
        <v>3794</v>
      </c>
      <c r="E627" s="1" t="s">
        <v>1653</v>
      </c>
      <c r="F627" s="1" t="s">
        <v>3992</v>
      </c>
      <c r="G627" s="7" t="s">
        <v>3993</v>
      </c>
      <c r="H627" s="14" t="s">
        <v>3993</v>
      </c>
      <c r="I627" s="14"/>
      <c r="K627" s="1" t="s">
        <v>1648</v>
      </c>
      <c r="L627" s="39" t="s">
        <v>1704</v>
      </c>
    </row>
    <row r="628" spans="1:12" ht="54" customHeight="1">
      <c r="A628" s="1">
        <v>459</v>
      </c>
      <c r="B628" s="1" t="s">
        <v>3994</v>
      </c>
      <c r="C628" s="1" t="s">
        <v>3995</v>
      </c>
      <c r="D628" s="1" t="s">
        <v>3794</v>
      </c>
      <c r="E628" s="1" t="s">
        <v>1653</v>
      </c>
      <c r="F628" s="1" t="s">
        <v>3996</v>
      </c>
      <c r="G628" s="7" t="s">
        <v>3997</v>
      </c>
      <c r="H628" s="14" t="s">
        <v>3997</v>
      </c>
      <c r="I628" s="14"/>
      <c r="K628" s="1" t="s">
        <v>1648</v>
      </c>
      <c r="L628" s="39" t="s">
        <v>1704</v>
      </c>
    </row>
    <row r="629" spans="1:12" ht="54" customHeight="1">
      <c r="A629" s="1">
        <v>460</v>
      </c>
      <c r="B629" s="1" t="s">
        <v>3998</v>
      </c>
      <c r="C629" s="1" t="s">
        <v>3999</v>
      </c>
      <c r="D629" s="1" t="s">
        <v>3794</v>
      </c>
      <c r="E629" s="1" t="s">
        <v>1653</v>
      </c>
      <c r="F629" s="1" t="s">
        <v>4000</v>
      </c>
      <c r="G629" s="6"/>
      <c r="K629" s="1" t="s">
        <v>4001</v>
      </c>
      <c r="L629" s="39" t="s">
        <v>2646</v>
      </c>
    </row>
    <row r="630" spans="1:12" ht="54" customHeight="1">
      <c r="A630" s="1">
        <v>795</v>
      </c>
      <c r="B630" s="1" t="s">
        <v>4002</v>
      </c>
      <c r="C630" s="1" t="s">
        <v>4003</v>
      </c>
      <c r="D630" s="1" t="s">
        <v>3794</v>
      </c>
      <c r="E630" s="1" t="s">
        <v>1653</v>
      </c>
      <c r="F630" s="1" t="s">
        <v>4004</v>
      </c>
      <c r="G630" s="7" t="s">
        <v>4005</v>
      </c>
      <c r="H630" s="14" t="s">
        <v>4005</v>
      </c>
      <c r="I630" s="14"/>
      <c r="K630" s="1" t="s">
        <v>1648</v>
      </c>
      <c r="L630" s="39" t="s">
        <v>1704</v>
      </c>
    </row>
    <row r="631" spans="1:12" ht="54" customHeight="1">
      <c r="A631" s="1">
        <v>797</v>
      </c>
      <c r="B631" s="1" t="s">
        <v>4006</v>
      </c>
      <c r="C631" s="1" t="s">
        <v>4007</v>
      </c>
      <c r="D631" s="1" t="s">
        <v>3794</v>
      </c>
      <c r="E631" s="1" t="s">
        <v>1653</v>
      </c>
      <c r="F631" s="1" t="s">
        <v>4008</v>
      </c>
      <c r="G631" s="7" t="s">
        <v>4009</v>
      </c>
      <c r="H631" s="14" t="s">
        <v>4009</v>
      </c>
      <c r="I631" s="14"/>
      <c r="K631" s="1" t="s">
        <v>1648</v>
      </c>
      <c r="L631" s="39" t="s">
        <v>1704</v>
      </c>
    </row>
    <row r="632" spans="1:12" ht="54" customHeight="1">
      <c r="A632" s="1">
        <v>822</v>
      </c>
      <c r="B632" s="1" t="s">
        <v>4010</v>
      </c>
      <c r="C632" s="1" t="s">
        <v>4011</v>
      </c>
      <c r="D632" s="1" t="s">
        <v>3794</v>
      </c>
      <c r="E632" s="1" t="s">
        <v>1653</v>
      </c>
      <c r="F632" s="1" t="s">
        <v>4012</v>
      </c>
      <c r="G632" s="7" t="s">
        <v>4013</v>
      </c>
      <c r="H632" s="14" t="s">
        <v>4013</v>
      </c>
      <c r="I632" s="14"/>
      <c r="K632" s="1" t="s">
        <v>1648</v>
      </c>
      <c r="L632" s="39" t="s">
        <v>1704</v>
      </c>
    </row>
    <row r="633" spans="1:12" ht="54" customHeight="1">
      <c r="A633" s="1">
        <v>498</v>
      </c>
      <c r="B633" s="1" t="s">
        <v>4014</v>
      </c>
      <c r="C633" s="1" t="s">
        <v>4015</v>
      </c>
      <c r="D633" s="1" t="s">
        <v>3794</v>
      </c>
      <c r="E633" s="1" t="s">
        <v>1653</v>
      </c>
      <c r="F633" s="1" t="s">
        <v>4016</v>
      </c>
      <c r="G633" s="7" t="s">
        <v>4017</v>
      </c>
      <c r="H633" s="14" t="s">
        <v>4017</v>
      </c>
      <c r="I633" s="10"/>
      <c r="K633" s="1" t="s">
        <v>1648</v>
      </c>
      <c r="L633" s="39" t="s">
        <v>1704</v>
      </c>
    </row>
    <row r="634" spans="1:12" ht="54" customHeight="1">
      <c r="A634" s="1">
        <v>827</v>
      </c>
      <c r="B634" s="1" t="s">
        <v>4018</v>
      </c>
      <c r="C634" s="1" t="s">
        <v>4019</v>
      </c>
      <c r="D634" s="1" t="s">
        <v>3794</v>
      </c>
      <c r="E634" s="1" t="s">
        <v>1653</v>
      </c>
      <c r="F634" s="1" t="s">
        <v>4020</v>
      </c>
      <c r="G634" s="7" t="s">
        <v>4021</v>
      </c>
      <c r="H634" s="14" t="s">
        <v>4021</v>
      </c>
      <c r="I634" s="10"/>
      <c r="K634" s="1" t="s">
        <v>1648</v>
      </c>
      <c r="L634" s="39" t="s">
        <v>1704</v>
      </c>
    </row>
    <row r="635" spans="1:12" ht="54" customHeight="1">
      <c r="A635" s="1">
        <v>503</v>
      </c>
      <c r="B635" s="1" t="s">
        <v>4022</v>
      </c>
      <c r="C635" s="1" t="s">
        <v>4023</v>
      </c>
      <c r="D635" s="1" t="s">
        <v>3794</v>
      </c>
      <c r="E635" s="1" t="s">
        <v>1653</v>
      </c>
      <c r="F635" s="1" t="s">
        <v>4024</v>
      </c>
      <c r="G635" s="7" t="s">
        <v>4025</v>
      </c>
      <c r="H635" s="14" t="s">
        <v>4025</v>
      </c>
      <c r="I635" s="10" t="s">
        <v>20</v>
      </c>
      <c r="K635" s="1" t="s">
        <v>1648</v>
      </c>
      <c r="L635" s="39" t="s">
        <v>1704</v>
      </c>
    </row>
    <row r="636" spans="1:12" ht="54" customHeight="1">
      <c r="A636" s="1">
        <v>850</v>
      </c>
      <c r="B636" s="1" t="s">
        <v>4026</v>
      </c>
      <c r="C636" s="1" t="s">
        <v>4027</v>
      </c>
      <c r="D636" s="1" t="s">
        <v>3794</v>
      </c>
      <c r="E636" s="1" t="s">
        <v>1653</v>
      </c>
      <c r="F636" s="1" t="s">
        <v>4028</v>
      </c>
      <c r="G636" s="7" t="s">
        <v>4029</v>
      </c>
      <c r="H636" s="14" t="s">
        <v>4029</v>
      </c>
      <c r="I636" s="10" t="s">
        <v>20</v>
      </c>
      <c r="K636" s="1" t="s">
        <v>1648</v>
      </c>
      <c r="L636" s="39" t="s">
        <v>1704</v>
      </c>
    </row>
    <row r="637" spans="1:12" ht="54" customHeight="1">
      <c r="A637" s="1">
        <v>860</v>
      </c>
      <c r="B637" s="1" t="s">
        <v>4030</v>
      </c>
      <c r="C637" s="1" t="s">
        <v>4031</v>
      </c>
      <c r="D637" s="1" t="s">
        <v>3794</v>
      </c>
      <c r="E637" s="1" t="s">
        <v>1653</v>
      </c>
      <c r="F637" s="1" t="s">
        <v>4032</v>
      </c>
      <c r="G637" s="7" t="s">
        <v>4033</v>
      </c>
      <c r="H637" s="14" t="s">
        <v>4033</v>
      </c>
      <c r="I637" s="10" t="s">
        <v>20</v>
      </c>
      <c r="K637" s="1" t="s">
        <v>1648</v>
      </c>
      <c r="L637" s="39" t="s">
        <v>1704</v>
      </c>
    </row>
    <row r="638" spans="1:12" ht="54" customHeight="1">
      <c r="A638" s="1">
        <v>392</v>
      </c>
      <c r="B638" s="1" t="s">
        <v>4034</v>
      </c>
      <c r="C638" s="1" t="s">
        <v>4035</v>
      </c>
      <c r="D638" s="1" t="s">
        <v>3794</v>
      </c>
      <c r="E638" s="1" t="s">
        <v>1710</v>
      </c>
      <c r="F638" s="1" t="s">
        <v>4036</v>
      </c>
      <c r="G638" s="7" t="s">
        <v>4037</v>
      </c>
      <c r="H638" s="14" t="s">
        <v>4037</v>
      </c>
      <c r="I638" s="25"/>
      <c r="K638" s="1" t="s">
        <v>1648</v>
      </c>
      <c r="L638" s="39" t="s">
        <v>1704</v>
      </c>
    </row>
    <row r="639" spans="1:12" ht="54" customHeight="1">
      <c r="A639" s="1">
        <v>47</v>
      </c>
      <c r="B639" s="1" t="s">
        <v>4038</v>
      </c>
      <c r="C639" s="1" t="s">
        <v>4039</v>
      </c>
      <c r="D639" s="1" t="s">
        <v>3794</v>
      </c>
      <c r="E639" s="1" t="s">
        <v>2003</v>
      </c>
      <c r="F639" s="1" t="s">
        <v>4040</v>
      </c>
      <c r="G639" s="7" t="s">
        <v>4041</v>
      </c>
      <c r="H639" s="14" t="s">
        <v>4041</v>
      </c>
      <c r="I639" s="25"/>
      <c r="K639" s="1" t="s">
        <v>1648</v>
      </c>
      <c r="L639" s="39" t="s">
        <v>1704</v>
      </c>
    </row>
    <row r="640" spans="1:12" ht="54" customHeight="1">
      <c r="A640" s="1">
        <v>49</v>
      </c>
      <c r="B640" s="1" t="s">
        <v>4042</v>
      </c>
      <c r="C640" s="1" t="s">
        <v>4043</v>
      </c>
      <c r="D640" s="1" t="s">
        <v>3794</v>
      </c>
      <c r="E640" s="1" t="s">
        <v>2003</v>
      </c>
      <c r="F640" s="1" t="s">
        <v>4044</v>
      </c>
      <c r="G640" s="7" t="s">
        <v>4045</v>
      </c>
      <c r="H640" s="14" t="s">
        <v>4045</v>
      </c>
      <c r="I640" s="25"/>
      <c r="K640" s="1" t="s">
        <v>1648</v>
      </c>
      <c r="L640" s="39" t="s">
        <v>1704</v>
      </c>
    </row>
    <row r="641" spans="1:12" ht="54" customHeight="1">
      <c r="A641" s="1">
        <v>51</v>
      </c>
      <c r="B641" s="1" t="s">
        <v>4046</v>
      </c>
      <c r="C641" s="1" t="s">
        <v>4047</v>
      </c>
      <c r="D641" s="1" t="s">
        <v>3794</v>
      </c>
      <c r="E641" s="1" t="s">
        <v>2003</v>
      </c>
      <c r="F641" s="1" t="s">
        <v>4048</v>
      </c>
      <c r="G641" s="7" t="s">
        <v>4049</v>
      </c>
      <c r="H641" s="14" t="s">
        <v>4049</v>
      </c>
      <c r="I641" s="25"/>
      <c r="K641" s="1" t="s">
        <v>1648</v>
      </c>
      <c r="L641" s="39" t="s">
        <v>1704</v>
      </c>
    </row>
    <row r="642" spans="1:12" ht="54" customHeight="1">
      <c r="A642" s="1">
        <v>54</v>
      </c>
      <c r="B642" s="1" t="s">
        <v>4050</v>
      </c>
      <c r="C642" s="1" t="s">
        <v>4051</v>
      </c>
      <c r="D642" s="1" t="s">
        <v>3794</v>
      </c>
      <c r="E642" s="1" t="s">
        <v>2003</v>
      </c>
      <c r="F642" s="1" t="s">
        <v>4052</v>
      </c>
      <c r="G642" s="7" t="s">
        <v>4053</v>
      </c>
      <c r="H642" s="22" t="s">
        <v>4053</v>
      </c>
      <c r="I642" s="22"/>
      <c r="K642" s="1" t="s">
        <v>1648</v>
      </c>
      <c r="L642" s="39" t="s">
        <v>1704</v>
      </c>
    </row>
    <row r="643" spans="1:12" ht="54" customHeight="1">
      <c r="A643" s="1">
        <v>273</v>
      </c>
      <c r="B643" s="1" t="s">
        <v>4054</v>
      </c>
      <c r="C643" s="1" t="s">
        <v>4055</v>
      </c>
      <c r="D643" s="1" t="s">
        <v>3794</v>
      </c>
      <c r="E643" s="1" t="s">
        <v>2003</v>
      </c>
      <c r="F643" s="1" t="s">
        <v>4056</v>
      </c>
      <c r="G643" s="7" t="s">
        <v>4057</v>
      </c>
      <c r="H643" s="14" t="s">
        <v>4057</v>
      </c>
      <c r="K643" s="1" t="s">
        <v>1648</v>
      </c>
      <c r="L643" s="39" t="s">
        <v>1704</v>
      </c>
    </row>
    <row r="644" spans="1:12" ht="54" customHeight="1">
      <c r="A644" s="1">
        <v>297</v>
      </c>
      <c r="B644" s="1" t="s">
        <v>4058</v>
      </c>
      <c r="C644" s="1" t="s">
        <v>4059</v>
      </c>
      <c r="D644" s="1" t="s">
        <v>3794</v>
      </c>
      <c r="E644" s="1" t="s">
        <v>2003</v>
      </c>
      <c r="F644" s="1" t="s">
        <v>4060</v>
      </c>
      <c r="G644" s="6"/>
      <c r="J644" s="1" t="s">
        <v>4061</v>
      </c>
      <c r="K644" s="1" t="s">
        <v>1648</v>
      </c>
      <c r="L644" s="39" t="s">
        <v>1704</v>
      </c>
    </row>
    <row r="645" spans="1:12" ht="54" customHeight="1">
      <c r="A645" s="1">
        <v>504</v>
      </c>
      <c r="B645" s="1" t="s">
        <v>4062</v>
      </c>
      <c r="C645" s="1" t="s">
        <v>4063</v>
      </c>
      <c r="D645" s="1" t="s">
        <v>3794</v>
      </c>
      <c r="E645" s="1" t="s">
        <v>2003</v>
      </c>
      <c r="F645" s="1" t="s">
        <v>4064</v>
      </c>
      <c r="G645" s="7" t="s">
        <v>4065</v>
      </c>
      <c r="H645" s="14" t="s">
        <v>4065</v>
      </c>
    </row>
    <row r="646" spans="1:12" ht="54" customHeight="1">
      <c r="A646" s="1">
        <v>508</v>
      </c>
      <c r="B646" s="1" t="s">
        <v>4066</v>
      </c>
      <c r="C646" s="1" t="s">
        <v>4067</v>
      </c>
      <c r="D646" s="1" t="s">
        <v>3794</v>
      </c>
      <c r="E646" s="1" t="s">
        <v>2003</v>
      </c>
      <c r="F646" s="1" t="s">
        <v>4068</v>
      </c>
      <c r="G646" s="7" t="s">
        <v>4069</v>
      </c>
      <c r="H646" s="14" t="s">
        <v>4069</v>
      </c>
      <c r="I646" s="10"/>
      <c r="K646" s="1" t="s">
        <v>1648</v>
      </c>
      <c r="L646" s="39" t="s">
        <v>1704</v>
      </c>
    </row>
    <row r="647" spans="1:12" ht="54" customHeight="1">
      <c r="A647" s="1">
        <v>517</v>
      </c>
      <c r="B647" s="1" t="s">
        <v>4070</v>
      </c>
      <c r="C647" s="1" t="s">
        <v>4071</v>
      </c>
      <c r="D647" s="1" t="s">
        <v>3794</v>
      </c>
      <c r="E647" s="1" t="s">
        <v>2003</v>
      </c>
      <c r="F647" s="1" t="s">
        <v>4072</v>
      </c>
      <c r="G647" s="7" t="s">
        <v>4073</v>
      </c>
      <c r="H647" s="14" t="s">
        <v>4073</v>
      </c>
      <c r="I647" s="10"/>
      <c r="K647" s="1" t="s">
        <v>1648</v>
      </c>
      <c r="L647" s="39" t="s">
        <v>1704</v>
      </c>
    </row>
    <row r="648" spans="1:12" ht="54" customHeight="1">
      <c r="A648" s="1">
        <v>410</v>
      </c>
      <c r="B648" s="1" t="s">
        <v>4074</v>
      </c>
      <c r="C648" s="1" t="s">
        <v>4075</v>
      </c>
      <c r="D648" s="1" t="s">
        <v>3794</v>
      </c>
      <c r="E648" s="1" t="s">
        <v>4076</v>
      </c>
      <c r="F648" s="1" t="s">
        <v>4077</v>
      </c>
      <c r="G648" s="7" t="s">
        <v>4078</v>
      </c>
      <c r="H648" s="14" t="s">
        <v>4078</v>
      </c>
      <c r="I648" s="25"/>
      <c r="K648" s="1" t="s">
        <v>1648</v>
      </c>
      <c r="L648" s="39" t="s">
        <v>1704</v>
      </c>
    </row>
    <row r="649" spans="1:12" ht="54" customHeight="1">
      <c r="A649" s="1">
        <v>49727</v>
      </c>
      <c r="B649" s="1" t="s">
        <v>4079</v>
      </c>
      <c r="C649" s="1" t="s">
        <v>4080</v>
      </c>
      <c r="D649" s="1" t="s">
        <v>3794</v>
      </c>
      <c r="E649" s="1" t="s">
        <v>1657</v>
      </c>
      <c r="F649" s="1" t="s">
        <v>4081</v>
      </c>
      <c r="G649" s="7" t="s">
        <v>15</v>
      </c>
      <c r="H649" s="22" t="s">
        <v>15</v>
      </c>
      <c r="I649" s="22" t="s">
        <v>20</v>
      </c>
      <c r="J649" s="1" t="s">
        <v>4082</v>
      </c>
    </row>
    <row r="650" spans="1:12" ht="54" customHeight="1">
      <c r="A650" s="1">
        <v>183</v>
      </c>
      <c r="B650" s="1" t="s">
        <v>4083</v>
      </c>
      <c r="C650" s="1" t="s">
        <v>4084</v>
      </c>
      <c r="D650" s="1" t="s">
        <v>3794</v>
      </c>
      <c r="E650" s="1" t="s">
        <v>1657</v>
      </c>
      <c r="F650" s="1" t="s">
        <v>4085</v>
      </c>
      <c r="G650" s="7" t="s">
        <v>36</v>
      </c>
      <c r="H650" s="14" t="s">
        <v>36</v>
      </c>
      <c r="I650" s="25" t="s">
        <v>20</v>
      </c>
      <c r="K650" s="1" t="s">
        <v>2137</v>
      </c>
      <c r="L650" s="39" t="s">
        <v>4086</v>
      </c>
    </row>
    <row r="651" spans="1:12" ht="54" customHeight="1">
      <c r="A651" s="1">
        <v>76204</v>
      </c>
      <c r="B651" s="1" t="s">
        <v>4087</v>
      </c>
      <c r="C651" s="1" t="s">
        <v>4088</v>
      </c>
      <c r="D651" s="1" t="s">
        <v>3794</v>
      </c>
      <c r="E651" s="1" t="s">
        <v>4089</v>
      </c>
      <c r="F651" s="1" t="s">
        <v>4090</v>
      </c>
      <c r="G651" s="6"/>
    </row>
    <row r="652" spans="1:12" ht="54" customHeight="1">
      <c r="A652" s="1">
        <v>626</v>
      </c>
      <c r="B652" s="1" t="s">
        <v>4091</v>
      </c>
      <c r="C652" s="1" t="s">
        <v>4092</v>
      </c>
      <c r="D652" s="1" t="s">
        <v>3794</v>
      </c>
      <c r="E652" s="1" t="s">
        <v>1673</v>
      </c>
      <c r="F652" s="1" t="s">
        <v>4093</v>
      </c>
      <c r="G652" s="6"/>
    </row>
    <row r="653" spans="1:12" ht="54" customHeight="1">
      <c r="A653" s="1">
        <v>801</v>
      </c>
      <c r="B653" s="1" t="s">
        <v>4094</v>
      </c>
      <c r="C653" s="1" t="s">
        <v>4095</v>
      </c>
      <c r="D653" s="1" t="s">
        <v>3794</v>
      </c>
      <c r="E653" s="1" t="s">
        <v>1673</v>
      </c>
      <c r="F653" s="1" t="s">
        <v>4096</v>
      </c>
      <c r="G653" s="6"/>
    </row>
    <row r="654" spans="1:12" ht="54" customHeight="1">
      <c r="A654" s="1">
        <v>558</v>
      </c>
      <c r="B654" s="1" t="s">
        <v>4097</v>
      </c>
      <c r="C654" s="1" t="s">
        <v>4098</v>
      </c>
      <c r="D654" s="1" t="s">
        <v>3794</v>
      </c>
      <c r="E654" s="1" t="s">
        <v>1753</v>
      </c>
      <c r="F654" s="1" t="s">
        <v>4099</v>
      </c>
      <c r="G654" s="7" t="s">
        <v>4100</v>
      </c>
      <c r="H654" s="14" t="s">
        <v>4100</v>
      </c>
      <c r="I654" s="14"/>
      <c r="J654" s="1" t="s">
        <v>1703</v>
      </c>
      <c r="K654" s="1" t="s">
        <v>1756</v>
      </c>
      <c r="L654" s="39" t="s">
        <v>1757</v>
      </c>
    </row>
    <row r="655" spans="1:12" ht="54" customHeight="1">
      <c r="A655" s="1">
        <v>215</v>
      </c>
      <c r="B655" s="1" t="s">
        <v>4101</v>
      </c>
      <c r="C655" s="1" t="s">
        <v>4102</v>
      </c>
      <c r="D655" s="1" t="s">
        <v>3794</v>
      </c>
      <c r="E655" s="1" t="s">
        <v>1753</v>
      </c>
      <c r="F655" s="1" t="s">
        <v>4103</v>
      </c>
      <c r="G655" s="7" t="s">
        <v>4104</v>
      </c>
      <c r="H655" s="22" t="s">
        <v>4105</v>
      </c>
      <c r="K655" s="1" t="s">
        <v>1756</v>
      </c>
      <c r="L655" s="39" t="s">
        <v>1757</v>
      </c>
    </row>
    <row r="656" spans="1:12" ht="54" customHeight="1">
      <c r="A656" s="1">
        <v>68755</v>
      </c>
      <c r="B656" s="1" t="s">
        <v>4106</v>
      </c>
      <c r="C656" s="1" t="s">
        <v>4107</v>
      </c>
      <c r="D656" s="1" t="s">
        <v>3794</v>
      </c>
      <c r="E656" s="1" t="s">
        <v>1753</v>
      </c>
      <c r="F656" s="1" t="s">
        <v>4108</v>
      </c>
      <c r="G656" s="7" t="s">
        <v>30</v>
      </c>
      <c r="J656" s="1" t="s">
        <v>4109</v>
      </c>
      <c r="K656" s="1" t="s">
        <v>1756</v>
      </c>
      <c r="L656" s="39" t="s">
        <v>1757</v>
      </c>
    </row>
    <row r="657" spans="1:12" ht="54" customHeight="1">
      <c r="A657" s="1">
        <v>81305</v>
      </c>
      <c r="B657" s="1" t="s">
        <v>4110</v>
      </c>
      <c r="C657" s="1" t="s">
        <v>4111</v>
      </c>
      <c r="D657" s="1" t="s">
        <v>3794</v>
      </c>
      <c r="E657" s="1" t="s">
        <v>1680</v>
      </c>
      <c r="F657" s="1" t="s">
        <v>4112</v>
      </c>
      <c r="G657" s="7" t="s">
        <v>25</v>
      </c>
      <c r="H657" s="14" t="s">
        <v>25</v>
      </c>
      <c r="I657" s="25" t="s">
        <v>20</v>
      </c>
      <c r="J657" s="1" t="s">
        <v>4113</v>
      </c>
      <c r="K657" s="1" t="s">
        <v>1682</v>
      </c>
      <c r="L657" s="39" t="s">
        <v>1683</v>
      </c>
    </row>
    <row r="658" spans="1:12" ht="54" customHeight="1">
      <c r="A658" s="1">
        <v>197</v>
      </c>
      <c r="B658" s="1" t="s">
        <v>4114</v>
      </c>
      <c r="C658" s="1" t="s">
        <v>4115</v>
      </c>
      <c r="D658" s="1" t="s">
        <v>3794</v>
      </c>
      <c r="E658" s="1" t="s">
        <v>1680</v>
      </c>
      <c r="F658" s="1" t="s">
        <v>4116</v>
      </c>
      <c r="G658" s="7" t="s">
        <v>25</v>
      </c>
      <c r="H658" s="22" t="s">
        <v>25</v>
      </c>
      <c r="I658" s="22" t="s">
        <v>20</v>
      </c>
      <c r="J658" s="1" t="s">
        <v>4117</v>
      </c>
      <c r="K658" s="1" t="s">
        <v>1682</v>
      </c>
      <c r="L658" s="39" t="s">
        <v>1683</v>
      </c>
    </row>
    <row r="659" spans="1:12" ht="54" customHeight="1">
      <c r="A659" s="1">
        <v>509</v>
      </c>
      <c r="B659" s="1" t="s">
        <v>4118</v>
      </c>
      <c r="C659" s="1" t="s">
        <v>4119</v>
      </c>
      <c r="D659" s="1" t="s">
        <v>3794</v>
      </c>
      <c r="E659" s="1" t="s">
        <v>1680</v>
      </c>
      <c r="F659" s="1" t="s">
        <v>4120</v>
      </c>
      <c r="G659" s="7" t="s">
        <v>25</v>
      </c>
      <c r="H659" s="7" t="s">
        <v>25</v>
      </c>
      <c r="J659" s="1" t="s">
        <v>4121</v>
      </c>
      <c r="K659" s="1" t="s">
        <v>1682</v>
      </c>
      <c r="L659" s="39" t="s">
        <v>1683</v>
      </c>
    </row>
    <row r="660" spans="1:12" ht="54" customHeight="1">
      <c r="A660" s="1">
        <v>39458</v>
      </c>
      <c r="B660" s="1" t="s">
        <v>4122</v>
      </c>
      <c r="C660" s="1" t="s">
        <v>4123</v>
      </c>
      <c r="D660" s="1" t="s">
        <v>4124</v>
      </c>
      <c r="E660" s="1" t="s">
        <v>4125</v>
      </c>
      <c r="F660" s="1" t="s">
        <v>4126</v>
      </c>
      <c r="G660" s="6"/>
    </row>
    <row r="661" spans="1:12" ht="54" customHeight="1">
      <c r="A661" s="1">
        <v>39460</v>
      </c>
      <c r="B661" s="1" t="s">
        <v>4127</v>
      </c>
      <c r="C661" s="1" t="s">
        <v>4128</v>
      </c>
      <c r="D661" s="1" t="s">
        <v>4124</v>
      </c>
      <c r="E661" s="1" t="s">
        <v>4125</v>
      </c>
      <c r="F661" s="1" t="s">
        <v>4129</v>
      </c>
      <c r="G661" s="6"/>
    </row>
    <row r="662" spans="1:12" ht="54" customHeight="1">
      <c r="A662" s="1">
        <v>39459</v>
      </c>
      <c r="B662" s="1" t="s">
        <v>4130</v>
      </c>
      <c r="C662" s="1" t="s">
        <v>4131</v>
      </c>
      <c r="D662" s="1" t="s">
        <v>4124</v>
      </c>
      <c r="E662" s="1" t="s">
        <v>4125</v>
      </c>
      <c r="F662" s="1" t="s">
        <v>4132</v>
      </c>
      <c r="G662" s="6"/>
    </row>
    <row r="663" spans="1:12" ht="54" customHeight="1">
      <c r="A663" s="1">
        <v>39136</v>
      </c>
      <c r="B663" s="1" t="s">
        <v>4133</v>
      </c>
      <c r="C663" s="1" t="s">
        <v>4134</v>
      </c>
      <c r="D663" s="1" t="s">
        <v>4124</v>
      </c>
      <c r="F663" s="1" t="s">
        <v>4135</v>
      </c>
      <c r="G663" s="7" t="s">
        <v>4136</v>
      </c>
      <c r="H663" s="14" t="s">
        <v>4136</v>
      </c>
      <c r="I663" s="10" t="s">
        <v>20</v>
      </c>
    </row>
    <row r="664" spans="1:12" ht="54" customHeight="1">
      <c r="A664" s="1">
        <v>804</v>
      </c>
      <c r="B664" s="1" t="s">
        <v>4137</v>
      </c>
      <c r="C664" s="1" t="s">
        <v>4138</v>
      </c>
      <c r="D664" s="1" t="s">
        <v>4139</v>
      </c>
      <c r="E664" s="1" t="s">
        <v>2068</v>
      </c>
      <c r="F664" s="1" t="s">
        <v>4140</v>
      </c>
      <c r="G664" s="7" t="s">
        <v>15</v>
      </c>
      <c r="J664" s="1" t="s">
        <v>4141</v>
      </c>
    </row>
    <row r="665" spans="1:12" ht="54" customHeight="1">
      <c r="A665" s="1">
        <v>657</v>
      </c>
      <c r="B665" s="1" t="s">
        <v>4142</v>
      </c>
      <c r="C665" s="1" t="s">
        <v>4143</v>
      </c>
      <c r="D665" s="1" t="s">
        <v>4144</v>
      </c>
      <c r="E665" s="1" t="s">
        <v>1646</v>
      </c>
      <c r="F665" s="1" t="s">
        <v>4145</v>
      </c>
      <c r="G665" s="7" t="s">
        <v>22</v>
      </c>
      <c r="H665" s="14" t="s">
        <v>22</v>
      </c>
      <c r="I665" s="25" t="s">
        <v>20</v>
      </c>
      <c r="K665" s="1" t="s">
        <v>1648</v>
      </c>
      <c r="L665" s="1" t="s">
        <v>1649</v>
      </c>
    </row>
    <row r="666" spans="1:12" ht="54" customHeight="1">
      <c r="A666" s="1">
        <v>661</v>
      </c>
      <c r="B666" s="1" t="s">
        <v>4146</v>
      </c>
      <c r="C666" s="1" t="s">
        <v>4147</v>
      </c>
      <c r="D666" s="1" t="s">
        <v>4144</v>
      </c>
      <c r="E666" s="1" t="s">
        <v>1646</v>
      </c>
      <c r="F666" s="1" t="s">
        <v>4148</v>
      </c>
      <c r="G666" s="7" t="s">
        <v>22</v>
      </c>
      <c r="H666" s="14" t="s">
        <v>22</v>
      </c>
      <c r="I666" s="25" t="s">
        <v>20</v>
      </c>
      <c r="K666" s="1" t="s">
        <v>1648</v>
      </c>
      <c r="L666" s="1" t="s">
        <v>1649</v>
      </c>
    </row>
    <row r="667" spans="1:12" ht="54" customHeight="1">
      <c r="A667" s="1">
        <v>750</v>
      </c>
      <c r="B667" s="1" t="s">
        <v>4149</v>
      </c>
      <c r="C667" s="1" t="s">
        <v>4150</v>
      </c>
      <c r="D667" s="1" t="s">
        <v>4144</v>
      </c>
      <c r="E667" s="1" t="s">
        <v>1646</v>
      </c>
      <c r="F667" s="1" t="s">
        <v>4151</v>
      </c>
      <c r="G667" s="29" t="s">
        <v>223</v>
      </c>
      <c r="H667" s="14" t="s">
        <v>223</v>
      </c>
      <c r="I667" s="25" t="s">
        <v>20</v>
      </c>
    </row>
    <row r="668" spans="1:12" ht="54" customHeight="1">
      <c r="A668" s="1">
        <v>765</v>
      </c>
      <c r="B668" s="1" t="s">
        <v>4152</v>
      </c>
      <c r="C668" s="1" t="s">
        <v>4153</v>
      </c>
      <c r="D668" s="1" t="s">
        <v>4144</v>
      </c>
      <c r="E668" s="1" t="s">
        <v>1646</v>
      </c>
      <c r="F668" s="1" t="s">
        <v>4154</v>
      </c>
      <c r="G668" s="7" t="s">
        <v>22</v>
      </c>
      <c r="H668" s="14" t="s">
        <v>22</v>
      </c>
      <c r="I668" s="10" t="s">
        <v>20</v>
      </c>
    </row>
    <row r="669" spans="1:12" ht="54" customHeight="1">
      <c r="A669" s="1">
        <v>788</v>
      </c>
      <c r="B669" s="1" t="s">
        <v>4155</v>
      </c>
      <c r="C669" s="1" t="s">
        <v>4156</v>
      </c>
      <c r="D669" s="1" t="s">
        <v>4144</v>
      </c>
      <c r="E669" s="1" t="s">
        <v>1646</v>
      </c>
      <c r="F669" s="1" t="s">
        <v>4157</v>
      </c>
      <c r="G669" s="7" t="s">
        <v>22</v>
      </c>
      <c r="H669" s="14" t="s">
        <v>22</v>
      </c>
      <c r="K669" s="1" t="s">
        <v>1648</v>
      </c>
      <c r="L669" s="1" t="s">
        <v>1649</v>
      </c>
    </row>
    <row r="670" spans="1:12" ht="54" customHeight="1">
      <c r="A670" s="1">
        <v>855</v>
      </c>
      <c r="B670" s="1" t="s">
        <v>4158</v>
      </c>
      <c r="C670" s="1" t="s">
        <v>4159</v>
      </c>
      <c r="D670" s="1" t="s">
        <v>4160</v>
      </c>
      <c r="E670" s="1" t="s">
        <v>1653</v>
      </c>
      <c r="F670" s="1" t="s">
        <v>4161</v>
      </c>
      <c r="G670" s="6"/>
    </row>
    <row r="671" spans="1:12" ht="54" customHeight="1">
      <c r="A671" s="1">
        <v>254</v>
      </c>
      <c r="B671" s="1" t="s">
        <v>4162</v>
      </c>
      <c r="C671" s="1" t="s">
        <v>4163</v>
      </c>
      <c r="D671" s="1" t="s">
        <v>4160</v>
      </c>
      <c r="E671" s="1" t="s">
        <v>1673</v>
      </c>
      <c r="F671" s="1" t="s">
        <v>4164</v>
      </c>
      <c r="G671" s="6" t="s">
        <v>4165</v>
      </c>
    </row>
    <row r="672" spans="1:12" ht="54" customHeight="1">
      <c r="A672" s="1">
        <v>456</v>
      </c>
      <c r="B672" s="1" t="s">
        <v>4166</v>
      </c>
      <c r="C672" s="1" t="s">
        <v>4167</v>
      </c>
      <c r="D672" s="1" t="s">
        <v>4160</v>
      </c>
      <c r="E672" s="1" t="s">
        <v>1680</v>
      </c>
      <c r="F672" s="1" t="s">
        <v>4168</v>
      </c>
      <c r="G672" s="8" t="s">
        <v>4169</v>
      </c>
      <c r="H672" s="14" t="s">
        <v>4169</v>
      </c>
      <c r="I672" s="13"/>
      <c r="K672" s="40" t="s">
        <v>2505</v>
      </c>
      <c r="L672" s="41" t="s">
        <v>4170</v>
      </c>
    </row>
    <row r="673" spans="1:12" ht="54" customHeight="1">
      <c r="A673" s="1">
        <v>587</v>
      </c>
      <c r="B673" s="1" t="s">
        <v>4171</v>
      </c>
      <c r="C673" s="1" t="s">
        <v>4172</v>
      </c>
      <c r="D673" s="1" t="s">
        <v>4173</v>
      </c>
      <c r="E673" s="1" t="s">
        <v>2068</v>
      </c>
      <c r="F673" s="1" t="s">
        <v>4174</v>
      </c>
      <c r="G673" s="7" t="s">
        <v>15</v>
      </c>
      <c r="H673" s="7" t="s">
        <v>15</v>
      </c>
      <c r="I673" s="7" t="s">
        <v>20</v>
      </c>
      <c r="J673" s="1" t="s">
        <v>1703</v>
      </c>
      <c r="K673" s="1" t="s">
        <v>1648</v>
      </c>
      <c r="L673" s="39" t="s">
        <v>1659</v>
      </c>
    </row>
    <row r="674" spans="1:12" ht="54" customHeight="1">
      <c r="A674" s="1">
        <v>76387</v>
      </c>
      <c r="B674" s="1" t="s">
        <v>4175</v>
      </c>
      <c r="C674" s="1" t="s">
        <v>4176</v>
      </c>
      <c r="D674" s="1" t="s">
        <v>4173</v>
      </c>
      <c r="E674" s="1" t="s">
        <v>4089</v>
      </c>
      <c r="F674" s="1" t="s">
        <v>4177</v>
      </c>
      <c r="G674" s="6"/>
    </row>
    <row r="675" spans="1:12" ht="54" customHeight="1">
      <c r="A675" s="1">
        <v>749</v>
      </c>
      <c r="B675" s="1" t="s">
        <v>4178</v>
      </c>
      <c r="C675" s="1" t="s">
        <v>4179</v>
      </c>
      <c r="D675" s="1" t="s">
        <v>4173</v>
      </c>
      <c r="E675" s="1" t="s">
        <v>1680</v>
      </c>
      <c r="F675" s="1" t="s">
        <v>4180</v>
      </c>
      <c r="G675" s="7" t="s">
        <v>25</v>
      </c>
      <c r="H675" s="14" t="s">
        <v>25</v>
      </c>
      <c r="I675" s="25" t="s">
        <v>20</v>
      </c>
      <c r="K675" s="1" t="s">
        <v>1682</v>
      </c>
      <c r="L675" s="39" t="s">
        <v>1683</v>
      </c>
    </row>
    <row r="676" spans="1:12" ht="54" customHeight="1">
      <c r="A676" s="1">
        <v>586</v>
      </c>
      <c r="B676" s="1" t="s">
        <v>1604</v>
      </c>
      <c r="C676" s="1" t="s">
        <v>4181</v>
      </c>
      <c r="D676" s="1" t="s">
        <v>4182</v>
      </c>
      <c r="E676" s="1" t="s">
        <v>1653</v>
      </c>
      <c r="F676" s="1" t="s">
        <v>4183</v>
      </c>
      <c r="G676" s="7" t="s">
        <v>92</v>
      </c>
      <c r="H676" s="14" t="s">
        <v>92</v>
      </c>
      <c r="I676" s="14" t="s">
        <v>20</v>
      </c>
      <c r="J676" s="1" t="s">
        <v>1703</v>
      </c>
      <c r="K676" s="1" t="s">
        <v>2087</v>
      </c>
      <c r="L676" s="39" t="s">
        <v>2171</v>
      </c>
    </row>
    <row r="677" spans="1:12" ht="54" customHeight="1">
      <c r="A677" s="1">
        <v>26</v>
      </c>
      <c r="B677" s="1" t="s">
        <v>4184</v>
      </c>
      <c r="C677" s="1" t="s">
        <v>4185</v>
      </c>
      <c r="D677" s="1" t="s">
        <v>4182</v>
      </c>
      <c r="E677" s="1" t="s">
        <v>1653</v>
      </c>
      <c r="F677" s="1" t="s">
        <v>4186</v>
      </c>
      <c r="G677" s="7" t="s">
        <v>3306</v>
      </c>
      <c r="H677" s="14" t="s">
        <v>3306</v>
      </c>
      <c r="I677" s="25"/>
    </row>
    <row r="678" spans="1:12" ht="54" customHeight="1">
      <c r="A678" s="1">
        <v>660</v>
      </c>
      <c r="B678" s="1" t="s">
        <v>4187</v>
      </c>
      <c r="C678" s="1" t="s">
        <v>4188</v>
      </c>
      <c r="D678" s="1" t="s">
        <v>4182</v>
      </c>
      <c r="E678" s="1" t="s">
        <v>1653</v>
      </c>
      <c r="F678" s="1" t="s">
        <v>4189</v>
      </c>
      <c r="G678" s="7" t="s">
        <v>4190</v>
      </c>
      <c r="H678" s="14" t="s">
        <v>4190</v>
      </c>
      <c r="K678" s="1" t="s">
        <v>1648</v>
      </c>
      <c r="L678" s="39" t="s">
        <v>1704</v>
      </c>
    </row>
    <row r="679" spans="1:12" ht="54" customHeight="1">
      <c r="A679" s="1">
        <v>706</v>
      </c>
      <c r="B679" s="1" t="s">
        <v>4191</v>
      </c>
      <c r="C679" s="1" t="s">
        <v>4192</v>
      </c>
      <c r="D679" s="1" t="s">
        <v>4182</v>
      </c>
      <c r="E679" s="1" t="s">
        <v>1653</v>
      </c>
      <c r="F679" s="1" t="s">
        <v>4193</v>
      </c>
      <c r="G679" s="6"/>
      <c r="K679" s="1" t="s">
        <v>1648</v>
      </c>
      <c r="L679" s="39" t="s">
        <v>1704</v>
      </c>
    </row>
    <row r="680" spans="1:12" ht="54" customHeight="1">
      <c r="A680" s="1">
        <v>730</v>
      </c>
      <c r="B680" s="1" t="s">
        <v>4194</v>
      </c>
      <c r="C680" s="1" t="s">
        <v>4195</v>
      </c>
      <c r="D680" s="1" t="s">
        <v>4182</v>
      </c>
      <c r="E680" s="1" t="s">
        <v>1653</v>
      </c>
      <c r="F680" s="1" t="s">
        <v>4196</v>
      </c>
      <c r="G680" s="7" t="s">
        <v>4197</v>
      </c>
      <c r="H680" s="14" t="s">
        <v>4197</v>
      </c>
      <c r="I680" s="25"/>
      <c r="K680" s="1" t="s">
        <v>1648</v>
      </c>
      <c r="L680" s="39" t="s">
        <v>1704</v>
      </c>
    </row>
    <row r="681" spans="1:12" ht="54" customHeight="1">
      <c r="A681" s="1">
        <v>845</v>
      </c>
      <c r="B681" s="1" t="s">
        <v>4198</v>
      </c>
      <c r="C681" s="1" t="s">
        <v>4199</v>
      </c>
      <c r="D681" s="1" t="s">
        <v>4182</v>
      </c>
      <c r="E681" s="1" t="s">
        <v>1653</v>
      </c>
      <c r="F681" s="1" t="s">
        <v>4200</v>
      </c>
      <c r="G681" s="7" t="s">
        <v>64</v>
      </c>
      <c r="H681" s="14" t="s">
        <v>64</v>
      </c>
      <c r="I681" s="10" t="s">
        <v>20</v>
      </c>
      <c r="K681" s="1" t="s">
        <v>1648</v>
      </c>
      <c r="L681" s="39" t="s">
        <v>1704</v>
      </c>
    </row>
    <row r="682" spans="1:12" ht="54" customHeight="1">
      <c r="A682" s="1">
        <v>847</v>
      </c>
      <c r="B682" s="1" t="s">
        <v>4201</v>
      </c>
      <c r="C682" s="9" t="s">
        <v>4202</v>
      </c>
      <c r="D682" s="1" t="s">
        <v>4182</v>
      </c>
      <c r="E682" s="1" t="s">
        <v>1653</v>
      </c>
      <c r="F682" s="1" t="s">
        <v>4203</v>
      </c>
      <c r="G682" s="6"/>
      <c r="K682" s="1" t="s">
        <v>1648</v>
      </c>
      <c r="L682" s="39" t="s">
        <v>1704</v>
      </c>
    </row>
    <row r="683" spans="1:12" ht="54" customHeight="1">
      <c r="A683" s="1">
        <v>853</v>
      </c>
      <c r="B683" s="1" t="s">
        <v>2003</v>
      </c>
      <c r="C683" s="1" t="s">
        <v>4204</v>
      </c>
      <c r="D683" s="1" t="s">
        <v>4182</v>
      </c>
      <c r="E683" s="1" t="s">
        <v>1653</v>
      </c>
      <c r="F683" s="1" t="s">
        <v>4205</v>
      </c>
      <c r="G683" s="6"/>
    </row>
    <row r="684" spans="1:12" ht="54" customHeight="1">
      <c r="A684" s="1">
        <v>863</v>
      </c>
      <c r="B684" s="1" t="s">
        <v>4206</v>
      </c>
      <c r="C684" s="1" t="s">
        <v>4207</v>
      </c>
      <c r="D684" s="1" t="s">
        <v>4182</v>
      </c>
      <c r="E684" s="1" t="s">
        <v>1653</v>
      </c>
      <c r="F684" s="1" t="s">
        <v>4208</v>
      </c>
      <c r="G684" s="6" t="s">
        <v>3163</v>
      </c>
      <c r="J684" s="1" t="s">
        <v>4209</v>
      </c>
      <c r="K684" s="1" t="s">
        <v>1648</v>
      </c>
      <c r="L684" s="39" t="s">
        <v>1704</v>
      </c>
    </row>
    <row r="685" spans="1:12" ht="54" customHeight="1">
      <c r="A685" s="1">
        <v>39139</v>
      </c>
      <c r="B685" s="1" t="s">
        <v>4210</v>
      </c>
      <c r="C685" s="1" t="s">
        <v>4211</v>
      </c>
      <c r="D685" s="1" t="s">
        <v>4182</v>
      </c>
      <c r="E685" s="1" t="s">
        <v>1710</v>
      </c>
      <c r="F685" s="1" t="s">
        <v>4212</v>
      </c>
      <c r="G685" s="6" t="s">
        <v>2476</v>
      </c>
      <c r="K685" s="1" t="s">
        <v>1648</v>
      </c>
      <c r="L685" s="39" t="s">
        <v>1704</v>
      </c>
    </row>
    <row r="686" spans="1:12" ht="54" customHeight="1">
      <c r="A686" s="1">
        <v>39131</v>
      </c>
      <c r="B686" s="1" t="s">
        <v>4213</v>
      </c>
      <c r="C686" s="1" t="s">
        <v>4214</v>
      </c>
      <c r="D686" s="1" t="s">
        <v>4182</v>
      </c>
      <c r="E686" s="1" t="s">
        <v>1710</v>
      </c>
      <c r="F686" s="1" t="s">
        <v>4215</v>
      </c>
      <c r="G686" s="6" t="s">
        <v>2741</v>
      </c>
      <c r="J686" s="1" t="s">
        <v>4216</v>
      </c>
      <c r="K686" s="1" t="s">
        <v>1648</v>
      </c>
      <c r="L686" s="39" t="s">
        <v>1704</v>
      </c>
    </row>
    <row r="687" spans="1:12" ht="54" customHeight="1">
      <c r="A687" s="1">
        <v>62792</v>
      </c>
      <c r="B687" s="1" t="s">
        <v>4217</v>
      </c>
      <c r="C687" s="1" t="s">
        <v>4218</v>
      </c>
      <c r="D687" s="1" t="s">
        <v>4182</v>
      </c>
      <c r="E687" s="1" t="s">
        <v>1710</v>
      </c>
      <c r="F687" s="1" t="s">
        <v>4219</v>
      </c>
      <c r="G687" s="6"/>
    </row>
    <row r="688" spans="1:12" ht="54" customHeight="1">
      <c r="A688" s="1">
        <v>62791</v>
      </c>
      <c r="B688" s="1" t="s">
        <v>4220</v>
      </c>
      <c r="C688" s="1" t="s">
        <v>4221</v>
      </c>
      <c r="D688" s="1" t="s">
        <v>4182</v>
      </c>
      <c r="E688" s="1" t="s">
        <v>1710</v>
      </c>
      <c r="F688" s="1" t="s">
        <v>4222</v>
      </c>
      <c r="G688" s="6"/>
    </row>
    <row r="689" spans="1:12" ht="54" customHeight="1">
      <c r="A689" s="1">
        <v>39137</v>
      </c>
      <c r="B689" s="1" t="s">
        <v>4223</v>
      </c>
      <c r="C689" s="1" t="s">
        <v>4224</v>
      </c>
      <c r="D689" s="1" t="s">
        <v>4182</v>
      </c>
      <c r="E689" s="1" t="s">
        <v>1710</v>
      </c>
      <c r="F689" s="1" t="s">
        <v>4225</v>
      </c>
      <c r="G689" s="7" t="s">
        <v>2933</v>
      </c>
      <c r="H689" s="14" t="s">
        <v>2933</v>
      </c>
      <c r="I689" s="10"/>
    </row>
    <row r="690" spans="1:12" ht="54" customHeight="1">
      <c r="A690" s="1">
        <v>62787</v>
      </c>
      <c r="B690" s="1" t="s">
        <v>4226</v>
      </c>
      <c r="C690" s="1" t="s">
        <v>4227</v>
      </c>
      <c r="D690" s="1" t="s">
        <v>4182</v>
      </c>
      <c r="E690" s="1" t="s">
        <v>4228</v>
      </c>
      <c r="F690" s="1" t="s">
        <v>4229</v>
      </c>
      <c r="G690" s="6"/>
    </row>
    <row r="691" spans="1:12" ht="54" customHeight="1">
      <c r="A691" s="1">
        <v>87183</v>
      </c>
      <c r="B691" s="1" t="s">
        <v>4230</v>
      </c>
      <c r="C691" s="1" t="s">
        <v>4231</v>
      </c>
      <c r="D691" s="1" t="s">
        <v>4182</v>
      </c>
      <c r="E691" s="1" t="s">
        <v>2003</v>
      </c>
      <c r="F691" s="1" t="s">
        <v>4232</v>
      </c>
      <c r="G691" s="7" t="s">
        <v>2588</v>
      </c>
      <c r="H691" s="14" t="s">
        <v>2588</v>
      </c>
      <c r="I691" s="25" t="s">
        <v>20</v>
      </c>
      <c r="K691" s="1" t="s">
        <v>1648</v>
      </c>
      <c r="L691" s="39" t="s">
        <v>1704</v>
      </c>
    </row>
    <row r="692" spans="1:12" ht="54" customHeight="1">
      <c r="A692" s="1">
        <v>50866</v>
      </c>
      <c r="B692" s="1" t="s">
        <v>4233</v>
      </c>
      <c r="C692" s="1" t="s">
        <v>4234</v>
      </c>
      <c r="D692" s="1" t="s">
        <v>4182</v>
      </c>
      <c r="E692" s="1" t="s">
        <v>1646</v>
      </c>
      <c r="F692" s="1" t="s">
        <v>4235</v>
      </c>
      <c r="G692" s="6"/>
    </row>
    <row r="693" spans="1:12" ht="54" customHeight="1">
      <c r="A693" s="1">
        <v>62</v>
      </c>
      <c r="B693" s="1" t="s">
        <v>4236</v>
      </c>
      <c r="C693" s="1" t="s">
        <v>4237</v>
      </c>
      <c r="D693" s="1" t="s">
        <v>4182</v>
      </c>
      <c r="E693" s="1" t="s">
        <v>1646</v>
      </c>
      <c r="F693" s="1" t="s">
        <v>4238</v>
      </c>
      <c r="G693" s="7" t="s">
        <v>22</v>
      </c>
      <c r="H693" s="14" t="s">
        <v>22</v>
      </c>
      <c r="I693" s="25" t="s">
        <v>20</v>
      </c>
    </row>
    <row r="694" spans="1:12" ht="54" customHeight="1">
      <c r="A694" s="1">
        <v>241</v>
      </c>
      <c r="B694" s="1" t="s">
        <v>4239</v>
      </c>
      <c r="C694" s="1" t="s">
        <v>4240</v>
      </c>
      <c r="D694" s="1" t="s">
        <v>4182</v>
      </c>
      <c r="E694" s="1" t="s">
        <v>1646</v>
      </c>
      <c r="F694" s="1" t="s">
        <v>4241</v>
      </c>
      <c r="G694" s="8" t="s">
        <v>4242</v>
      </c>
      <c r="H694" s="7" t="s">
        <v>4242</v>
      </c>
      <c r="I694" s="7" t="s">
        <v>20</v>
      </c>
      <c r="K694" s="1" t="s">
        <v>1648</v>
      </c>
      <c r="L694" s="1" t="s">
        <v>1649</v>
      </c>
    </row>
    <row r="695" spans="1:12" ht="54" customHeight="1">
      <c r="A695" s="1">
        <v>83030</v>
      </c>
      <c r="B695" s="1" t="s">
        <v>4243</v>
      </c>
      <c r="C695" s="1" t="s">
        <v>4244</v>
      </c>
      <c r="D695" s="1" t="s">
        <v>4182</v>
      </c>
      <c r="E695" s="1" t="s">
        <v>1646</v>
      </c>
      <c r="F695" s="1" t="s">
        <v>4245</v>
      </c>
      <c r="G695" s="6"/>
    </row>
    <row r="696" spans="1:12" ht="54" customHeight="1">
      <c r="A696" s="1">
        <v>782</v>
      </c>
      <c r="B696" s="1" t="s">
        <v>4246</v>
      </c>
      <c r="C696" s="1" t="s">
        <v>4247</v>
      </c>
      <c r="D696" s="1" t="s">
        <v>4182</v>
      </c>
      <c r="E696" s="1" t="s">
        <v>1646</v>
      </c>
      <c r="F696" s="1" t="s">
        <v>4248</v>
      </c>
      <c r="G696" s="6"/>
    </row>
    <row r="697" spans="1:12" ht="54" customHeight="1">
      <c r="A697" s="1">
        <v>39143</v>
      </c>
      <c r="B697" s="1" t="s">
        <v>4249</v>
      </c>
      <c r="C697" s="1" t="s">
        <v>4250</v>
      </c>
      <c r="D697" s="1" t="s">
        <v>4182</v>
      </c>
      <c r="E697" s="1" t="s">
        <v>1646</v>
      </c>
      <c r="F697" s="1" t="s">
        <v>4248</v>
      </c>
      <c r="G697" s="6"/>
    </row>
    <row r="698" spans="1:12" ht="54" customHeight="1">
      <c r="A698" s="1">
        <v>39135</v>
      </c>
      <c r="B698" s="1" t="s">
        <v>4251</v>
      </c>
      <c r="C698" s="1" t="s">
        <v>4252</v>
      </c>
      <c r="D698" s="1" t="s">
        <v>4182</v>
      </c>
      <c r="E698" s="1" t="s">
        <v>1646</v>
      </c>
      <c r="F698" s="1" t="s">
        <v>4248</v>
      </c>
      <c r="G698" s="6"/>
    </row>
    <row r="699" spans="1:12" ht="54" customHeight="1">
      <c r="A699" s="1">
        <v>872</v>
      </c>
      <c r="B699" s="1" t="s">
        <v>4253</v>
      </c>
      <c r="C699" s="1" t="s">
        <v>4254</v>
      </c>
      <c r="D699" s="1" t="s">
        <v>4182</v>
      </c>
      <c r="E699" s="1" t="s">
        <v>4255</v>
      </c>
      <c r="F699" s="1" t="s">
        <v>4256</v>
      </c>
      <c r="G699" s="6" t="s">
        <v>4257</v>
      </c>
      <c r="J699" s="48" t="s">
        <v>4258</v>
      </c>
      <c r="K699" s="1" t="s">
        <v>1648</v>
      </c>
      <c r="L699" s="39" t="s">
        <v>1704</v>
      </c>
    </row>
    <row r="700" spans="1:12" ht="54" customHeight="1">
      <c r="A700" s="1">
        <v>25</v>
      </c>
      <c r="B700" s="1" t="s">
        <v>4259</v>
      </c>
      <c r="C700" s="1" t="s">
        <v>4260</v>
      </c>
      <c r="D700" s="1" t="s">
        <v>4182</v>
      </c>
      <c r="E700" s="1" t="s">
        <v>1657</v>
      </c>
      <c r="F700" s="1" t="s">
        <v>4261</v>
      </c>
      <c r="G700" s="7" t="s">
        <v>495</v>
      </c>
      <c r="H700" s="14" t="s">
        <v>495</v>
      </c>
      <c r="I700" s="25" t="s">
        <v>20</v>
      </c>
    </row>
    <row r="701" spans="1:12" ht="54" customHeight="1">
      <c r="A701" s="1">
        <v>40</v>
      </c>
      <c r="B701" s="1" t="s">
        <v>4262</v>
      </c>
      <c r="C701" s="1" t="s">
        <v>4263</v>
      </c>
      <c r="D701" s="1" t="s">
        <v>4182</v>
      </c>
      <c r="E701" s="1" t="s">
        <v>1657</v>
      </c>
      <c r="F701" s="1" t="s">
        <v>4264</v>
      </c>
      <c r="G701" s="6"/>
    </row>
    <row r="702" spans="1:12" ht="54" customHeight="1">
      <c r="A702" s="1">
        <v>73</v>
      </c>
      <c r="B702" s="1" t="s">
        <v>4265</v>
      </c>
      <c r="C702" s="1" t="s">
        <v>4266</v>
      </c>
      <c r="D702" s="1" t="s">
        <v>4182</v>
      </c>
      <c r="E702" s="1" t="s">
        <v>1657</v>
      </c>
      <c r="F702" s="1" t="s">
        <v>4267</v>
      </c>
      <c r="G702" s="29" t="s">
        <v>223</v>
      </c>
      <c r="H702" s="22" t="s">
        <v>223</v>
      </c>
      <c r="I702" s="22" t="s">
        <v>20</v>
      </c>
    </row>
    <row r="703" spans="1:12" ht="54" customHeight="1">
      <c r="A703" s="1">
        <v>49746</v>
      </c>
      <c r="B703" s="1" t="s">
        <v>4268</v>
      </c>
      <c r="C703" s="1" t="s">
        <v>4269</v>
      </c>
      <c r="D703" s="1" t="s">
        <v>4182</v>
      </c>
      <c r="E703" s="1" t="s">
        <v>1657</v>
      </c>
      <c r="F703" s="1" t="s">
        <v>4270</v>
      </c>
      <c r="G703" s="7" t="s">
        <v>15</v>
      </c>
      <c r="H703" s="14" t="s">
        <v>15</v>
      </c>
      <c r="I703" s="10" t="s">
        <v>20</v>
      </c>
    </row>
    <row r="704" spans="1:12" ht="54" customHeight="1">
      <c r="A704" s="1">
        <v>658</v>
      </c>
      <c r="B704" s="1" t="s">
        <v>4271</v>
      </c>
      <c r="C704" s="1" t="s">
        <v>4272</v>
      </c>
      <c r="D704" s="1" t="s">
        <v>4182</v>
      </c>
      <c r="E704" s="1" t="s">
        <v>1657</v>
      </c>
      <c r="F704" s="1" t="s">
        <v>4273</v>
      </c>
      <c r="G704" s="6"/>
    </row>
    <row r="705" spans="1:12" ht="54" customHeight="1">
      <c r="A705" s="1">
        <v>49777</v>
      </c>
      <c r="B705" s="1" t="s">
        <v>4274</v>
      </c>
      <c r="C705" s="1" t="s">
        <v>4275</v>
      </c>
      <c r="D705" s="1" t="s">
        <v>4182</v>
      </c>
      <c r="E705" s="1" t="s">
        <v>1657</v>
      </c>
      <c r="F705" s="1" t="s">
        <v>4276</v>
      </c>
      <c r="G705" s="6"/>
      <c r="K705" s="1" t="s">
        <v>1648</v>
      </c>
      <c r="L705" s="39" t="s">
        <v>1717</v>
      </c>
    </row>
    <row r="706" spans="1:12" ht="54" customHeight="1">
      <c r="A706" s="1">
        <v>748</v>
      </c>
      <c r="B706" s="1" t="s">
        <v>4277</v>
      </c>
      <c r="C706" s="1" t="s">
        <v>4278</v>
      </c>
      <c r="D706" s="1" t="s">
        <v>4182</v>
      </c>
      <c r="E706" s="1" t="s">
        <v>1657</v>
      </c>
      <c r="F706" s="1" t="s">
        <v>4279</v>
      </c>
      <c r="G706" s="29" t="s">
        <v>223</v>
      </c>
      <c r="H706" s="22" t="s">
        <v>223</v>
      </c>
      <c r="I706" s="22" t="s">
        <v>20</v>
      </c>
    </row>
    <row r="707" spans="1:12" ht="54" customHeight="1">
      <c r="A707" s="1">
        <v>756</v>
      </c>
      <c r="B707" s="1" t="s">
        <v>4280</v>
      </c>
      <c r="C707" s="1" t="s">
        <v>4281</v>
      </c>
      <c r="D707" s="1" t="s">
        <v>4182</v>
      </c>
      <c r="E707" s="1" t="s">
        <v>1657</v>
      </c>
      <c r="F707" s="1" t="s">
        <v>4282</v>
      </c>
      <c r="G707" s="6" t="s">
        <v>1755</v>
      </c>
      <c r="J707" s="1" t="s">
        <v>4283</v>
      </c>
    </row>
    <row r="708" spans="1:12" ht="54" customHeight="1">
      <c r="A708" s="1">
        <v>76450</v>
      </c>
      <c r="B708" s="1" t="s">
        <v>4284</v>
      </c>
      <c r="C708" s="1" t="s">
        <v>4285</v>
      </c>
      <c r="D708" s="1" t="s">
        <v>4182</v>
      </c>
      <c r="E708" s="1" t="s">
        <v>4089</v>
      </c>
      <c r="F708" s="1" t="s">
        <v>4286</v>
      </c>
      <c r="G708" s="7" t="s">
        <v>4287</v>
      </c>
      <c r="H708" s="14" t="s">
        <v>4287</v>
      </c>
      <c r="I708" s="10"/>
      <c r="J708" s="1" t="s">
        <v>4288</v>
      </c>
    </row>
    <row r="709" spans="1:12" ht="54" customHeight="1">
      <c r="A709" s="1">
        <v>34</v>
      </c>
      <c r="B709" s="1" t="s">
        <v>4289</v>
      </c>
      <c r="C709" s="1" t="s">
        <v>4290</v>
      </c>
      <c r="D709" s="1" t="s">
        <v>4182</v>
      </c>
      <c r="E709" s="1" t="s">
        <v>1666</v>
      </c>
      <c r="F709" s="1" t="s">
        <v>4291</v>
      </c>
      <c r="K709" s="1" t="s">
        <v>1669</v>
      </c>
      <c r="L709" s="39" t="s">
        <v>1670</v>
      </c>
    </row>
    <row r="710" spans="1:12" ht="54" customHeight="1">
      <c r="A710" s="1">
        <v>666</v>
      </c>
      <c r="B710" s="1" t="s">
        <v>4292</v>
      </c>
      <c r="C710" s="1" t="s">
        <v>4293</v>
      </c>
      <c r="D710" s="1" t="s">
        <v>4182</v>
      </c>
      <c r="E710" s="1" t="s">
        <v>1666</v>
      </c>
      <c r="F710" s="1" t="s">
        <v>4294</v>
      </c>
      <c r="G710" s="6"/>
      <c r="K710" s="1" t="s">
        <v>1669</v>
      </c>
      <c r="L710" s="39" t="s">
        <v>1670</v>
      </c>
    </row>
    <row r="711" spans="1:12" ht="54" customHeight="1">
      <c r="A711" s="1">
        <v>675</v>
      </c>
      <c r="B711" s="1" t="s">
        <v>4295</v>
      </c>
      <c r="C711" s="1" t="s">
        <v>4296</v>
      </c>
      <c r="D711" s="1" t="s">
        <v>4182</v>
      </c>
      <c r="E711" s="1" t="s">
        <v>1673</v>
      </c>
      <c r="F711" s="1" t="s">
        <v>4297</v>
      </c>
      <c r="G711" s="6"/>
    </row>
    <row r="712" spans="1:12" ht="54" customHeight="1">
      <c r="A712" s="1">
        <v>691</v>
      </c>
      <c r="B712" s="1" t="s">
        <v>4298</v>
      </c>
      <c r="C712" s="1" t="s">
        <v>4299</v>
      </c>
      <c r="D712" s="1" t="s">
        <v>4182</v>
      </c>
      <c r="E712" s="1" t="s">
        <v>1673</v>
      </c>
      <c r="F712" s="1" t="s">
        <v>4300</v>
      </c>
      <c r="G712" s="6"/>
    </row>
    <row r="713" spans="1:12" ht="54" customHeight="1">
      <c r="A713" s="1">
        <v>599</v>
      </c>
      <c r="B713" s="1" t="s">
        <v>4301</v>
      </c>
      <c r="C713" s="1" t="s">
        <v>4302</v>
      </c>
      <c r="D713" s="1" t="s">
        <v>4182</v>
      </c>
      <c r="E713" s="1" t="s">
        <v>2254</v>
      </c>
      <c r="F713" s="1" t="s">
        <v>4303</v>
      </c>
      <c r="G713" s="6"/>
      <c r="J713" s="1" t="s">
        <v>4304</v>
      </c>
      <c r="K713" s="1" t="s">
        <v>2506</v>
      </c>
      <c r="L713" s="39" t="s">
        <v>2087</v>
      </c>
    </row>
    <row r="714" spans="1:12" ht="54" customHeight="1">
      <c r="A714" s="1">
        <v>50864</v>
      </c>
      <c r="B714" s="1" t="s">
        <v>4305</v>
      </c>
      <c r="C714" s="1" t="s">
        <v>4306</v>
      </c>
      <c r="D714" s="1" t="s">
        <v>4182</v>
      </c>
      <c r="E714" s="1" t="s">
        <v>2560</v>
      </c>
      <c r="F714" s="1" t="s">
        <v>4307</v>
      </c>
      <c r="G714" s="6" t="s">
        <v>4257</v>
      </c>
      <c r="J714" s="1" t="s">
        <v>4308</v>
      </c>
      <c r="K714" s="1" t="s">
        <v>1648</v>
      </c>
      <c r="L714" s="39" t="s">
        <v>4309</v>
      </c>
    </row>
    <row r="715" spans="1:12" ht="54" customHeight="1">
      <c r="A715" s="1">
        <v>615</v>
      </c>
      <c r="B715" s="1" t="s">
        <v>1753</v>
      </c>
      <c r="C715" s="1" t="s">
        <v>4310</v>
      </c>
      <c r="D715" s="1" t="s">
        <v>4182</v>
      </c>
      <c r="E715" s="1" t="s">
        <v>1753</v>
      </c>
      <c r="F715" s="1" t="s">
        <v>4311</v>
      </c>
      <c r="G715" s="7" t="s">
        <v>4312</v>
      </c>
      <c r="J715" s="1" t="s">
        <v>4313</v>
      </c>
      <c r="K715" s="1" t="s">
        <v>1756</v>
      </c>
      <c r="L715" s="39" t="s">
        <v>1757</v>
      </c>
    </row>
    <row r="716" spans="1:12" ht="54" customHeight="1">
      <c r="A716" s="1">
        <v>43</v>
      </c>
      <c r="B716" s="1" t="s">
        <v>4314</v>
      </c>
      <c r="C716" s="1" t="s">
        <v>4315</v>
      </c>
      <c r="D716" s="1" t="s">
        <v>4182</v>
      </c>
      <c r="E716" s="1" t="s">
        <v>1680</v>
      </c>
      <c r="F716" s="1" t="s">
        <v>4316</v>
      </c>
      <c r="G716" s="6"/>
      <c r="J716" s="1" t="s">
        <v>4317</v>
      </c>
      <c r="K716" s="1" t="s">
        <v>1682</v>
      </c>
      <c r="L716" s="39" t="s">
        <v>2344</v>
      </c>
    </row>
    <row r="717" spans="1:12" ht="54" customHeight="1">
      <c r="A717" s="1">
        <v>78</v>
      </c>
      <c r="B717" s="1" t="s">
        <v>4318</v>
      </c>
      <c r="C717" s="1" t="s">
        <v>4319</v>
      </c>
      <c r="D717" s="1" t="s">
        <v>4182</v>
      </c>
      <c r="E717" s="1" t="s">
        <v>1680</v>
      </c>
      <c r="F717" s="1" t="s">
        <v>4320</v>
      </c>
      <c r="G717" s="7" t="s">
        <v>25</v>
      </c>
      <c r="H717" s="22" t="s">
        <v>25</v>
      </c>
      <c r="I717" s="22" t="s">
        <v>20</v>
      </c>
      <c r="K717" s="1" t="s">
        <v>1682</v>
      </c>
      <c r="L717" s="39" t="s">
        <v>1683</v>
      </c>
    </row>
    <row r="718" spans="1:12" ht="54" customHeight="1">
      <c r="A718" s="1">
        <v>80</v>
      </c>
      <c r="B718" s="1" t="s">
        <v>4321</v>
      </c>
      <c r="C718" s="1" t="s">
        <v>4322</v>
      </c>
      <c r="D718" s="1" t="s">
        <v>4182</v>
      </c>
      <c r="E718" s="1" t="s">
        <v>1680</v>
      </c>
      <c r="F718" s="1" t="s">
        <v>4323</v>
      </c>
      <c r="G718" s="7" t="s">
        <v>2342</v>
      </c>
      <c r="H718" s="22" t="s">
        <v>2342</v>
      </c>
      <c r="I718" s="22" t="s">
        <v>20</v>
      </c>
      <c r="K718" s="1" t="s">
        <v>1682</v>
      </c>
      <c r="L718" s="39" t="s">
        <v>2344</v>
      </c>
    </row>
    <row r="719" spans="1:12" ht="54" customHeight="1">
      <c r="A719" s="1">
        <v>39138</v>
      </c>
      <c r="B719" s="1" t="s">
        <v>4324</v>
      </c>
      <c r="C719" s="1" t="s">
        <v>4325</v>
      </c>
      <c r="D719" s="1" t="s">
        <v>4182</v>
      </c>
      <c r="E719" s="1" t="s">
        <v>1680</v>
      </c>
      <c r="F719" s="1" t="s">
        <v>4326</v>
      </c>
      <c r="G719" s="7" t="s">
        <v>25</v>
      </c>
      <c r="H719" s="14" t="s">
        <v>25</v>
      </c>
      <c r="I719" s="25" t="s">
        <v>20</v>
      </c>
      <c r="K719" s="1" t="s">
        <v>1682</v>
      </c>
      <c r="L719" s="39" t="s">
        <v>1683</v>
      </c>
    </row>
    <row r="720" spans="1:12" ht="54" customHeight="1">
      <c r="A720" s="1">
        <v>110</v>
      </c>
      <c r="B720" s="1" t="s">
        <v>4327</v>
      </c>
      <c r="C720" s="1" t="s">
        <v>4328</v>
      </c>
      <c r="D720" s="1" t="s">
        <v>4182</v>
      </c>
      <c r="E720" s="1" t="s">
        <v>1680</v>
      </c>
      <c r="F720" s="1" t="s">
        <v>4329</v>
      </c>
      <c r="G720" s="7" t="s">
        <v>25</v>
      </c>
      <c r="H720" s="14" t="s">
        <v>25</v>
      </c>
      <c r="I720" s="25" t="s">
        <v>20</v>
      </c>
      <c r="K720" s="1" t="s">
        <v>1682</v>
      </c>
      <c r="L720" s="39" t="s">
        <v>1683</v>
      </c>
    </row>
    <row r="721" spans="1:12" ht="54" customHeight="1">
      <c r="A721" s="1">
        <v>119</v>
      </c>
      <c r="B721" s="1" t="s">
        <v>4330</v>
      </c>
      <c r="C721" s="1" t="s">
        <v>4331</v>
      </c>
      <c r="D721" s="1" t="s">
        <v>4182</v>
      </c>
      <c r="E721" s="1" t="s">
        <v>1680</v>
      </c>
      <c r="F721" s="1" t="s">
        <v>4332</v>
      </c>
      <c r="G721" s="7" t="s">
        <v>25</v>
      </c>
      <c r="H721" s="14" t="s">
        <v>25</v>
      </c>
      <c r="I721" s="10" t="s">
        <v>20</v>
      </c>
      <c r="K721" s="1" t="s">
        <v>1682</v>
      </c>
      <c r="L721" s="39" t="s">
        <v>1683</v>
      </c>
    </row>
    <row r="722" spans="1:12" ht="54" customHeight="1">
      <c r="A722" s="1">
        <v>175</v>
      </c>
      <c r="B722" s="1" t="s">
        <v>4333</v>
      </c>
      <c r="C722" s="1" t="s">
        <v>4334</v>
      </c>
      <c r="D722" s="1" t="s">
        <v>4182</v>
      </c>
      <c r="E722" s="1" t="s">
        <v>1680</v>
      </c>
      <c r="F722" s="1" t="s">
        <v>4335</v>
      </c>
      <c r="G722" s="7" t="s">
        <v>25</v>
      </c>
      <c r="H722" s="22" t="s">
        <v>25</v>
      </c>
      <c r="I722" s="22" t="s">
        <v>20</v>
      </c>
      <c r="K722" s="1" t="s">
        <v>1682</v>
      </c>
      <c r="L722" s="39" t="s">
        <v>1683</v>
      </c>
    </row>
    <row r="723" spans="1:12" ht="54" customHeight="1">
      <c r="A723" s="1">
        <v>348</v>
      </c>
      <c r="B723" s="1" t="s">
        <v>4336</v>
      </c>
      <c r="C723" s="1" t="s">
        <v>4337</v>
      </c>
      <c r="D723" s="1" t="s">
        <v>4182</v>
      </c>
      <c r="E723" s="1" t="s">
        <v>1680</v>
      </c>
      <c r="F723" s="1" t="s">
        <v>4338</v>
      </c>
      <c r="G723" s="8" t="s">
        <v>4339</v>
      </c>
      <c r="H723" s="14" t="s">
        <v>4339</v>
      </c>
      <c r="I723" s="25"/>
      <c r="K723" s="1" t="s">
        <v>1682</v>
      </c>
      <c r="L723" s="39" t="s">
        <v>2344</v>
      </c>
    </row>
    <row r="724" spans="1:12" ht="54" customHeight="1">
      <c r="A724" s="1">
        <v>62790</v>
      </c>
      <c r="B724" s="1" t="s">
        <v>4340</v>
      </c>
      <c r="C724" s="1" t="s">
        <v>4341</v>
      </c>
      <c r="D724" s="1" t="s">
        <v>4182</v>
      </c>
      <c r="E724" s="1" t="s">
        <v>1680</v>
      </c>
      <c r="F724" s="1" t="s">
        <v>4342</v>
      </c>
      <c r="G724" s="53" t="s">
        <v>2365</v>
      </c>
      <c r="J724" s="1" t="s">
        <v>4343</v>
      </c>
      <c r="K724" s="40" t="s">
        <v>1682</v>
      </c>
      <c r="L724" s="41" t="s">
        <v>2344</v>
      </c>
    </row>
    <row r="725" spans="1:12" ht="54" customHeight="1">
      <c r="A725" s="1">
        <v>120</v>
      </c>
      <c r="B725" s="1" t="s">
        <v>4344</v>
      </c>
      <c r="C725" s="1" t="s">
        <v>4345</v>
      </c>
      <c r="D725" s="1" t="s">
        <v>4182</v>
      </c>
      <c r="F725" s="1" t="s">
        <v>4346</v>
      </c>
      <c r="G725" s="6"/>
      <c r="K725" s="1" t="s">
        <v>1669</v>
      </c>
      <c r="L725" s="39" t="s">
        <v>4347</v>
      </c>
    </row>
    <row r="726" spans="1:12" ht="54" customHeight="1">
      <c r="A726" s="1">
        <v>651</v>
      </c>
      <c r="B726" s="1" t="s">
        <v>4348</v>
      </c>
      <c r="C726" s="1" t="s">
        <v>4349</v>
      </c>
      <c r="D726" s="1" t="s">
        <v>4182</v>
      </c>
      <c r="F726" s="1" t="s">
        <v>4350</v>
      </c>
      <c r="G726" s="6"/>
      <c r="K726" s="1" t="s">
        <v>1669</v>
      </c>
      <c r="L726" s="39" t="s">
        <v>4347</v>
      </c>
    </row>
    <row r="727" spans="1:12" ht="54" customHeight="1">
      <c r="A727" s="1">
        <v>149</v>
      </c>
      <c r="B727" s="1" t="s">
        <v>4351</v>
      </c>
      <c r="C727" s="1" t="s">
        <v>4352</v>
      </c>
      <c r="D727" s="1" t="s">
        <v>4182</v>
      </c>
      <c r="F727" s="1" t="s">
        <v>4353</v>
      </c>
      <c r="G727" s="6"/>
      <c r="K727" s="1" t="s">
        <v>1669</v>
      </c>
      <c r="L727" s="39" t="s">
        <v>4347</v>
      </c>
    </row>
    <row r="728" spans="1:12" ht="54" customHeight="1">
      <c r="A728" s="1">
        <v>656</v>
      </c>
      <c r="B728" s="1" t="s">
        <v>4354</v>
      </c>
      <c r="C728" s="1" t="s">
        <v>4355</v>
      </c>
      <c r="D728" s="1" t="s">
        <v>4182</v>
      </c>
      <c r="F728" s="1" t="s">
        <v>4356</v>
      </c>
      <c r="G728" s="6"/>
      <c r="K728" s="1" t="s">
        <v>1669</v>
      </c>
      <c r="L728" s="39" t="s">
        <v>4347</v>
      </c>
    </row>
    <row r="729" spans="1:12" ht="54" customHeight="1">
      <c r="A729" s="1">
        <v>668</v>
      </c>
      <c r="B729" s="1" t="s">
        <v>4357</v>
      </c>
      <c r="C729" s="1" t="s">
        <v>4358</v>
      </c>
      <c r="D729" s="1" t="s">
        <v>4182</v>
      </c>
      <c r="F729" s="1" t="s">
        <v>4359</v>
      </c>
      <c r="G729" s="6"/>
      <c r="K729" s="1" t="s">
        <v>1669</v>
      </c>
      <c r="L729" s="39" t="s">
        <v>4347</v>
      </c>
    </row>
    <row r="730" spans="1:12" ht="54" customHeight="1">
      <c r="A730" s="1">
        <v>39132</v>
      </c>
      <c r="B730" s="1" t="s">
        <v>4360</v>
      </c>
      <c r="C730" s="9" t="s">
        <v>4361</v>
      </c>
      <c r="D730" s="1" t="s">
        <v>4182</v>
      </c>
      <c r="F730" s="1" t="s">
        <v>4362</v>
      </c>
      <c r="G730" s="7" t="s">
        <v>2933</v>
      </c>
      <c r="H730" s="14" t="s">
        <v>2933</v>
      </c>
      <c r="I730" s="25" t="s">
        <v>20</v>
      </c>
      <c r="K730" s="1" t="s">
        <v>1669</v>
      </c>
      <c r="L730" s="39" t="s">
        <v>4347</v>
      </c>
    </row>
    <row r="731" spans="1:12" ht="54" customHeight="1">
      <c r="A731" s="1">
        <v>49787</v>
      </c>
      <c r="B731" s="1" t="s">
        <v>4363</v>
      </c>
      <c r="C731" s="1" t="s">
        <v>4364</v>
      </c>
      <c r="D731" s="1" t="s">
        <v>4365</v>
      </c>
      <c r="E731" s="1" t="s">
        <v>1657</v>
      </c>
      <c r="F731" s="1" t="s">
        <v>4366</v>
      </c>
      <c r="G731" s="6"/>
    </row>
    <row r="732" spans="1:12" ht="54" customHeight="1">
      <c r="A732" s="1">
        <v>607</v>
      </c>
      <c r="B732" s="1" t="s">
        <v>4367</v>
      </c>
      <c r="C732" s="1" t="s">
        <v>4368</v>
      </c>
      <c r="D732" s="1" t="s">
        <v>4369</v>
      </c>
      <c r="E732" s="1" t="s">
        <v>1653</v>
      </c>
      <c r="F732" s="1" t="s">
        <v>4370</v>
      </c>
      <c r="G732" s="7" t="s">
        <v>2584</v>
      </c>
      <c r="H732" s="14" t="s">
        <v>2584</v>
      </c>
      <c r="I732" s="25"/>
      <c r="J732" s="1" t="s">
        <v>4371</v>
      </c>
    </row>
    <row r="733" spans="1:12" ht="54" customHeight="1">
      <c r="A733" s="1">
        <v>99</v>
      </c>
      <c r="B733" s="1" t="s">
        <v>4372</v>
      </c>
      <c r="C733" s="1" t="s">
        <v>4373</v>
      </c>
      <c r="D733" s="1" t="s">
        <v>4369</v>
      </c>
      <c r="E733" s="1" t="s">
        <v>1653</v>
      </c>
      <c r="F733" s="1" t="s">
        <v>4374</v>
      </c>
      <c r="G733" s="7" t="s">
        <v>2968</v>
      </c>
      <c r="H733" s="14" t="s">
        <v>2968</v>
      </c>
      <c r="K733" s="1" t="s">
        <v>2747</v>
      </c>
      <c r="L733" s="39" t="s">
        <v>2737</v>
      </c>
    </row>
    <row r="734" spans="1:12" ht="54" customHeight="1">
      <c r="A734" s="1">
        <v>101</v>
      </c>
      <c r="B734" s="1" t="s">
        <v>4375</v>
      </c>
      <c r="C734" s="1" t="s">
        <v>4376</v>
      </c>
      <c r="D734" s="1" t="s">
        <v>4369</v>
      </c>
      <c r="E734" s="1" t="s">
        <v>1653</v>
      </c>
      <c r="F734" s="1" t="s">
        <v>4377</v>
      </c>
      <c r="G734" s="7" t="s">
        <v>4378</v>
      </c>
      <c r="H734" s="22" t="s">
        <v>4378</v>
      </c>
      <c r="I734" s="22"/>
      <c r="K734" s="1" t="s">
        <v>2747</v>
      </c>
      <c r="L734" s="39" t="s">
        <v>2737</v>
      </c>
    </row>
    <row r="735" spans="1:12" ht="54" customHeight="1">
      <c r="A735" s="1">
        <v>124</v>
      </c>
      <c r="B735" s="1" t="s">
        <v>4379</v>
      </c>
      <c r="C735" s="1" t="s">
        <v>4380</v>
      </c>
      <c r="D735" s="1" t="s">
        <v>4369</v>
      </c>
      <c r="E735" s="1" t="s">
        <v>1653</v>
      </c>
      <c r="F735" s="1" t="s">
        <v>4381</v>
      </c>
      <c r="G735" s="6"/>
    </row>
    <row r="736" spans="1:12" ht="54" customHeight="1">
      <c r="A736" s="1">
        <v>212</v>
      </c>
      <c r="B736" s="1" t="s">
        <v>4382</v>
      </c>
      <c r="C736" s="1" t="s">
        <v>4383</v>
      </c>
      <c r="D736" s="1" t="s">
        <v>4369</v>
      </c>
      <c r="E736" s="1" t="s">
        <v>1653</v>
      </c>
      <c r="F736" s="1" t="s">
        <v>4384</v>
      </c>
      <c r="G736" s="7" t="s">
        <v>4385</v>
      </c>
      <c r="H736" s="14" t="s">
        <v>4385</v>
      </c>
      <c r="I736" s="10"/>
      <c r="K736" s="1" t="s">
        <v>1648</v>
      </c>
      <c r="L736" s="39" t="s">
        <v>1704</v>
      </c>
    </row>
    <row r="737" spans="1:12" ht="54" customHeight="1">
      <c r="A737" s="1">
        <v>406</v>
      </c>
      <c r="B737" s="1" t="s">
        <v>4386</v>
      </c>
      <c r="C737" s="1" t="s">
        <v>4387</v>
      </c>
      <c r="D737" s="1" t="s">
        <v>4369</v>
      </c>
      <c r="E737" s="1" t="s">
        <v>1653</v>
      </c>
      <c r="F737" s="1" t="s">
        <v>4388</v>
      </c>
      <c r="G737" s="7" t="s">
        <v>3088</v>
      </c>
      <c r="H737" s="14" t="s">
        <v>3088</v>
      </c>
      <c r="I737" s="25"/>
      <c r="K737" s="1" t="s">
        <v>1648</v>
      </c>
      <c r="L737" s="39" t="s">
        <v>1704</v>
      </c>
    </row>
    <row r="738" spans="1:12" ht="54" customHeight="1">
      <c r="A738" s="1">
        <v>733</v>
      </c>
      <c r="B738" s="1" t="s">
        <v>4389</v>
      </c>
      <c r="C738" s="1" t="s">
        <v>4390</v>
      </c>
      <c r="D738" s="1" t="s">
        <v>4369</v>
      </c>
      <c r="E738" s="1" t="s">
        <v>1653</v>
      </c>
      <c r="F738" s="1" t="s">
        <v>4391</v>
      </c>
      <c r="G738" s="7" t="s">
        <v>2061</v>
      </c>
      <c r="H738" s="14" t="s">
        <v>2061</v>
      </c>
      <c r="I738" s="25" t="s">
        <v>20</v>
      </c>
      <c r="K738" s="1" t="s">
        <v>2087</v>
      </c>
      <c r="L738" s="39" t="s">
        <v>4392</v>
      </c>
    </row>
    <row r="739" spans="1:12" ht="54" customHeight="1">
      <c r="A739" s="1">
        <v>832</v>
      </c>
      <c r="B739" s="1" t="s">
        <v>4393</v>
      </c>
      <c r="C739" s="1" t="s">
        <v>4394</v>
      </c>
      <c r="D739" s="1" t="s">
        <v>4369</v>
      </c>
      <c r="E739" s="1" t="s">
        <v>1653</v>
      </c>
      <c r="F739" s="1" t="s">
        <v>4395</v>
      </c>
      <c r="G739" s="7" t="s">
        <v>4396</v>
      </c>
      <c r="H739" s="22" t="s">
        <v>4396</v>
      </c>
      <c r="I739" s="22" t="s">
        <v>20</v>
      </c>
      <c r="J739" s="1" t="s">
        <v>4397</v>
      </c>
      <c r="K739" s="1" t="s">
        <v>1648</v>
      </c>
      <c r="L739" s="39" t="s">
        <v>1704</v>
      </c>
    </row>
    <row r="740" spans="1:12" ht="54" customHeight="1">
      <c r="A740" s="1">
        <v>654</v>
      </c>
      <c r="B740" s="1" t="s">
        <v>4398</v>
      </c>
      <c r="C740" s="1" t="s">
        <v>4399</v>
      </c>
      <c r="D740" s="1" t="s">
        <v>4369</v>
      </c>
      <c r="E740" s="1" t="s">
        <v>1710</v>
      </c>
      <c r="F740" s="1" t="s">
        <v>4400</v>
      </c>
      <c r="G740" s="7" t="s">
        <v>2746</v>
      </c>
      <c r="H740" s="14" t="s">
        <v>2746</v>
      </c>
      <c r="I740" s="10"/>
      <c r="K740" s="1" t="s">
        <v>2087</v>
      </c>
      <c r="L740" s="39" t="s">
        <v>4401</v>
      </c>
    </row>
    <row r="741" spans="1:12" ht="54" customHeight="1">
      <c r="A741" s="1">
        <v>702</v>
      </c>
      <c r="B741" s="1" t="s">
        <v>4402</v>
      </c>
      <c r="C741" s="1" t="s">
        <v>4403</v>
      </c>
      <c r="D741" s="1" t="s">
        <v>4369</v>
      </c>
      <c r="E741" s="1" t="s">
        <v>4404</v>
      </c>
      <c r="F741" s="1" t="s">
        <v>4405</v>
      </c>
      <c r="G741" s="7" t="s">
        <v>4406</v>
      </c>
      <c r="H741" s="14" t="s">
        <v>4406</v>
      </c>
      <c r="I741" s="25"/>
      <c r="K741" s="1" t="s">
        <v>2087</v>
      </c>
      <c r="L741" s="39" t="s">
        <v>4407</v>
      </c>
    </row>
    <row r="742" spans="1:12" ht="54" customHeight="1">
      <c r="A742" s="1">
        <v>39180</v>
      </c>
      <c r="B742" s="1" t="s">
        <v>4408</v>
      </c>
      <c r="C742" s="1" t="s">
        <v>4409</v>
      </c>
      <c r="D742" s="1" t="s">
        <v>4369</v>
      </c>
      <c r="E742" s="1" t="s">
        <v>2059</v>
      </c>
      <c r="F742" s="1" t="s">
        <v>4410</v>
      </c>
      <c r="G742" s="7" t="s">
        <v>2754</v>
      </c>
      <c r="H742" s="22" t="s">
        <v>2754</v>
      </c>
      <c r="I742" s="22"/>
      <c r="K742" s="1" t="s">
        <v>2087</v>
      </c>
      <c r="L742" s="39" t="s">
        <v>2737</v>
      </c>
    </row>
    <row r="743" spans="1:12" ht="54" customHeight="1">
      <c r="A743" s="1">
        <v>528</v>
      </c>
      <c r="B743" s="1" t="s">
        <v>4411</v>
      </c>
      <c r="C743" s="1" t="s">
        <v>4412</v>
      </c>
      <c r="D743" s="1" t="s">
        <v>4369</v>
      </c>
      <c r="E743" s="1" t="s">
        <v>4076</v>
      </c>
      <c r="F743" s="1" t="s">
        <v>4413</v>
      </c>
      <c r="G743" s="6"/>
    </row>
    <row r="744" spans="1:12" ht="54" customHeight="1">
      <c r="A744" s="1">
        <v>49743</v>
      </c>
      <c r="B744" s="1" t="s">
        <v>4414</v>
      </c>
      <c r="C744" s="1" t="s">
        <v>4415</v>
      </c>
      <c r="D744" s="1" t="s">
        <v>4369</v>
      </c>
      <c r="E744" s="1" t="s">
        <v>1657</v>
      </c>
      <c r="F744" s="1" t="s">
        <v>4416</v>
      </c>
      <c r="G744" s="7" t="s">
        <v>4417</v>
      </c>
      <c r="H744" s="14" t="s">
        <v>4417</v>
      </c>
      <c r="I744" s="10"/>
    </row>
    <row r="745" spans="1:12" ht="54" customHeight="1">
      <c r="A745" s="1">
        <v>714</v>
      </c>
      <c r="B745" s="1" t="s">
        <v>4418</v>
      </c>
      <c r="C745" s="1" t="s">
        <v>4419</v>
      </c>
      <c r="D745" s="1" t="s">
        <v>4369</v>
      </c>
      <c r="E745" s="1" t="s">
        <v>1657</v>
      </c>
      <c r="F745" s="1" t="s">
        <v>4420</v>
      </c>
      <c r="G745" s="7" t="s">
        <v>4421</v>
      </c>
      <c r="H745" s="14" t="s">
        <v>2693</v>
      </c>
      <c r="I745" s="25"/>
      <c r="K745" s="1" t="s">
        <v>2087</v>
      </c>
      <c r="L745" s="39" t="s">
        <v>2737</v>
      </c>
    </row>
    <row r="746" spans="1:12" ht="54" customHeight="1">
      <c r="A746" s="1">
        <v>49783</v>
      </c>
      <c r="B746" s="1" t="s">
        <v>4422</v>
      </c>
      <c r="C746" s="1" t="s">
        <v>4423</v>
      </c>
      <c r="D746" s="1" t="s">
        <v>4369</v>
      </c>
      <c r="E746" s="1" t="s">
        <v>1657</v>
      </c>
      <c r="F746" s="1" t="s">
        <v>4424</v>
      </c>
      <c r="G746" s="6"/>
    </row>
    <row r="747" spans="1:12" ht="54" customHeight="1">
      <c r="A747" s="1">
        <v>793</v>
      </c>
      <c r="B747" s="1" t="s">
        <v>4425</v>
      </c>
      <c r="C747" s="1" t="s">
        <v>4426</v>
      </c>
      <c r="D747" s="1" t="s">
        <v>4369</v>
      </c>
      <c r="E747" s="1" t="s">
        <v>1657</v>
      </c>
      <c r="F747" s="1" t="s">
        <v>4427</v>
      </c>
      <c r="G747" s="6"/>
    </row>
    <row r="748" spans="1:12" ht="54" customHeight="1">
      <c r="A748" s="1">
        <v>629</v>
      </c>
      <c r="B748" s="1" t="s">
        <v>4428</v>
      </c>
      <c r="C748" s="1" t="s">
        <v>4429</v>
      </c>
      <c r="D748" s="1" t="s">
        <v>4369</v>
      </c>
      <c r="E748" s="1" t="s">
        <v>1673</v>
      </c>
      <c r="F748" s="1" t="s">
        <v>4430</v>
      </c>
      <c r="G748" s="7" t="s">
        <v>2758</v>
      </c>
      <c r="K748" s="1" t="s">
        <v>1648</v>
      </c>
      <c r="L748" s="39" t="s">
        <v>4431</v>
      </c>
    </row>
    <row r="749" spans="1:12" ht="54" customHeight="1">
      <c r="A749" s="1">
        <v>640</v>
      </c>
      <c r="B749" s="1" t="s">
        <v>4432</v>
      </c>
      <c r="C749" s="1" t="s">
        <v>4433</v>
      </c>
      <c r="D749" s="1" t="s">
        <v>4369</v>
      </c>
      <c r="E749" s="1" t="s">
        <v>1673</v>
      </c>
      <c r="F749" s="1" t="s">
        <v>4434</v>
      </c>
      <c r="G749" s="10" t="s">
        <v>4435</v>
      </c>
      <c r="H749" s="22" t="s">
        <v>4435</v>
      </c>
      <c r="I749" s="22"/>
    </row>
    <row r="750" spans="1:12" ht="54" customHeight="1">
      <c r="A750" s="1">
        <v>689</v>
      </c>
      <c r="B750" s="1" t="s">
        <v>4436</v>
      </c>
      <c r="C750" s="1" t="s">
        <v>4437</v>
      </c>
      <c r="D750" s="1" t="s">
        <v>4369</v>
      </c>
      <c r="E750" s="1" t="s">
        <v>1673</v>
      </c>
      <c r="F750" s="1" t="s">
        <v>4438</v>
      </c>
      <c r="G750" s="6"/>
      <c r="K750" s="1" t="s">
        <v>2137</v>
      </c>
      <c r="L750" s="39" t="s">
        <v>2759</v>
      </c>
    </row>
    <row r="751" spans="1:12" ht="54" customHeight="1">
      <c r="A751" s="1">
        <v>708</v>
      </c>
      <c r="B751" s="1" t="s">
        <v>4439</v>
      </c>
      <c r="C751" s="1" t="s">
        <v>4440</v>
      </c>
      <c r="D751" s="1" t="s">
        <v>4369</v>
      </c>
      <c r="E751" s="1" t="s">
        <v>1673</v>
      </c>
      <c r="F751" s="1" t="s">
        <v>4441</v>
      </c>
      <c r="G751" s="7" t="s">
        <v>4442</v>
      </c>
      <c r="H751" s="14" t="s">
        <v>4442</v>
      </c>
      <c r="I751" s="25"/>
      <c r="K751" s="1" t="s">
        <v>2505</v>
      </c>
      <c r="L751" s="39" t="s">
        <v>2759</v>
      </c>
    </row>
    <row r="752" spans="1:12" ht="54" customHeight="1">
      <c r="A752" s="1">
        <v>772</v>
      </c>
      <c r="B752" s="1" t="s">
        <v>4443</v>
      </c>
      <c r="C752" s="1" t="s">
        <v>4444</v>
      </c>
      <c r="D752" s="1" t="s">
        <v>4369</v>
      </c>
      <c r="E752" s="1" t="s">
        <v>1673</v>
      </c>
      <c r="F752" s="1" t="s">
        <v>4445</v>
      </c>
      <c r="G752" s="7" t="s">
        <v>4446</v>
      </c>
      <c r="K752" s="1" t="s">
        <v>2505</v>
      </c>
      <c r="L752" s="39" t="s">
        <v>2759</v>
      </c>
    </row>
    <row r="753" spans="1:12" ht="54" customHeight="1">
      <c r="A753" s="1">
        <v>5</v>
      </c>
      <c r="B753" s="1" t="s">
        <v>4447</v>
      </c>
      <c r="C753" s="1" t="s">
        <v>4448</v>
      </c>
      <c r="D753" s="1" t="s">
        <v>4369</v>
      </c>
      <c r="E753" s="1" t="s">
        <v>2254</v>
      </c>
      <c r="F753" s="1" t="s">
        <v>4449</v>
      </c>
      <c r="G753" s="6" t="s">
        <v>1807</v>
      </c>
      <c r="K753" s="1" t="s">
        <v>1648</v>
      </c>
      <c r="L753" s="39" t="s">
        <v>4450</v>
      </c>
    </row>
    <row r="754" spans="1:12" ht="54" customHeight="1">
      <c r="A754" s="1">
        <v>874</v>
      </c>
      <c r="B754" s="1" t="s">
        <v>4451</v>
      </c>
      <c r="C754" s="1" t="s">
        <v>4452</v>
      </c>
      <c r="D754" s="1" t="s">
        <v>4369</v>
      </c>
      <c r="E754" s="1" t="s">
        <v>2254</v>
      </c>
      <c r="F754" s="1" t="s">
        <v>4453</v>
      </c>
      <c r="G754" s="7" t="s">
        <v>4454</v>
      </c>
      <c r="H754" s="14" t="s">
        <v>4454</v>
      </c>
      <c r="I754" s="10"/>
      <c r="K754" s="1" t="s">
        <v>2087</v>
      </c>
      <c r="L754" s="39" t="s">
        <v>2767</v>
      </c>
    </row>
    <row r="755" spans="1:12" ht="54" customHeight="1">
      <c r="A755" s="1">
        <v>360</v>
      </c>
      <c r="B755" s="1" t="s">
        <v>4455</v>
      </c>
      <c r="C755" s="1" t="s">
        <v>4456</v>
      </c>
      <c r="D755" s="1" t="s">
        <v>4369</v>
      </c>
      <c r="E755" s="1" t="s">
        <v>2266</v>
      </c>
      <c r="F755" s="1" t="s">
        <v>4457</v>
      </c>
      <c r="G755" s="7" t="s">
        <v>74</v>
      </c>
      <c r="H755" s="14" t="s">
        <v>74</v>
      </c>
      <c r="I755" s="25" t="s">
        <v>20</v>
      </c>
      <c r="K755" s="1" t="s">
        <v>2087</v>
      </c>
      <c r="L755" s="39" t="s">
        <v>4458</v>
      </c>
    </row>
    <row r="756" spans="1:12" ht="54" customHeight="1">
      <c r="A756" s="1">
        <v>226</v>
      </c>
      <c r="B756" s="1" t="s">
        <v>4459</v>
      </c>
      <c r="C756" s="1" t="s">
        <v>4460</v>
      </c>
      <c r="D756" s="1" t="s">
        <v>4369</v>
      </c>
      <c r="E756" s="1" t="s">
        <v>1753</v>
      </c>
      <c r="F756" s="1" t="s">
        <v>4461</v>
      </c>
      <c r="G756" s="7" t="s">
        <v>87</v>
      </c>
      <c r="H756" s="22" t="s">
        <v>87</v>
      </c>
    </row>
    <row r="757" spans="1:12" ht="54" customHeight="1">
      <c r="A757" s="1">
        <v>274</v>
      </c>
      <c r="B757" s="1" t="s">
        <v>4462</v>
      </c>
      <c r="C757" s="1" t="s">
        <v>4463</v>
      </c>
      <c r="D757" s="1" t="s">
        <v>4369</v>
      </c>
      <c r="E757" s="1" t="s">
        <v>1753</v>
      </c>
      <c r="F757" s="1" t="s">
        <v>4464</v>
      </c>
      <c r="G757" s="6" t="s">
        <v>4465</v>
      </c>
      <c r="J757" s="33" t="s">
        <v>4466</v>
      </c>
      <c r="K757" s="1" t="s">
        <v>1648</v>
      </c>
      <c r="L757" s="39" t="s">
        <v>4431</v>
      </c>
    </row>
    <row r="758" spans="1:12" ht="54" customHeight="1">
      <c r="A758" s="1">
        <v>39133</v>
      </c>
      <c r="B758" s="1" t="s">
        <v>4467</v>
      </c>
      <c r="C758" s="1" t="s">
        <v>4468</v>
      </c>
      <c r="D758" s="1" t="s">
        <v>4369</v>
      </c>
      <c r="E758" s="1" t="s">
        <v>1753</v>
      </c>
      <c r="F758" s="1" t="s">
        <v>4469</v>
      </c>
      <c r="G758" s="7" t="s">
        <v>87</v>
      </c>
    </row>
    <row r="759" spans="1:12" ht="54" customHeight="1">
      <c r="A759" s="1">
        <v>774</v>
      </c>
      <c r="B759" s="1" t="s">
        <v>4470</v>
      </c>
      <c r="C759" s="1" t="s">
        <v>4471</v>
      </c>
      <c r="D759" s="1" t="s">
        <v>4369</v>
      </c>
      <c r="E759" s="1" t="s">
        <v>1753</v>
      </c>
      <c r="F759" s="1" t="s">
        <v>4469</v>
      </c>
      <c r="G759" s="7" t="s">
        <v>87</v>
      </c>
    </row>
    <row r="760" spans="1:12" ht="54" customHeight="1">
      <c r="A760" s="1">
        <v>39141</v>
      </c>
      <c r="B760" s="1" t="s">
        <v>4472</v>
      </c>
      <c r="C760" s="1" t="s">
        <v>4473</v>
      </c>
      <c r="D760" s="1" t="s">
        <v>4369</v>
      </c>
      <c r="E760" s="1" t="s">
        <v>1753</v>
      </c>
      <c r="F760" s="1" t="s">
        <v>4469</v>
      </c>
      <c r="G760" s="30" t="s">
        <v>87</v>
      </c>
    </row>
    <row r="761" spans="1:12" ht="54" customHeight="1">
      <c r="A761" s="1">
        <v>85</v>
      </c>
      <c r="B761" s="1" t="s">
        <v>4474</v>
      </c>
      <c r="C761" s="1" t="s">
        <v>4475</v>
      </c>
      <c r="D761" s="1" t="s">
        <v>4369</v>
      </c>
      <c r="E761" s="1" t="s">
        <v>1680</v>
      </c>
      <c r="F761" s="1" t="s">
        <v>4476</v>
      </c>
      <c r="G761" s="7" t="s">
        <v>4477</v>
      </c>
      <c r="H761" s="22" t="s">
        <v>4477</v>
      </c>
      <c r="I761" s="22"/>
      <c r="K761" s="1" t="s">
        <v>1682</v>
      </c>
      <c r="L761" s="39" t="s">
        <v>4478</v>
      </c>
    </row>
    <row r="762" spans="1:12" ht="54" customHeight="1">
      <c r="A762" s="1">
        <v>96</v>
      </c>
      <c r="B762" s="1" t="s">
        <v>4479</v>
      </c>
      <c r="C762" s="1" t="s">
        <v>4480</v>
      </c>
      <c r="D762" s="1" t="s">
        <v>4369</v>
      </c>
      <c r="E762" s="1" t="s">
        <v>1680</v>
      </c>
      <c r="F762" s="1" t="s">
        <v>4481</v>
      </c>
      <c r="G762" s="7" t="s">
        <v>3749</v>
      </c>
      <c r="H762" s="22" t="s">
        <v>3749</v>
      </c>
      <c r="I762" s="22"/>
      <c r="K762" s="1" t="s">
        <v>2137</v>
      </c>
      <c r="L762" s="39" t="s">
        <v>2506</v>
      </c>
    </row>
    <row r="763" spans="1:12" ht="54" customHeight="1">
      <c r="A763" s="1">
        <v>432</v>
      </c>
      <c r="B763" s="1" t="s">
        <v>4482</v>
      </c>
      <c r="C763" s="1" t="s">
        <v>4483</v>
      </c>
      <c r="D763" s="1" t="s">
        <v>4369</v>
      </c>
      <c r="E763" s="1" t="s">
        <v>1680</v>
      </c>
      <c r="F763" s="1" t="s">
        <v>4484</v>
      </c>
      <c r="G763" s="7" t="s">
        <v>4477</v>
      </c>
      <c r="H763" s="7" t="s">
        <v>4477</v>
      </c>
      <c r="I763" s="7"/>
      <c r="K763" s="40" t="s">
        <v>1682</v>
      </c>
      <c r="L763" s="41" t="s">
        <v>4407</v>
      </c>
    </row>
    <row r="764" spans="1:12" ht="54" customHeight="1">
      <c r="A764" s="1">
        <v>73195</v>
      </c>
      <c r="B764" s="1" t="s">
        <v>4485</v>
      </c>
      <c r="C764" s="1" t="s">
        <v>4486</v>
      </c>
      <c r="D764" s="1" t="s">
        <v>4487</v>
      </c>
      <c r="E764" s="1" t="s">
        <v>1753</v>
      </c>
      <c r="F764" s="1" t="s">
        <v>4488</v>
      </c>
      <c r="G764" s="6" t="s">
        <v>4489</v>
      </c>
      <c r="J764" s="1" t="s">
        <v>4490</v>
      </c>
    </row>
    <row r="765" spans="1:12" ht="54" customHeight="1">
      <c r="A765" s="1">
        <v>643</v>
      </c>
      <c r="B765" s="1" t="s">
        <v>4491</v>
      </c>
      <c r="C765" s="1" t="s">
        <v>4492</v>
      </c>
      <c r="D765" s="1" t="s">
        <v>4493</v>
      </c>
      <c r="E765" s="1" t="s">
        <v>1653</v>
      </c>
      <c r="F765" s="1" t="s">
        <v>4494</v>
      </c>
      <c r="G765" s="7" t="s">
        <v>4495</v>
      </c>
      <c r="H765" s="14" t="s">
        <v>4495</v>
      </c>
      <c r="I765" s="10"/>
    </row>
    <row r="766" spans="1:12" ht="54" customHeight="1">
      <c r="A766" s="1">
        <v>786</v>
      </c>
      <c r="B766" s="1" t="s">
        <v>4496</v>
      </c>
      <c r="C766" s="1" t="s">
        <v>4497</v>
      </c>
      <c r="D766" s="1" t="s">
        <v>4493</v>
      </c>
      <c r="E766" s="1" t="s">
        <v>1653</v>
      </c>
      <c r="F766" s="1" t="s">
        <v>4498</v>
      </c>
      <c r="G766" s="6" t="s">
        <v>4499</v>
      </c>
      <c r="K766" s="1" t="s">
        <v>1648</v>
      </c>
      <c r="L766" s="39" t="s">
        <v>1704</v>
      </c>
    </row>
    <row r="767" spans="1:12" ht="54" customHeight="1">
      <c r="A767" s="1">
        <v>252</v>
      </c>
      <c r="B767" s="1" t="s">
        <v>4500</v>
      </c>
      <c r="C767" s="1" t="s">
        <v>4501</v>
      </c>
      <c r="D767" s="1" t="s">
        <v>4493</v>
      </c>
      <c r="E767" s="1" t="s">
        <v>1673</v>
      </c>
      <c r="F767" s="1" t="s">
        <v>4502</v>
      </c>
      <c r="G767" s="7" t="s">
        <v>4503</v>
      </c>
      <c r="L767" s="39" t="s">
        <v>2567</v>
      </c>
    </row>
    <row r="768" spans="1:12" ht="54" customHeight="1">
      <c r="A768" s="1">
        <v>802</v>
      </c>
      <c r="B768" s="1" t="s">
        <v>1228</v>
      </c>
      <c r="C768" s="1" t="s">
        <v>4504</v>
      </c>
      <c r="D768" s="1" t="s">
        <v>4493</v>
      </c>
      <c r="E768" s="1" t="s">
        <v>1680</v>
      </c>
      <c r="F768" s="1" t="s">
        <v>4505</v>
      </c>
      <c r="G768" s="8" t="s">
        <v>4506</v>
      </c>
      <c r="H768" s="14" t="s">
        <v>4506</v>
      </c>
      <c r="I768" s="13"/>
      <c r="K768" s="40" t="s">
        <v>1682</v>
      </c>
      <c r="L768" s="41" t="s">
        <v>2344</v>
      </c>
    </row>
    <row r="769" spans="1:12" ht="54" customHeight="1">
      <c r="A769" s="1">
        <v>564</v>
      </c>
      <c r="B769" s="1" t="s">
        <v>4507</v>
      </c>
      <c r="C769" s="1" t="s">
        <v>4508</v>
      </c>
      <c r="D769" s="1" t="s">
        <v>4509</v>
      </c>
      <c r="E769" s="1" t="s">
        <v>1653</v>
      </c>
      <c r="F769" s="1" t="s">
        <v>4510</v>
      </c>
      <c r="G769" s="7" t="s">
        <v>2837</v>
      </c>
      <c r="H769" s="14" t="s">
        <v>2837</v>
      </c>
      <c r="I769" s="14" t="s">
        <v>20</v>
      </c>
      <c r="J769" s="1" t="s">
        <v>4511</v>
      </c>
      <c r="K769" s="1" t="s">
        <v>1648</v>
      </c>
      <c r="L769" s="39" t="s">
        <v>1704</v>
      </c>
    </row>
    <row r="770" spans="1:12" ht="54" customHeight="1">
      <c r="A770" s="1">
        <v>573</v>
      </c>
      <c r="B770" s="1" t="s">
        <v>4512</v>
      </c>
      <c r="C770" s="1" t="s">
        <v>4513</v>
      </c>
      <c r="D770" s="1" t="s">
        <v>4509</v>
      </c>
      <c r="E770" s="1" t="s">
        <v>1653</v>
      </c>
      <c r="F770" s="1" t="s">
        <v>4514</v>
      </c>
      <c r="G770" s="7" t="s">
        <v>4515</v>
      </c>
      <c r="H770" s="14" t="s">
        <v>4515</v>
      </c>
      <c r="I770" s="14"/>
      <c r="J770" s="1" t="s">
        <v>1703</v>
      </c>
      <c r="K770" s="1" t="s">
        <v>1648</v>
      </c>
      <c r="L770" s="39" t="s">
        <v>1704</v>
      </c>
    </row>
    <row r="771" spans="1:12" ht="54" customHeight="1">
      <c r="A771" s="1">
        <v>571</v>
      </c>
      <c r="B771" s="1" t="s">
        <v>4516</v>
      </c>
      <c r="C771" s="1" t="s">
        <v>4517</v>
      </c>
      <c r="D771" s="1" t="s">
        <v>4509</v>
      </c>
      <c r="E771" s="1" t="s">
        <v>1653</v>
      </c>
      <c r="F771" s="1" t="s">
        <v>4518</v>
      </c>
      <c r="G771" s="6"/>
      <c r="K771" s="1" t="s">
        <v>1648</v>
      </c>
      <c r="L771" s="39" t="s">
        <v>1704</v>
      </c>
    </row>
    <row r="772" spans="1:12" ht="54" customHeight="1">
      <c r="A772" s="1">
        <v>572</v>
      </c>
      <c r="B772" s="1" t="s">
        <v>4519</v>
      </c>
      <c r="C772" s="1" t="s">
        <v>4520</v>
      </c>
      <c r="D772" s="1" t="s">
        <v>4509</v>
      </c>
      <c r="E772" s="1" t="s">
        <v>1653</v>
      </c>
      <c r="F772" s="1" t="s">
        <v>4521</v>
      </c>
      <c r="G772" s="7" t="s">
        <v>4522</v>
      </c>
      <c r="H772" s="14" t="s">
        <v>4522</v>
      </c>
      <c r="I772" s="14"/>
      <c r="J772" s="1" t="s">
        <v>1703</v>
      </c>
      <c r="K772" s="1" t="s">
        <v>1648</v>
      </c>
      <c r="L772" s="39" t="s">
        <v>1704</v>
      </c>
    </row>
    <row r="773" spans="1:12" ht="54" customHeight="1">
      <c r="A773" s="1">
        <v>14</v>
      </c>
      <c r="B773" s="1" t="s">
        <v>4523</v>
      </c>
      <c r="C773" s="1" t="s">
        <v>4524</v>
      </c>
      <c r="D773" s="1" t="s">
        <v>4509</v>
      </c>
      <c r="E773" s="1" t="s">
        <v>1653</v>
      </c>
      <c r="F773" s="1" t="s">
        <v>4525</v>
      </c>
      <c r="G773" s="8" t="s">
        <v>1524</v>
      </c>
      <c r="H773" s="14" t="s">
        <v>1524</v>
      </c>
      <c r="I773" s="25"/>
      <c r="J773" s="1" t="s">
        <v>1703</v>
      </c>
      <c r="K773" s="1" t="s">
        <v>2087</v>
      </c>
      <c r="L773" s="39" t="s">
        <v>2171</v>
      </c>
    </row>
    <row r="774" spans="1:12" ht="54" customHeight="1">
      <c r="A774" s="1">
        <v>600</v>
      </c>
      <c r="B774" s="1" t="s">
        <v>4526</v>
      </c>
      <c r="C774" s="1" t="s">
        <v>4527</v>
      </c>
      <c r="D774" s="1" t="s">
        <v>4509</v>
      </c>
      <c r="E774" s="1" t="s">
        <v>1653</v>
      </c>
      <c r="F774" s="1" t="s">
        <v>4528</v>
      </c>
      <c r="G774" s="7" t="s">
        <v>4529</v>
      </c>
      <c r="H774" s="14" t="s">
        <v>4529</v>
      </c>
      <c r="I774" s="25"/>
      <c r="K774" s="1" t="s">
        <v>1648</v>
      </c>
      <c r="L774" s="39" t="s">
        <v>1704</v>
      </c>
    </row>
    <row r="775" spans="1:12" ht="54" customHeight="1">
      <c r="A775" s="1">
        <v>608</v>
      </c>
      <c r="B775" s="1" t="s">
        <v>4530</v>
      </c>
      <c r="C775" s="1" t="s">
        <v>4531</v>
      </c>
      <c r="D775" s="1" t="s">
        <v>4509</v>
      </c>
      <c r="E775" s="1" t="s">
        <v>1653</v>
      </c>
      <c r="F775" s="1" t="s">
        <v>4532</v>
      </c>
      <c r="G775" s="7" t="s">
        <v>3298</v>
      </c>
      <c r="H775" s="14" t="s">
        <v>3298</v>
      </c>
      <c r="I775" s="25" t="s">
        <v>20</v>
      </c>
      <c r="J775" s="1" t="s">
        <v>4533</v>
      </c>
    </row>
    <row r="776" spans="1:12" ht="54" customHeight="1">
      <c r="A776" s="1">
        <v>28</v>
      </c>
      <c r="B776" s="1" t="s">
        <v>4534</v>
      </c>
      <c r="C776" s="1" t="s">
        <v>4535</v>
      </c>
      <c r="D776" s="1" t="s">
        <v>4509</v>
      </c>
      <c r="E776" s="1" t="s">
        <v>1653</v>
      </c>
      <c r="F776" s="1" t="s">
        <v>4536</v>
      </c>
      <c r="G776" s="30" t="s">
        <v>3079</v>
      </c>
      <c r="H776" s="14" t="s">
        <v>3079</v>
      </c>
      <c r="I776" s="14"/>
      <c r="K776" s="1" t="s">
        <v>1648</v>
      </c>
      <c r="L776" s="39" t="s">
        <v>1704</v>
      </c>
    </row>
    <row r="777" spans="1:12" ht="54" customHeight="1">
      <c r="A777" s="1">
        <v>609</v>
      </c>
      <c r="B777" s="1" t="s">
        <v>4537</v>
      </c>
      <c r="C777" s="1" t="s">
        <v>4538</v>
      </c>
      <c r="D777" s="1" t="s">
        <v>4509</v>
      </c>
      <c r="E777" s="1" t="s">
        <v>1653</v>
      </c>
      <c r="F777" s="1" t="s">
        <v>4539</v>
      </c>
      <c r="G777" s="6" t="s">
        <v>4540</v>
      </c>
      <c r="K777" s="1" t="s">
        <v>1648</v>
      </c>
      <c r="L777" s="39" t="s">
        <v>1704</v>
      </c>
    </row>
    <row r="778" spans="1:12" ht="54" customHeight="1">
      <c r="A778" s="1">
        <v>30</v>
      </c>
      <c r="B778" s="1" t="s">
        <v>4541</v>
      </c>
      <c r="C778" s="1" t="s">
        <v>4542</v>
      </c>
      <c r="D778" s="1" t="s">
        <v>4509</v>
      </c>
      <c r="E778" s="1" t="s">
        <v>1653</v>
      </c>
      <c r="F778" s="1" t="s">
        <v>4543</v>
      </c>
      <c r="G778" s="10" t="s">
        <v>77</v>
      </c>
      <c r="H778" s="22" t="s">
        <v>77</v>
      </c>
      <c r="I778" s="22"/>
      <c r="J778" s="49" t="s">
        <v>3084</v>
      </c>
      <c r="K778" s="1" t="s">
        <v>1648</v>
      </c>
      <c r="L778" s="39" t="s">
        <v>1704</v>
      </c>
    </row>
    <row r="779" spans="1:12" ht="54" customHeight="1">
      <c r="A779" s="1">
        <v>610</v>
      </c>
      <c r="B779" s="1" t="s">
        <v>4544</v>
      </c>
      <c r="C779" s="1" t="s">
        <v>4545</v>
      </c>
      <c r="D779" s="1" t="s">
        <v>4509</v>
      </c>
      <c r="E779" s="1" t="s">
        <v>1653</v>
      </c>
      <c r="F779" s="1" t="s">
        <v>4546</v>
      </c>
      <c r="G779" s="7" t="s">
        <v>4547</v>
      </c>
      <c r="H779" s="14" t="s">
        <v>4547</v>
      </c>
      <c r="I779" s="25"/>
      <c r="K779" s="1" t="s">
        <v>1648</v>
      </c>
      <c r="L779" s="39" t="s">
        <v>1704</v>
      </c>
    </row>
    <row r="780" spans="1:12" ht="54" customHeight="1">
      <c r="A780" s="1">
        <v>31</v>
      </c>
      <c r="B780" s="1" t="s">
        <v>4548</v>
      </c>
      <c r="C780" s="1" t="s">
        <v>4549</v>
      </c>
      <c r="D780" s="1" t="s">
        <v>4509</v>
      </c>
      <c r="E780" s="1" t="s">
        <v>1653</v>
      </c>
      <c r="F780" s="1" t="s">
        <v>4550</v>
      </c>
      <c r="G780" s="7" t="s">
        <v>3047</v>
      </c>
      <c r="H780" s="14" t="s">
        <v>3047</v>
      </c>
      <c r="I780" s="25"/>
      <c r="K780" s="1" t="s">
        <v>1648</v>
      </c>
      <c r="L780" s="39" t="s">
        <v>1704</v>
      </c>
    </row>
    <row r="781" spans="1:12" ht="54" customHeight="1">
      <c r="A781" s="1">
        <v>612</v>
      </c>
      <c r="B781" s="1" t="s">
        <v>4551</v>
      </c>
      <c r="C781" s="1" t="s">
        <v>4552</v>
      </c>
      <c r="D781" s="1" t="s">
        <v>4509</v>
      </c>
      <c r="E781" s="1" t="s">
        <v>1653</v>
      </c>
      <c r="F781" s="1" t="s">
        <v>4553</v>
      </c>
      <c r="G781" s="7" t="s">
        <v>2837</v>
      </c>
      <c r="H781" s="14" t="s">
        <v>2837</v>
      </c>
      <c r="I781" s="14" t="s">
        <v>20</v>
      </c>
      <c r="J781" s="1" t="s">
        <v>4554</v>
      </c>
      <c r="K781" s="1" t="s">
        <v>1648</v>
      </c>
      <c r="L781" s="39" t="s">
        <v>1704</v>
      </c>
    </row>
    <row r="782" spans="1:12" ht="54" customHeight="1">
      <c r="A782" s="1">
        <v>619</v>
      </c>
      <c r="B782" s="1" t="s">
        <v>4555</v>
      </c>
      <c r="C782" s="1" t="s">
        <v>4556</v>
      </c>
      <c r="D782" s="1" t="s">
        <v>4509</v>
      </c>
      <c r="E782" s="1" t="s">
        <v>1653</v>
      </c>
      <c r="F782" s="1" t="s">
        <v>4557</v>
      </c>
      <c r="G782" s="7" t="s">
        <v>4558</v>
      </c>
      <c r="H782" s="14" t="s">
        <v>4558</v>
      </c>
      <c r="I782" s="25"/>
      <c r="K782" s="1" t="s">
        <v>1648</v>
      </c>
      <c r="L782" s="39" t="s">
        <v>1704</v>
      </c>
    </row>
    <row r="783" spans="1:12" ht="54" customHeight="1">
      <c r="A783" s="1">
        <v>48</v>
      </c>
      <c r="B783" s="1" t="s">
        <v>4559</v>
      </c>
      <c r="C783" s="1" t="s">
        <v>4560</v>
      </c>
      <c r="D783" s="1" t="s">
        <v>4509</v>
      </c>
      <c r="E783" s="1" t="s">
        <v>1653</v>
      </c>
      <c r="F783" s="1" t="s">
        <v>4561</v>
      </c>
      <c r="G783" s="10" t="s">
        <v>4562</v>
      </c>
      <c r="H783" s="14" t="s">
        <v>4562</v>
      </c>
      <c r="I783" s="25"/>
      <c r="K783" s="1" t="s">
        <v>1648</v>
      </c>
      <c r="L783" s="39" t="s">
        <v>1704</v>
      </c>
    </row>
    <row r="784" spans="1:12" ht="54" customHeight="1">
      <c r="A784" s="1">
        <v>620</v>
      </c>
      <c r="B784" s="1" t="s">
        <v>4563</v>
      </c>
      <c r="C784" s="1" t="s">
        <v>4564</v>
      </c>
      <c r="D784" s="1" t="s">
        <v>4509</v>
      </c>
      <c r="E784" s="1" t="s">
        <v>1653</v>
      </c>
      <c r="F784" s="1" t="s">
        <v>4565</v>
      </c>
      <c r="G784" s="7" t="s">
        <v>4566</v>
      </c>
      <c r="H784" s="14" t="s">
        <v>4566</v>
      </c>
      <c r="I784" s="25"/>
      <c r="K784" s="1" t="s">
        <v>1648</v>
      </c>
      <c r="L784" s="39" t="s">
        <v>1704</v>
      </c>
    </row>
    <row r="785" spans="1:12" ht="54" customHeight="1">
      <c r="A785" s="1">
        <v>58</v>
      </c>
      <c r="B785" s="1" t="s">
        <v>4567</v>
      </c>
      <c r="C785" s="1" t="s">
        <v>4568</v>
      </c>
      <c r="D785" s="1" t="s">
        <v>4509</v>
      </c>
      <c r="E785" s="1" t="s">
        <v>1653</v>
      </c>
      <c r="F785" s="1" t="s">
        <v>4569</v>
      </c>
      <c r="G785" s="7" t="s">
        <v>4570</v>
      </c>
      <c r="H785" s="22" t="s">
        <v>4570</v>
      </c>
      <c r="I785" s="22"/>
      <c r="K785" s="1" t="s">
        <v>1648</v>
      </c>
      <c r="L785" s="39" t="s">
        <v>1704</v>
      </c>
    </row>
    <row r="786" spans="1:12" ht="54" customHeight="1">
      <c r="A786" s="1">
        <v>59</v>
      </c>
      <c r="B786" s="1" t="s">
        <v>4571</v>
      </c>
      <c r="C786" s="1" t="s">
        <v>4572</v>
      </c>
      <c r="D786" s="1" t="s">
        <v>4509</v>
      </c>
      <c r="E786" s="1" t="s">
        <v>1653</v>
      </c>
      <c r="F786" s="1" t="s">
        <v>4573</v>
      </c>
      <c r="G786" s="7" t="s">
        <v>4574</v>
      </c>
      <c r="H786" s="14" t="s">
        <v>4574</v>
      </c>
      <c r="I786" s="25"/>
      <c r="K786" s="1" t="s">
        <v>1648</v>
      </c>
      <c r="L786" s="39" t="s">
        <v>1704</v>
      </c>
    </row>
    <row r="787" spans="1:12" ht="54" customHeight="1">
      <c r="A787" s="1">
        <v>64</v>
      </c>
      <c r="B787" s="1" t="s">
        <v>4575</v>
      </c>
      <c r="C787" s="1" t="s">
        <v>4576</v>
      </c>
      <c r="D787" s="1" t="s">
        <v>4509</v>
      </c>
      <c r="E787" s="1" t="s">
        <v>1653</v>
      </c>
      <c r="F787" s="1" t="s">
        <v>4577</v>
      </c>
      <c r="G787" s="8" t="s">
        <v>4578</v>
      </c>
      <c r="H787" s="7" t="s">
        <v>4578</v>
      </c>
      <c r="I787" s="7"/>
      <c r="K787" s="1" t="s">
        <v>1648</v>
      </c>
      <c r="L787" s="39" t="s">
        <v>1704</v>
      </c>
    </row>
    <row r="788" spans="1:12" ht="54" customHeight="1">
      <c r="A788" s="1">
        <v>74</v>
      </c>
      <c r="B788" s="1" t="s">
        <v>4579</v>
      </c>
      <c r="C788" s="1" t="s">
        <v>4580</v>
      </c>
      <c r="D788" s="1" t="s">
        <v>4509</v>
      </c>
      <c r="E788" s="1" t="s">
        <v>1653</v>
      </c>
      <c r="F788" s="1" t="s">
        <v>4581</v>
      </c>
      <c r="G788" s="7" t="s">
        <v>4582</v>
      </c>
      <c r="H788" s="22" t="s">
        <v>4582</v>
      </c>
      <c r="I788" s="22"/>
      <c r="K788" s="1" t="s">
        <v>1648</v>
      </c>
      <c r="L788" s="39" t="s">
        <v>1704</v>
      </c>
    </row>
    <row r="789" spans="1:12" ht="54" customHeight="1">
      <c r="A789" s="1">
        <v>84</v>
      </c>
      <c r="B789" s="1" t="s">
        <v>4583</v>
      </c>
      <c r="C789" s="1" t="s">
        <v>4584</v>
      </c>
      <c r="D789" s="1" t="s">
        <v>4509</v>
      </c>
      <c r="E789" s="1" t="s">
        <v>1653</v>
      </c>
      <c r="F789" s="1" t="s">
        <v>4585</v>
      </c>
      <c r="G789" s="7" t="s">
        <v>4586</v>
      </c>
      <c r="H789" s="14" t="s">
        <v>4586</v>
      </c>
      <c r="I789" s="25"/>
      <c r="K789" s="1" t="s">
        <v>1648</v>
      </c>
      <c r="L789" s="39" t="s">
        <v>1704</v>
      </c>
    </row>
    <row r="790" spans="1:12" ht="54" customHeight="1">
      <c r="A790" s="1">
        <v>93</v>
      </c>
      <c r="B790" s="1" t="s">
        <v>4587</v>
      </c>
      <c r="C790" s="1" t="s">
        <v>4588</v>
      </c>
      <c r="D790" s="1" t="s">
        <v>4509</v>
      </c>
      <c r="E790" s="1" t="s">
        <v>1653</v>
      </c>
      <c r="F790" s="1" t="s">
        <v>4589</v>
      </c>
      <c r="G790" s="7" t="s">
        <v>4590</v>
      </c>
      <c r="H790" s="14" t="s">
        <v>4590</v>
      </c>
      <c r="I790" s="25"/>
      <c r="K790" s="1" t="s">
        <v>1648</v>
      </c>
      <c r="L790" s="39" t="s">
        <v>1704</v>
      </c>
    </row>
    <row r="791" spans="1:12" ht="54" customHeight="1">
      <c r="A791" s="1">
        <v>94</v>
      </c>
      <c r="B791" s="1" t="s">
        <v>4591</v>
      </c>
      <c r="C791" s="1" t="s">
        <v>4592</v>
      </c>
      <c r="D791" s="1" t="s">
        <v>4509</v>
      </c>
      <c r="E791" s="1" t="s">
        <v>1653</v>
      </c>
      <c r="F791" s="1" t="s">
        <v>4593</v>
      </c>
      <c r="G791" s="7" t="s">
        <v>4594</v>
      </c>
      <c r="H791" s="14" t="s">
        <v>4594</v>
      </c>
      <c r="I791" s="25"/>
      <c r="K791" s="1" t="s">
        <v>1648</v>
      </c>
      <c r="L791" s="39" t="s">
        <v>1704</v>
      </c>
    </row>
    <row r="792" spans="1:12" ht="54" customHeight="1">
      <c r="A792" s="1">
        <v>102</v>
      </c>
      <c r="B792" s="1" t="s">
        <v>1224</v>
      </c>
      <c r="C792" s="1" t="s">
        <v>4595</v>
      </c>
      <c r="D792" s="1" t="s">
        <v>4509</v>
      </c>
      <c r="E792" s="1" t="s">
        <v>1653</v>
      </c>
      <c r="F792" s="1" t="s">
        <v>4596</v>
      </c>
      <c r="G792" s="55" t="s">
        <v>134</v>
      </c>
      <c r="H792" s="14" t="s">
        <v>134</v>
      </c>
      <c r="I792" s="25"/>
      <c r="K792" s="1" t="s">
        <v>1648</v>
      </c>
      <c r="L792" s="39" t="s">
        <v>1704</v>
      </c>
    </row>
    <row r="793" spans="1:12" ht="54" customHeight="1">
      <c r="A793" s="1">
        <v>108</v>
      </c>
      <c r="B793" s="1" t="s">
        <v>4597</v>
      </c>
      <c r="C793" s="1" t="s">
        <v>4598</v>
      </c>
      <c r="D793" s="1" t="s">
        <v>4509</v>
      </c>
      <c r="E793" s="1" t="s">
        <v>1653</v>
      </c>
      <c r="F793" s="1" t="s">
        <v>4599</v>
      </c>
      <c r="G793" s="7" t="s">
        <v>4495</v>
      </c>
      <c r="H793" s="14" t="s">
        <v>4495</v>
      </c>
      <c r="I793" s="25"/>
      <c r="K793" s="1" t="s">
        <v>1648</v>
      </c>
      <c r="L793" s="39" t="s">
        <v>1704</v>
      </c>
    </row>
    <row r="794" spans="1:12" ht="54" customHeight="1">
      <c r="A794" s="1">
        <v>109</v>
      </c>
      <c r="B794" s="1" t="s">
        <v>4600</v>
      </c>
      <c r="C794" s="1" t="s">
        <v>4601</v>
      </c>
      <c r="D794" s="1" t="s">
        <v>4509</v>
      </c>
      <c r="E794" s="1" t="s">
        <v>1653</v>
      </c>
      <c r="F794" s="1" t="s">
        <v>4602</v>
      </c>
      <c r="G794" s="7" t="s">
        <v>4603</v>
      </c>
      <c r="H794" s="14" t="s">
        <v>4603</v>
      </c>
      <c r="I794" s="25"/>
      <c r="K794" s="1" t="s">
        <v>1648</v>
      </c>
      <c r="L794" s="39" t="s">
        <v>1704</v>
      </c>
    </row>
    <row r="795" spans="1:12" ht="54" customHeight="1">
      <c r="A795" s="1">
        <v>117</v>
      </c>
      <c r="B795" s="1" t="s">
        <v>4604</v>
      </c>
      <c r="C795" s="1" t="s">
        <v>4605</v>
      </c>
      <c r="D795" s="1" t="s">
        <v>4509</v>
      </c>
      <c r="E795" s="1" t="s">
        <v>1653</v>
      </c>
      <c r="F795" s="1" t="s">
        <v>4606</v>
      </c>
      <c r="G795" s="8" t="s">
        <v>3812</v>
      </c>
      <c r="H795" s="14" t="s">
        <v>3812</v>
      </c>
      <c r="I795" s="25"/>
      <c r="K795" s="1" t="s">
        <v>1648</v>
      </c>
      <c r="L795" s="39" t="s">
        <v>1704</v>
      </c>
    </row>
    <row r="796" spans="1:12" ht="54" customHeight="1">
      <c r="A796" s="1">
        <v>122</v>
      </c>
      <c r="B796" s="1" t="s">
        <v>4607</v>
      </c>
      <c r="C796" s="1" t="s">
        <v>4608</v>
      </c>
      <c r="D796" s="1" t="s">
        <v>4509</v>
      </c>
      <c r="E796" s="1" t="s">
        <v>1653</v>
      </c>
      <c r="F796" s="1" t="s">
        <v>4609</v>
      </c>
      <c r="G796" s="7" t="s">
        <v>4610</v>
      </c>
      <c r="H796" s="14" t="s">
        <v>4610</v>
      </c>
      <c r="I796" s="10"/>
    </row>
    <row r="797" spans="1:12" ht="54" customHeight="1">
      <c r="A797" s="1">
        <v>125</v>
      </c>
      <c r="B797" s="1" t="s">
        <v>4611</v>
      </c>
      <c r="C797" s="1" t="s">
        <v>4612</v>
      </c>
      <c r="D797" s="1" t="s">
        <v>4509</v>
      </c>
      <c r="E797" s="1" t="s">
        <v>1653</v>
      </c>
      <c r="F797" s="1" t="s">
        <v>4613</v>
      </c>
      <c r="G797" s="7" t="s">
        <v>4614</v>
      </c>
      <c r="H797" s="14" t="s">
        <v>4614</v>
      </c>
      <c r="I797" s="10"/>
      <c r="K797" s="1" t="s">
        <v>1648</v>
      </c>
      <c r="L797" s="39" t="s">
        <v>1704</v>
      </c>
    </row>
    <row r="798" spans="1:12" ht="54" customHeight="1">
      <c r="A798" s="1">
        <v>129</v>
      </c>
      <c r="B798" s="1" t="s">
        <v>4615</v>
      </c>
      <c r="C798" s="1" t="s">
        <v>4616</v>
      </c>
      <c r="D798" s="1" t="s">
        <v>4509</v>
      </c>
      <c r="E798" s="1" t="s">
        <v>1653</v>
      </c>
      <c r="F798" s="1" t="s">
        <v>4617</v>
      </c>
      <c r="G798" s="7" t="s">
        <v>4618</v>
      </c>
      <c r="H798" s="14" t="s">
        <v>4618</v>
      </c>
      <c r="I798" s="25"/>
      <c r="K798" s="1" t="s">
        <v>1648</v>
      </c>
      <c r="L798" s="39" t="s">
        <v>1704</v>
      </c>
    </row>
    <row r="799" spans="1:12" ht="54" customHeight="1">
      <c r="A799" s="1">
        <v>130</v>
      </c>
      <c r="B799" s="1" t="s">
        <v>4619</v>
      </c>
      <c r="C799" s="1" t="s">
        <v>4620</v>
      </c>
      <c r="D799" s="1" t="s">
        <v>4509</v>
      </c>
      <c r="E799" s="1" t="s">
        <v>1653</v>
      </c>
      <c r="F799" s="1" t="s">
        <v>4621</v>
      </c>
      <c r="G799" s="30" t="s">
        <v>3818</v>
      </c>
      <c r="H799" s="14" t="s">
        <v>3818</v>
      </c>
      <c r="I799" s="25"/>
      <c r="K799" s="1" t="s">
        <v>1648</v>
      </c>
      <c r="L799" s="39" t="s">
        <v>1704</v>
      </c>
    </row>
    <row r="800" spans="1:12" ht="54" customHeight="1">
      <c r="A800" s="1">
        <v>647</v>
      </c>
      <c r="B800" s="1" t="s">
        <v>1388</v>
      </c>
      <c r="C800" s="1" t="s">
        <v>4622</v>
      </c>
      <c r="D800" s="1" t="s">
        <v>4509</v>
      </c>
      <c r="E800" s="1" t="s">
        <v>1653</v>
      </c>
      <c r="F800" s="1" t="s">
        <v>4623</v>
      </c>
      <c r="G800" s="8" t="s">
        <v>4624</v>
      </c>
      <c r="H800" s="14" t="s">
        <v>4624</v>
      </c>
      <c r="I800" s="10"/>
      <c r="K800" s="1" t="s">
        <v>1648</v>
      </c>
      <c r="L800" s="39" t="s">
        <v>1704</v>
      </c>
    </row>
    <row r="801" spans="1:12" ht="54" customHeight="1">
      <c r="A801" s="1">
        <v>146</v>
      </c>
      <c r="B801" s="1" t="s">
        <v>4625</v>
      </c>
      <c r="C801" s="1" t="s">
        <v>4626</v>
      </c>
      <c r="D801" s="1" t="s">
        <v>4509</v>
      </c>
      <c r="E801" s="1" t="s">
        <v>1653</v>
      </c>
      <c r="F801" s="1" t="s">
        <v>4627</v>
      </c>
      <c r="G801" s="7" t="s">
        <v>1373</v>
      </c>
      <c r="H801" s="14" t="s">
        <v>1373</v>
      </c>
      <c r="K801" s="1" t="s">
        <v>1648</v>
      </c>
      <c r="L801" s="39" t="s">
        <v>1704</v>
      </c>
    </row>
    <row r="802" spans="1:12" ht="54" customHeight="1">
      <c r="A802" s="1">
        <v>155</v>
      </c>
      <c r="B802" s="1" t="s">
        <v>4628</v>
      </c>
      <c r="C802" s="1" t="s">
        <v>4629</v>
      </c>
      <c r="D802" s="1" t="s">
        <v>4509</v>
      </c>
      <c r="E802" s="1" t="s">
        <v>1653</v>
      </c>
      <c r="F802" s="1" t="s">
        <v>4630</v>
      </c>
      <c r="G802" s="6" t="s">
        <v>2476</v>
      </c>
      <c r="K802" s="1" t="s">
        <v>1648</v>
      </c>
      <c r="L802" s="39" t="s">
        <v>1704</v>
      </c>
    </row>
    <row r="803" spans="1:12" ht="54" customHeight="1">
      <c r="A803" s="1">
        <v>156</v>
      </c>
      <c r="B803" s="1" t="s">
        <v>4631</v>
      </c>
      <c r="C803" s="1" t="s">
        <v>4632</v>
      </c>
      <c r="D803" s="1" t="s">
        <v>4509</v>
      </c>
      <c r="E803" s="1" t="s">
        <v>1653</v>
      </c>
      <c r="F803" s="1" t="s">
        <v>4633</v>
      </c>
      <c r="G803" s="6"/>
    </row>
    <row r="804" spans="1:12" ht="54" customHeight="1">
      <c r="A804" s="1">
        <v>164</v>
      </c>
      <c r="B804" s="1" t="s">
        <v>4634</v>
      </c>
      <c r="C804" s="1" t="s">
        <v>4635</v>
      </c>
      <c r="D804" s="1" t="s">
        <v>4509</v>
      </c>
      <c r="E804" s="1" t="s">
        <v>1653</v>
      </c>
      <c r="F804" s="1" t="s">
        <v>4636</v>
      </c>
      <c r="G804" s="31"/>
    </row>
    <row r="805" spans="1:12" ht="54" customHeight="1">
      <c r="A805" s="1">
        <v>165</v>
      </c>
      <c r="B805" s="1" t="s">
        <v>4637</v>
      </c>
      <c r="C805" s="1" t="s">
        <v>4638</v>
      </c>
      <c r="D805" s="1" t="s">
        <v>4509</v>
      </c>
      <c r="E805" s="1" t="s">
        <v>1653</v>
      </c>
      <c r="F805" s="1" t="s">
        <v>4639</v>
      </c>
      <c r="G805" s="7" t="s">
        <v>3836</v>
      </c>
      <c r="H805" s="14" t="s">
        <v>3836</v>
      </c>
      <c r="I805" s="10"/>
      <c r="K805" s="1" t="s">
        <v>1648</v>
      </c>
      <c r="L805" s="39" t="s">
        <v>1704</v>
      </c>
    </row>
    <row r="806" spans="1:12" ht="54" customHeight="1">
      <c r="A806" s="1">
        <v>173</v>
      </c>
      <c r="B806" s="1" t="s">
        <v>1410</v>
      </c>
      <c r="C806" s="9" t="s">
        <v>4640</v>
      </c>
      <c r="D806" s="1" t="s">
        <v>4509</v>
      </c>
      <c r="E806" s="1" t="s">
        <v>1653</v>
      </c>
      <c r="F806" s="1" t="s">
        <v>4641</v>
      </c>
      <c r="G806" s="8" t="s">
        <v>4642</v>
      </c>
      <c r="H806" s="14" t="s">
        <v>4642</v>
      </c>
      <c r="I806" s="25"/>
      <c r="K806" s="1" t="s">
        <v>1648</v>
      </c>
      <c r="L806" s="39" t="s">
        <v>1704</v>
      </c>
    </row>
    <row r="807" spans="1:12" ht="54" customHeight="1">
      <c r="A807" s="1">
        <v>180</v>
      </c>
      <c r="B807" s="1" t="s">
        <v>4643</v>
      </c>
      <c r="C807" s="1" t="s">
        <v>4644</v>
      </c>
      <c r="D807" s="1" t="s">
        <v>4509</v>
      </c>
      <c r="E807" s="1" t="s">
        <v>1653</v>
      </c>
      <c r="F807" s="1" t="s">
        <v>4645</v>
      </c>
      <c r="G807" s="7" t="s">
        <v>4646</v>
      </c>
      <c r="H807" s="14" t="s">
        <v>4646</v>
      </c>
      <c r="K807" s="1" t="s">
        <v>1648</v>
      </c>
      <c r="L807" s="39" t="s">
        <v>1704</v>
      </c>
    </row>
    <row r="808" spans="1:12" ht="54" customHeight="1">
      <c r="A808" s="1">
        <v>662</v>
      </c>
      <c r="B808" s="1" t="s">
        <v>4647</v>
      </c>
      <c r="C808" s="1" t="s">
        <v>4648</v>
      </c>
      <c r="D808" s="1" t="s">
        <v>4509</v>
      </c>
      <c r="E808" s="1" t="s">
        <v>1653</v>
      </c>
      <c r="F808" s="1" t="s">
        <v>4649</v>
      </c>
      <c r="G808" s="6"/>
    </row>
    <row r="809" spans="1:12" ht="54" customHeight="1">
      <c r="A809" s="1">
        <v>190</v>
      </c>
      <c r="B809" s="1" t="s">
        <v>4650</v>
      </c>
      <c r="C809" s="1" t="s">
        <v>4651</v>
      </c>
      <c r="D809" s="1" t="s">
        <v>4509</v>
      </c>
      <c r="E809" s="1" t="s">
        <v>1653</v>
      </c>
      <c r="F809" s="1" t="s">
        <v>4652</v>
      </c>
      <c r="G809" s="7" t="s">
        <v>4653</v>
      </c>
      <c r="H809" s="14" t="s">
        <v>4653</v>
      </c>
      <c r="I809" s="10"/>
      <c r="K809" s="1" t="s">
        <v>1648</v>
      </c>
      <c r="L809" s="39" t="s">
        <v>1704</v>
      </c>
    </row>
    <row r="810" spans="1:12" ht="54" customHeight="1">
      <c r="A810" s="1">
        <v>192</v>
      </c>
      <c r="B810" s="1" t="s">
        <v>4654</v>
      </c>
      <c r="C810" s="1" t="s">
        <v>4655</v>
      </c>
      <c r="D810" s="1" t="s">
        <v>4509</v>
      </c>
      <c r="E810" s="1" t="s">
        <v>1653</v>
      </c>
      <c r="F810" s="1" t="s">
        <v>4656</v>
      </c>
      <c r="G810" s="7" t="s">
        <v>1839</v>
      </c>
      <c r="H810" s="14" t="s">
        <v>1839</v>
      </c>
      <c r="K810" s="1" t="s">
        <v>1648</v>
      </c>
      <c r="L810" s="39" t="s">
        <v>1704</v>
      </c>
    </row>
    <row r="811" spans="1:12" ht="54" customHeight="1">
      <c r="A811" s="1">
        <v>196</v>
      </c>
      <c r="B811" s="1" t="s">
        <v>4657</v>
      </c>
      <c r="C811" s="1" t="s">
        <v>4658</v>
      </c>
      <c r="D811" s="1" t="s">
        <v>4509</v>
      </c>
      <c r="E811" s="1" t="s">
        <v>1653</v>
      </c>
      <c r="F811" s="1" t="s">
        <v>4659</v>
      </c>
      <c r="G811" s="7" t="s">
        <v>4660</v>
      </c>
      <c r="H811" s="14" t="s">
        <v>4660</v>
      </c>
      <c r="I811" s="10"/>
      <c r="K811" s="1" t="s">
        <v>1669</v>
      </c>
      <c r="L811" s="39" t="s">
        <v>1717</v>
      </c>
    </row>
    <row r="812" spans="1:12" ht="54" customHeight="1">
      <c r="A812" s="1">
        <v>206</v>
      </c>
      <c r="B812" s="1" t="s">
        <v>4661</v>
      </c>
      <c r="C812" s="1" t="s">
        <v>4662</v>
      </c>
      <c r="D812" s="1" t="s">
        <v>4509</v>
      </c>
      <c r="E812" s="1" t="s">
        <v>1653</v>
      </c>
      <c r="F812" s="1" t="s">
        <v>4663</v>
      </c>
      <c r="G812" s="8" t="s">
        <v>28</v>
      </c>
      <c r="H812" s="14" t="s">
        <v>28</v>
      </c>
      <c r="I812" s="14" t="s">
        <v>20</v>
      </c>
      <c r="K812" s="1" t="s">
        <v>1669</v>
      </c>
      <c r="L812" s="39" t="s">
        <v>2171</v>
      </c>
    </row>
    <row r="813" spans="1:12" ht="54" customHeight="1">
      <c r="A813" s="1">
        <v>210</v>
      </c>
      <c r="B813" s="1" t="s">
        <v>4664</v>
      </c>
      <c r="C813" s="1" t="s">
        <v>4665</v>
      </c>
      <c r="D813" s="1" t="s">
        <v>4509</v>
      </c>
      <c r="E813" s="1" t="s">
        <v>1653</v>
      </c>
      <c r="F813" s="1" t="s">
        <v>4666</v>
      </c>
      <c r="G813" s="7" t="s">
        <v>159</v>
      </c>
      <c r="H813" s="22" t="s">
        <v>159</v>
      </c>
      <c r="J813" s="1" t="s">
        <v>4667</v>
      </c>
      <c r="K813" s="1" t="s">
        <v>1648</v>
      </c>
      <c r="L813" s="39" t="s">
        <v>1704</v>
      </c>
    </row>
    <row r="814" spans="1:12" ht="54" customHeight="1">
      <c r="A814" s="1">
        <v>214</v>
      </c>
      <c r="B814" s="1" t="s">
        <v>4668</v>
      </c>
      <c r="C814" s="1" t="s">
        <v>4669</v>
      </c>
      <c r="D814" s="1" t="s">
        <v>4509</v>
      </c>
      <c r="E814" s="1" t="s">
        <v>1653</v>
      </c>
      <c r="F814" s="1" t="s">
        <v>4670</v>
      </c>
      <c r="G814" s="7" t="s">
        <v>4385</v>
      </c>
      <c r="H814" s="14" t="s">
        <v>4385</v>
      </c>
      <c r="I814" s="10"/>
      <c r="K814" s="1" t="s">
        <v>1648</v>
      </c>
      <c r="L814" s="39" t="s">
        <v>1704</v>
      </c>
    </row>
    <row r="815" spans="1:12" ht="54" customHeight="1">
      <c r="A815" s="1">
        <v>218</v>
      </c>
      <c r="B815" s="1" t="s">
        <v>4671</v>
      </c>
      <c r="C815" s="1" t="s">
        <v>4672</v>
      </c>
      <c r="D815" s="1" t="s">
        <v>4509</v>
      </c>
      <c r="E815" s="1" t="s">
        <v>1653</v>
      </c>
      <c r="F815" s="1" t="s">
        <v>4673</v>
      </c>
      <c r="G815" s="7" t="s">
        <v>4674</v>
      </c>
      <c r="H815" s="14" t="s">
        <v>4674</v>
      </c>
      <c r="I815" s="10"/>
      <c r="K815" s="1" t="s">
        <v>1648</v>
      </c>
      <c r="L815" s="39" t="s">
        <v>1704</v>
      </c>
    </row>
    <row r="816" spans="1:12" ht="54" customHeight="1">
      <c r="A816" s="1">
        <v>227</v>
      </c>
      <c r="B816" s="1" t="s">
        <v>4675</v>
      </c>
      <c r="C816" s="1" t="s">
        <v>4676</v>
      </c>
      <c r="D816" s="1" t="s">
        <v>4509</v>
      </c>
      <c r="E816" s="1" t="s">
        <v>1653</v>
      </c>
      <c r="F816" s="1" t="s">
        <v>4677</v>
      </c>
      <c r="G816" s="7" t="s">
        <v>4678</v>
      </c>
      <c r="H816" s="14" t="s">
        <v>4678</v>
      </c>
      <c r="K816" s="1" t="s">
        <v>1648</v>
      </c>
      <c r="L816" s="39" t="s">
        <v>1704</v>
      </c>
    </row>
    <row r="817" spans="1:12" ht="54" customHeight="1">
      <c r="A817" s="1">
        <v>230</v>
      </c>
      <c r="B817" s="1" t="s">
        <v>4679</v>
      </c>
      <c r="C817" s="1" t="s">
        <v>4680</v>
      </c>
      <c r="D817" s="1" t="s">
        <v>4509</v>
      </c>
      <c r="E817" s="1" t="s">
        <v>1653</v>
      </c>
      <c r="F817" s="1" t="s">
        <v>4681</v>
      </c>
      <c r="G817" s="7" t="s">
        <v>4682</v>
      </c>
      <c r="H817" s="14" t="s">
        <v>4682</v>
      </c>
      <c r="K817" s="1" t="s">
        <v>1648</v>
      </c>
      <c r="L817" s="39" t="s">
        <v>1704</v>
      </c>
    </row>
    <row r="818" spans="1:12" ht="54" customHeight="1">
      <c r="A818" s="1">
        <v>235</v>
      </c>
      <c r="B818" s="1" t="s">
        <v>4683</v>
      </c>
      <c r="C818" s="1" t="s">
        <v>4684</v>
      </c>
      <c r="D818" s="1" t="s">
        <v>4509</v>
      </c>
      <c r="E818" s="1" t="s">
        <v>1653</v>
      </c>
      <c r="F818" s="1" t="s">
        <v>4685</v>
      </c>
      <c r="G818" s="6"/>
      <c r="K818" s="1" t="s">
        <v>1648</v>
      </c>
      <c r="L818" s="39" t="s">
        <v>1704</v>
      </c>
    </row>
    <row r="819" spans="1:12" ht="54" customHeight="1">
      <c r="A819" s="1">
        <v>236</v>
      </c>
      <c r="B819" s="1" t="s">
        <v>4686</v>
      </c>
      <c r="C819" s="1" t="s">
        <v>4687</v>
      </c>
      <c r="D819" s="1" t="s">
        <v>4509</v>
      </c>
      <c r="E819" s="1" t="s">
        <v>1653</v>
      </c>
      <c r="F819" s="1" t="s">
        <v>4688</v>
      </c>
      <c r="G819" s="6"/>
      <c r="K819" s="1" t="s">
        <v>1648</v>
      </c>
      <c r="L819" s="39" t="s">
        <v>1704</v>
      </c>
    </row>
    <row r="820" spans="1:12" ht="54" customHeight="1">
      <c r="A820" s="1">
        <v>237</v>
      </c>
      <c r="B820" s="1" t="s">
        <v>4689</v>
      </c>
      <c r="C820" s="1" t="s">
        <v>4690</v>
      </c>
      <c r="D820" s="1" t="s">
        <v>4509</v>
      </c>
      <c r="E820" s="1" t="s">
        <v>1653</v>
      </c>
      <c r="F820" s="1" t="s">
        <v>4691</v>
      </c>
      <c r="G820" s="7" t="s">
        <v>4692</v>
      </c>
      <c r="H820" s="14" t="s">
        <v>4692</v>
      </c>
      <c r="K820" s="1" t="s">
        <v>1648</v>
      </c>
      <c r="L820" s="39" t="s">
        <v>1704</v>
      </c>
    </row>
    <row r="821" spans="1:12" ht="54" customHeight="1">
      <c r="A821" s="1">
        <v>240</v>
      </c>
      <c r="B821" s="1" t="s">
        <v>4693</v>
      </c>
      <c r="C821" s="1" t="s">
        <v>4694</v>
      </c>
      <c r="D821" s="1" t="s">
        <v>4509</v>
      </c>
      <c r="E821" s="1" t="s">
        <v>1653</v>
      </c>
      <c r="F821" s="1" t="s">
        <v>4695</v>
      </c>
      <c r="G821" s="7" t="s">
        <v>4696</v>
      </c>
      <c r="H821" s="14" t="s">
        <v>4696</v>
      </c>
      <c r="K821" s="1" t="s">
        <v>1648</v>
      </c>
      <c r="L821" s="39" t="s">
        <v>1704</v>
      </c>
    </row>
    <row r="822" spans="1:12" ht="54" customHeight="1">
      <c r="A822" s="1">
        <v>242</v>
      </c>
      <c r="B822" s="1" t="s">
        <v>4697</v>
      </c>
      <c r="C822" s="1" t="s">
        <v>4698</v>
      </c>
      <c r="D822" s="1" t="s">
        <v>4509</v>
      </c>
      <c r="E822" s="1" t="s">
        <v>1653</v>
      </c>
      <c r="F822" s="1" t="s">
        <v>4699</v>
      </c>
      <c r="G822" s="7" t="s">
        <v>4700</v>
      </c>
      <c r="H822" s="14" t="s">
        <v>4700</v>
      </c>
      <c r="I822" s="10"/>
      <c r="K822" s="1" t="s">
        <v>1648</v>
      </c>
      <c r="L822" s="39" t="s">
        <v>1704</v>
      </c>
    </row>
    <row r="823" spans="1:12" ht="54" customHeight="1">
      <c r="A823" s="1">
        <v>245</v>
      </c>
      <c r="B823" s="1" t="s">
        <v>4701</v>
      </c>
      <c r="C823" s="1" t="s">
        <v>4702</v>
      </c>
      <c r="D823" s="1" t="s">
        <v>4509</v>
      </c>
      <c r="E823" s="1" t="s">
        <v>1653</v>
      </c>
      <c r="F823" s="1" t="s">
        <v>4703</v>
      </c>
      <c r="G823" s="7" t="s">
        <v>4704</v>
      </c>
      <c r="H823" s="14" t="s">
        <v>4704</v>
      </c>
      <c r="I823" s="10"/>
      <c r="K823" s="1" t="s">
        <v>1648</v>
      </c>
      <c r="L823" s="39" t="s">
        <v>1704</v>
      </c>
    </row>
    <row r="824" spans="1:12" ht="54" customHeight="1">
      <c r="A824" s="1">
        <v>247</v>
      </c>
      <c r="B824" s="1" t="s">
        <v>4705</v>
      </c>
      <c r="C824" s="1" t="s">
        <v>4706</v>
      </c>
      <c r="D824" s="1" t="s">
        <v>4509</v>
      </c>
      <c r="E824" s="1" t="s">
        <v>1653</v>
      </c>
      <c r="F824" s="1" t="s">
        <v>4707</v>
      </c>
      <c r="G824" s="7" t="s">
        <v>3079</v>
      </c>
      <c r="H824" s="14" t="s">
        <v>3079</v>
      </c>
      <c r="J824" s="1" t="s">
        <v>4708</v>
      </c>
      <c r="K824" s="1" t="s">
        <v>1648</v>
      </c>
      <c r="L824" s="39" t="s">
        <v>1704</v>
      </c>
    </row>
    <row r="825" spans="1:12" ht="54" customHeight="1">
      <c r="A825" s="1">
        <v>250</v>
      </c>
      <c r="B825" s="1" t="s">
        <v>4709</v>
      </c>
      <c r="C825" s="1" t="s">
        <v>4710</v>
      </c>
      <c r="D825" s="1" t="s">
        <v>4509</v>
      </c>
      <c r="E825" s="1" t="s">
        <v>1653</v>
      </c>
      <c r="F825" s="1" t="s">
        <v>4711</v>
      </c>
      <c r="G825" s="7" t="s">
        <v>4712</v>
      </c>
      <c r="H825" s="7" t="s">
        <v>4712</v>
      </c>
      <c r="K825" s="1" t="s">
        <v>1648</v>
      </c>
      <c r="L825" s="39" t="s">
        <v>1704</v>
      </c>
    </row>
    <row r="826" spans="1:12" ht="54" customHeight="1">
      <c r="A826" s="1">
        <v>293</v>
      </c>
      <c r="B826" s="1" t="s">
        <v>4713</v>
      </c>
      <c r="C826" s="1" t="s">
        <v>4714</v>
      </c>
      <c r="D826" s="1" t="s">
        <v>4509</v>
      </c>
      <c r="E826" s="1" t="s">
        <v>1653</v>
      </c>
      <c r="F826" s="1" t="s">
        <v>4715</v>
      </c>
      <c r="G826" s="7" t="s">
        <v>1839</v>
      </c>
      <c r="J826" s="1" t="s">
        <v>4716</v>
      </c>
      <c r="K826" s="1" t="s">
        <v>1648</v>
      </c>
      <c r="L826" s="39" t="s">
        <v>1704</v>
      </c>
    </row>
    <row r="827" spans="1:12" ht="54" customHeight="1">
      <c r="A827" s="1">
        <v>300</v>
      </c>
      <c r="B827" s="1" t="s">
        <v>4717</v>
      </c>
      <c r="C827" s="1" t="s">
        <v>4718</v>
      </c>
      <c r="D827" s="1" t="s">
        <v>4509</v>
      </c>
      <c r="E827" s="1" t="s">
        <v>1653</v>
      </c>
      <c r="F827" s="1" t="s">
        <v>4719</v>
      </c>
      <c r="G827" s="8" t="s">
        <v>4720</v>
      </c>
      <c r="H827" s="14" t="s">
        <v>4720</v>
      </c>
      <c r="I827" s="25"/>
      <c r="K827" s="1" t="s">
        <v>1648</v>
      </c>
      <c r="L827" s="39" t="s">
        <v>1704</v>
      </c>
    </row>
    <row r="828" spans="1:12" ht="54" customHeight="1">
      <c r="A828" s="1">
        <v>306</v>
      </c>
      <c r="B828" s="1" t="s">
        <v>4721</v>
      </c>
      <c r="C828" s="1" t="s">
        <v>4722</v>
      </c>
      <c r="D828" s="1" t="s">
        <v>4509</v>
      </c>
      <c r="E828" s="1" t="s">
        <v>1653</v>
      </c>
      <c r="F828" s="1" t="s">
        <v>4723</v>
      </c>
      <c r="G828" s="7" t="s">
        <v>3079</v>
      </c>
      <c r="J828" s="1" t="s">
        <v>4724</v>
      </c>
      <c r="K828" s="1" t="s">
        <v>1648</v>
      </c>
      <c r="L828" s="39" t="s">
        <v>1704</v>
      </c>
    </row>
    <row r="829" spans="1:12" ht="54" customHeight="1">
      <c r="A829" s="1">
        <v>307</v>
      </c>
      <c r="B829" s="1" t="s">
        <v>4725</v>
      </c>
      <c r="C829" s="1" t="s">
        <v>4726</v>
      </c>
      <c r="D829" s="1" t="s">
        <v>4509</v>
      </c>
      <c r="E829" s="1" t="s">
        <v>1653</v>
      </c>
      <c r="F829" s="1" t="s">
        <v>4727</v>
      </c>
      <c r="G829" s="7" t="s">
        <v>4728</v>
      </c>
      <c r="H829" s="14" t="s">
        <v>4728</v>
      </c>
      <c r="I829" s="10"/>
      <c r="K829" s="1" t="s">
        <v>1648</v>
      </c>
      <c r="L829" s="39" t="s">
        <v>1704</v>
      </c>
    </row>
    <row r="830" spans="1:12" ht="54" customHeight="1">
      <c r="A830" s="1">
        <v>313</v>
      </c>
      <c r="B830" s="1" t="s">
        <v>1386</v>
      </c>
      <c r="C830" s="1" t="s">
        <v>4729</v>
      </c>
      <c r="D830" s="1" t="s">
        <v>4509</v>
      </c>
      <c r="E830" s="1" t="s">
        <v>1653</v>
      </c>
      <c r="F830" s="1" t="s">
        <v>4730</v>
      </c>
      <c r="G830" s="8" t="s">
        <v>4731</v>
      </c>
      <c r="H830" s="14" t="s">
        <v>4732</v>
      </c>
      <c r="I830" s="25"/>
      <c r="K830" s="1" t="s">
        <v>1648</v>
      </c>
      <c r="L830" s="39" t="s">
        <v>1704</v>
      </c>
    </row>
    <row r="831" spans="1:12" ht="54" customHeight="1">
      <c r="A831" s="1">
        <v>314</v>
      </c>
      <c r="B831" s="1" t="s">
        <v>1406</v>
      </c>
      <c r="C831" s="9" t="s">
        <v>4733</v>
      </c>
      <c r="D831" s="1" t="s">
        <v>4509</v>
      </c>
      <c r="E831" s="1" t="s">
        <v>1653</v>
      </c>
      <c r="F831" s="1" t="s">
        <v>4734</v>
      </c>
      <c r="G831" s="8" t="s">
        <v>4735</v>
      </c>
      <c r="H831" s="7" t="s">
        <v>2864</v>
      </c>
      <c r="I831" s="7"/>
      <c r="K831" s="1" t="s">
        <v>1648</v>
      </c>
      <c r="L831" s="39" t="s">
        <v>1704</v>
      </c>
    </row>
    <row r="832" spans="1:12" ht="54" customHeight="1">
      <c r="A832" s="1">
        <v>325</v>
      </c>
      <c r="B832" s="1" t="s">
        <v>1394</v>
      </c>
      <c r="C832" s="1" t="s">
        <v>4736</v>
      </c>
      <c r="D832" s="1" t="s">
        <v>4509</v>
      </c>
      <c r="E832" s="1" t="s">
        <v>1653</v>
      </c>
      <c r="F832" s="1" t="s">
        <v>4737</v>
      </c>
      <c r="G832" s="8" t="s">
        <v>1395</v>
      </c>
      <c r="H832" s="14" t="s">
        <v>1395</v>
      </c>
      <c r="I832" s="25"/>
      <c r="K832" s="1" t="s">
        <v>1648</v>
      </c>
      <c r="L832" s="39" t="s">
        <v>1704</v>
      </c>
    </row>
    <row r="833" spans="1:12" ht="54" customHeight="1">
      <c r="A833" s="1">
        <v>353</v>
      </c>
      <c r="B833" s="1" t="s">
        <v>4738</v>
      </c>
      <c r="C833" s="1" t="s">
        <v>4739</v>
      </c>
      <c r="D833" s="1" t="s">
        <v>4509</v>
      </c>
      <c r="E833" s="1" t="s">
        <v>1653</v>
      </c>
      <c r="F833" s="1" t="s">
        <v>4740</v>
      </c>
      <c r="G833" s="7" t="s">
        <v>4741</v>
      </c>
      <c r="H833" s="14" t="s">
        <v>4741</v>
      </c>
      <c r="I833" s="25"/>
      <c r="K833" s="1" t="s">
        <v>1648</v>
      </c>
      <c r="L833" s="39" t="s">
        <v>1704</v>
      </c>
    </row>
    <row r="834" spans="1:12" ht="54" customHeight="1">
      <c r="A834" s="1">
        <v>367</v>
      </c>
      <c r="B834" s="1" t="s">
        <v>4742</v>
      </c>
      <c r="C834" s="9" t="s">
        <v>4743</v>
      </c>
      <c r="D834" s="1" t="s">
        <v>4509</v>
      </c>
      <c r="E834" s="1" t="s">
        <v>1653</v>
      </c>
      <c r="F834" s="1" t="s">
        <v>4744</v>
      </c>
      <c r="G834" s="8" t="s">
        <v>4745</v>
      </c>
      <c r="H834" s="14" t="s">
        <v>4745</v>
      </c>
      <c r="I834" s="25"/>
      <c r="K834" s="1" t="s">
        <v>1648</v>
      </c>
      <c r="L834" s="39" t="s">
        <v>1704</v>
      </c>
    </row>
    <row r="835" spans="1:12" ht="54" customHeight="1">
      <c r="A835" s="1">
        <v>369</v>
      </c>
      <c r="B835" s="1" t="s">
        <v>4746</v>
      </c>
      <c r="C835" s="9" t="s">
        <v>4747</v>
      </c>
      <c r="D835" s="1" t="s">
        <v>4509</v>
      </c>
      <c r="E835" s="1" t="s">
        <v>1653</v>
      </c>
      <c r="F835" s="1" t="s">
        <v>4748</v>
      </c>
      <c r="G835" s="6"/>
    </row>
    <row r="836" spans="1:12" ht="54" customHeight="1">
      <c r="A836" s="1">
        <v>370</v>
      </c>
      <c r="B836" s="1" t="s">
        <v>1471</v>
      </c>
      <c r="C836" s="9" t="s">
        <v>4749</v>
      </c>
      <c r="D836" s="1" t="s">
        <v>4509</v>
      </c>
      <c r="E836" s="1" t="s">
        <v>1653</v>
      </c>
      <c r="F836" s="1" t="s">
        <v>4750</v>
      </c>
      <c r="G836" s="8" t="s">
        <v>1472</v>
      </c>
      <c r="H836" s="7" t="s">
        <v>1472</v>
      </c>
      <c r="I836" s="7"/>
      <c r="K836" s="1" t="s">
        <v>1648</v>
      </c>
      <c r="L836" s="39" t="s">
        <v>1704</v>
      </c>
    </row>
    <row r="837" spans="1:12" ht="54" customHeight="1">
      <c r="A837" s="1">
        <v>366</v>
      </c>
      <c r="B837" s="1" t="s">
        <v>4751</v>
      </c>
      <c r="C837" s="1" t="s">
        <v>4752</v>
      </c>
      <c r="D837" s="1" t="s">
        <v>4509</v>
      </c>
      <c r="E837" s="1" t="s">
        <v>1653</v>
      </c>
      <c r="F837" s="1" t="s">
        <v>4753</v>
      </c>
      <c r="G837" s="7" t="s">
        <v>2697</v>
      </c>
      <c r="H837" s="14" t="s">
        <v>2697</v>
      </c>
      <c r="I837" s="25"/>
      <c r="K837" s="1" t="s">
        <v>1648</v>
      </c>
      <c r="L837" s="39" t="s">
        <v>1704</v>
      </c>
    </row>
    <row r="838" spans="1:12" ht="54" customHeight="1">
      <c r="A838" s="1">
        <v>372</v>
      </c>
      <c r="B838" s="1" t="s">
        <v>4754</v>
      </c>
      <c r="C838" s="1" t="s">
        <v>4755</v>
      </c>
      <c r="D838" s="1" t="s">
        <v>4509</v>
      </c>
      <c r="E838" s="1" t="s">
        <v>1653</v>
      </c>
      <c r="F838" s="1" t="s">
        <v>4756</v>
      </c>
      <c r="G838" s="7" t="s">
        <v>2161</v>
      </c>
      <c r="H838" s="14" t="s">
        <v>2161</v>
      </c>
      <c r="I838" s="25"/>
    </row>
    <row r="839" spans="1:12" ht="54" customHeight="1">
      <c r="A839" s="1">
        <v>373</v>
      </c>
      <c r="B839" s="1" t="s">
        <v>4757</v>
      </c>
      <c r="C839" s="1" t="s">
        <v>4758</v>
      </c>
      <c r="D839" s="1" t="s">
        <v>4509</v>
      </c>
      <c r="E839" s="1" t="s">
        <v>1653</v>
      </c>
      <c r="F839" s="1" t="s">
        <v>4759</v>
      </c>
      <c r="G839" s="7" t="s">
        <v>4760</v>
      </c>
      <c r="H839" s="14" t="s">
        <v>4760</v>
      </c>
      <c r="I839" s="25"/>
      <c r="K839" s="1" t="s">
        <v>1648</v>
      </c>
      <c r="L839" s="39" t="s">
        <v>1704</v>
      </c>
    </row>
    <row r="840" spans="1:12" ht="54" customHeight="1">
      <c r="A840" s="1">
        <v>374</v>
      </c>
      <c r="B840" s="1" t="s">
        <v>4761</v>
      </c>
      <c r="C840" s="1" t="s">
        <v>4762</v>
      </c>
      <c r="D840" s="1" t="s">
        <v>4509</v>
      </c>
      <c r="E840" s="1" t="s">
        <v>1653</v>
      </c>
      <c r="F840" s="1" t="s">
        <v>4763</v>
      </c>
      <c r="G840" s="7" t="s">
        <v>92</v>
      </c>
      <c r="H840" s="14" t="s">
        <v>92</v>
      </c>
      <c r="I840" s="25" t="s">
        <v>20</v>
      </c>
      <c r="K840" s="1" t="s">
        <v>1648</v>
      </c>
      <c r="L840" s="39" t="s">
        <v>1704</v>
      </c>
    </row>
    <row r="841" spans="1:12" ht="54" customHeight="1">
      <c r="A841" s="1">
        <v>375</v>
      </c>
      <c r="B841" s="1" t="s">
        <v>1384</v>
      </c>
      <c r="C841" s="9" t="s">
        <v>4764</v>
      </c>
      <c r="D841" s="1" t="s">
        <v>4509</v>
      </c>
      <c r="E841" s="1" t="s">
        <v>1653</v>
      </c>
      <c r="F841" s="1" t="s">
        <v>4765</v>
      </c>
      <c r="G841" s="8" t="s">
        <v>4766</v>
      </c>
      <c r="H841" s="14" t="s">
        <v>4766</v>
      </c>
      <c r="I841" s="25" t="s">
        <v>20</v>
      </c>
      <c r="K841" s="1" t="s">
        <v>1648</v>
      </c>
      <c r="L841" s="39" t="s">
        <v>1704</v>
      </c>
    </row>
    <row r="842" spans="1:12" ht="54" customHeight="1">
      <c r="A842" s="1">
        <v>376</v>
      </c>
      <c r="B842" s="1" t="s">
        <v>4767</v>
      </c>
      <c r="C842" s="9" t="s">
        <v>4768</v>
      </c>
      <c r="D842" s="1" t="s">
        <v>4509</v>
      </c>
      <c r="E842" s="1" t="s">
        <v>1653</v>
      </c>
      <c r="F842" s="1" t="s">
        <v>4769</v>
      </c>
      <c r="G842" s="8" t="s">
        <v>4578</v>
      </c>
      <c r="H842" s="7" t="s">
        <v>4578</v>
      </c>
      <c r="I842" s="7"/>
      <c r="K842" s="1" t="s">
        <v>1648</v>
      </c>
      <c r="L842" s="39" t="s">
        <v>1704</v>
      </c>
    </row>
    <row r="843" spans="1:12" ht="54" customHeight="1">
      <c r="A843" s="1">
        <v>377</v>
      </c>
      <c r="B843" s="1" t="s">
        <v>4770</v>
      </c>
      <c r="C843" s="1" t="s">
        <v>4771</v>
      </c>
      <c r="D843" s="1" t="s">
        <v>4509</v>
      </c>
      <c r="E843" s="1" t="s">
        <v>1653</v>
      </c>
      <c r="F843" s="1" t="s">
        <v>4772</v>
      </c>
      <c r="G843" s="7" t="s">
        <v>4773</v>
      </c>
      <c r="H843" s="7" t="s">
        <v>4773</v>
      </c>
      <c r="K843" s="1" t="s">
        <v>1648</v>
      </c>
      <c r="L843" s="39" t="s">
        <v>1704</v>
      </c>
    </row>
    <row r="844" spans="1:12" ht="54" customHeight="1">
      <c r="A844" s="1">
        <v>378</v>
      </c>
      <c r="B844" s="1" t="s">
        <v>4774</v>
      </c>
      <c r="C844" s="9" t="s">
        <v>4775</v>
      </c>
      <c r="D844" s="1" t="s">
        <v>4509</v>
      </c>
      <c r="E844" s="1" t="s">
        <v>1653</v>
      </c>
      <c r="F844" s="1" t="s">
        <v>4776</v>
      </c>
      <c r="G844" s="8" t="s">
        <v>4777</v>
      </c>
      <c r="H844" s="7" t="s">
        <v>4777</v>
      </c>
      <c r="I844" s="7"/>
      <c r="K844" s="1" t="s">
        <v>1648</v>
      </c>
      <c r="L844" s="39" t="s">
        <v>1704</v>
      </c>
    </row>
    <row r="845" spans="1:12" ht="54" customHeight="1">
      <c r="A845" s="1">
        <v>379</v>
      </c>
      <c r="B845" s="1" t="s">
        <v>4778</v>
      </c>
      <c r="C845" s="9" t="s">
        <v>4779</v>
      </c>
      <c r="D845" s="1" t="s">
        <v>4509</v>
      </c>
      <c r="E845" s="1" t="s">
        <v>1653</v>
      </c>
      <c r="F845" s="1" t="s">
        <v>4780</v>
      </c>
      <c r="G845" s="8" t="s">
        <v>1441</v>
      </c>
      <c r="H845" s="14" t="s">
        <v>1441</v>
      </c>
      <c r="I845" s="25"/>
      <c r="K845" s="1" t="s">
        <v>1648</v>
      </c>
      <c r="L845" s="39" t="s">
        <v>1704</v>
      </c>
    </row>
    <row r="846" spans="1:12" ht="54" customHeight="1">
      <c r="A846" s="1">
        <v>380</v>
      </c>
      <c r="B846" s="1" t="s">
        <v>4781</v>
      </c>
      <c r="C846" s="1" t="s">
        <v>4782</v>
      </c>
      <c r="D846" s="1" t="s">
        <v>4509</v>
      </c>
      <c r="E846" s="1" t="s">
        <v>1653</v>
      </c>
      <c r="F846" s="1" t="s">
        <v>4783</v>
      </c>
      <c r="G846" s="7" t="s">
        <v>4784</v>
      </c>
      <c r="H846" s="14" t="s">
        <v>4784</v>
      </c>
      <c r="I846" s="25"/>
      <c r="K846" s="1" t="s">
        <v>1648</v>
      </c>
      <c r="L846" s="39" t="s">
        <v>1704</v>
      </c>
    </row>
    <row r="847" spans="1:12" ht="54" customHeight="1">
      <c r="A847" s="1">
        <v>382</v>
      </c>
      <c r="B847" s="1" t="s">
        <v>4785</v>
      </c>
      <c r="C847" s="1" t="s">
        <v>4786</v>
      </c>
      <c r="D847" s="1" t="s">
        <v>4509</v>
      </c>
      <c r="E847" s="1" t="s">
        <v>1653</v>
      </c>
      <c r="F847" s="1" t="s">
        <v>4787</v>
      </c>
      <c r="G847" s="6" t="s">
        <v>2741</v>
      </c>
      <c r="J847" s="48" t="s">
        <v>4258</v>
      </c>
    </row>
    <row r="848" spans="1:12" ht="54" customHeight="1">
      <c r="A848" s="1">
        <v>383</v>
      </c>
      <c r="B848" s="1" t="s">
        <v>4788</v>
      </c>
      <c r="C848" s="1" t="s">
        <v>4789</v>
      </c>
      <c r="D848" s="1" t="s">
        <v>4509</v>
      </c>
      <c r="E848" s="1" t="s">
        <v>1653</v>
      </c>
      <c r="F848" s="1" t="s">
        <v>4790</v>
      </c>
      <c r="G848" s="6"/>
    </row>
    <row r="849" spans="1:12" ht="54" customHeight="1">
      <c r="A849" s="1">
        <v>381</v>
      </c>
      <c r="B849" s="1" t="s">
        <v>4791</v>
      </c>
      <c r="C849" s="1" t="s">
        <v>4792</v>
      </c>
      <c r="D849" s="1" t="s">
        <v>4509</v>
      </c>
      <c r="E849" s="1" t="s">
        <v>1653</v>
      </c>
      <c r="F849" s="1" t="s">
        <v>4793</v>
      </c>
      <c r="G849" s="7" t="s">
        <v>4794</v>
      </c>
      <c r="H849" s="14" t="s">
        <v>4794</v>
      </c>
      <c r="I849" s="25"/>
      <c r="K849" s="1" t="s">
        <v>1648</v>
      </c>
      <c r="L849" s="39" t="s">
        <v>1704</v>
      </c>
    </row>
    <row r="850" spans="1:12" ht="54" customHeight="1">
      <c r="A850" s="1">
        <v>386</v>
      </c>
      <c r="B850" s="1" t="s">
        <v>1398</v>
      </c>
      <c r="C850" s="9" t="s">
        <v>4795</v>
      </c>
      <c r="D850" s="1" t="s">
        <v>4509</v>
      </c>
      <c r="E850" s="1" t="s">
        <v>1653</v>
      </c>
      <c r="F850" s="1" t="s">
        <v>4796</v>
      </c>
      <c r="G850" s="8" t="s">
        <v>4797</v>
      </c>
      <c r="H850" s="14" t="s">
        <v>4797</v>
      </c>
      <c r="I850" s="25"/>
      <c r="K850" s="1" t="s">
        <v>1648</v>
      </c>
      <c r="L850" s="39" t="s">
        <v>1704</v>
      </c>
    </row>
    <row r="851" spans="1:12" ht="54" customHeight="1">
      <c r="A851" s="1">
        <v>396</v>
      </c>
      <c r="B851" s="1" t="s">
        <v>4798</v>
      </c>
      <c r="C851" s="1" t="s">
        <v>4799</v>
      </c>
      <c r="D851" s="1" t="s">
        <v>4509</v>
      </c>
      <c r="E851" s="1" t="s">
        <v>1653</v>
      </c>
      <c r="F851" s="1" t="s">
        <v>4800</v>
      </c>
      <c r="G851" s="7" t="s">
        <v>4801</v>
      </c>
      <c r="H851" s="14" t="s">
        <v>4801</v>
      </c>
      <c r="I851" s="25"/>
    </row>
    <row r="852" spans="1:12" ht="54" customHeight="1">
      <c r="A852" s="1">
        <v>400</v>
      </c>
      <c r="B852" s="1" t="s">
        <v>4802</v>
      </c>
      <c r="C852" s="1" t="s">
        <v>4803</v>
      </c>
      <c r="D852" s="1" t="s">
        <v>4509</v>
      </c>
      <c r="E852" s="1" t="s">
        <v>1653</v>
      </c>
      <c r="F852" s="1" t="s">
        <v>4804</v>
      </c>
      <c r="G852" s="7" t="s">
        <v>4646</v>
      </c>
      <c r="H852" s="14" t="s">
        <v>4646</v>
      </c>
      <c r="I852" s="25"/>
      <c r="K852" s="1" t="s">
        <v>1648</v>
      </c>
      <c r="L852" s="39" t="s">
        <v>1704</v>
      </c>
    </row>
    <row r="853" spans="1:12" ht="54" customHeight="1">
      <c r="A853" s="1">
        <v>402</v>
      </c>
      <c r="B853" s="1" t="s">
        <v>4805</v>
      </c>
      <c r="C853" s="1" t="s">
        <v>4806</v>
      </c>
      <c r="D853" s="1" t="s">
        <v>4509</v>
      </c>
      <c r="E853" s="1" t="s">
        <v>1653</v>
      </c>
      <c r="F853" s="1" t="s">
        <v>4807</v>
      </c>
      <c r="G853" s="6" t="s">
        <v>2741</v>
      </c>
      <c r="J853" s="1" t="s">
        <v>4808</v>
      </c>
      <c r="K853" s="1" t="s">
        <v>1648</v>
      </c>
      <c r="L853" s="39" t="s">
        <v>1704</v>
      </c>
    </row>
    <row r="854" spans="1:12" ht="54" customHeight="1">
      <c r="A854" s="1">
        <v>403</v>
      </c>
      <c r="B854" s="1" t="s">
        <v>4809</v>
      </c>
      <c r="C854" s="1" t="s">
        <v>4810</v>
      </c>
      <c r="D854" s="1" t="s">
        <v>4509</v>
      </c>
      <c r="E854" s="1" t="s">
        <v>1653</v>
      </c>
      <c r="F854" s="1" t="s">
        <v>4811</v>
      </c>
      <c r="G854" s="7" t="s">
        <v>4812</v>
      </c>
      <c r="H854" s="14" t="s">
        <v>4812</v>
      </c>
      <c r="I854" s="25"/>
      <c r="K854" s="1" t="s">
        <v>1648</v>
      </c>
      <c r="L854" s="39" t="s">
        <v>1704</v>
      </c>
    </row>
    <row r="855" spans="1:12" ht="54" customHeight="1">
      <c r="A855" s="1">
        <v>404</v>
      </c>
      <c r="B855" s="1" t="s">
        <v>4813</v>
      </c>
      <c r="C855" s="1" t="s">
        <v>4814</v>
      </c>
      <c r="D855" s="1" t="s">
        <v>4509</v>
      </c>
      <c r="E855" s="1" t="s">
        <v>1653</v>
      </c>
      <c r="F855" s="1" t="s">
        <v>4815</v>
      </c>
      <c r="G855" s="7" t="s">
        <v>4816</v>
      </c>
      <c r="H855" s="14" t="s">
        <v>4816</v>
      </c>
      <c r="I855" s="25"/>
      <c r="K855" s="1" t="s">
        <v>1648</v>
      </c>
      <c r="L855" s="39" t="s">
        <v>1704</v>
      </c>
    </row>
    <row r="856" spans="1:12" ht="54" customHeight="1">
      <c r="A856" s="1">
        <v>705</v>
      </c>
      <c r="B856" s="1" t="s">
        <v>4817</v>
      </c>
      <c r="C856" s="1" t="s">
        <v>4818</v>
      </c>
      <c r="D856" s="1" t="s">
        <v>4509</v>
      </c>
      <c r="E856" s="1" t="s">
        <v>1653</v>
      </c>
      <c r="F856" s="1" t="s">
        <v>4819</v>
      </c>
      <c r="G856" s="6"/>
      <c r="K856" s="1" t="s">
        <v>1648</v>
      </c>
      <c r="L856" s="39" t="s">
        <v>1704</v>
      </c>
    </row>
    <row r="857" spans="1:12" ht="54" customHeight="1">
      <c r="A857" s="1">
        <v>407</v>
      </c>
      <c r="B857" s="1" t="s">
        <v>1370</v>
      </c>
      <c r="C857" s="9" t="s">
        <v>4820</v>
      </c>
      <c r="D857" s="1" t="s">
        <v>4509</v>
      </c>
      <c r="E857" s="1" t="s">
        <v>1653</v>
      </c>
      <c r="F857" s="1" t="s">
        <v>4821</v>
      </c>
      <c r="G857" s="8" t="s">
        <v>1371</v>
      </c>
      <c r="H857" s="14" t="s">
        <v>1371</v>
      </c>
      <c r="I857" s="25"/>
      <c r="K857" s="1" t="s">
        <v>2087</v>
      </c>
      <c r="L857" s="39" t="s">
        <v>4822</v>
      </c>
    </row>
    <row r="858" spans="1:12" ht="54" customHeight="1">
      <c r="A858" s="1">
        <v>725</v>
      </c>
      <c r="B858" s="1" t="s">
        <v>4823</v>
      </c>
      <c r="C858" s="1" t="s">
        <v>4824</v>
      </c>
      <c r="D858" s="1" t="s">
        <v>4509</v>
      </c>
      <c r="E858" s="1" t="s">
        <v>1653</v>
      </c>
      <c r="F858" s="1" t="s">
        <v>4825</v>
      </c>
      <c r="G858" s="7" t="s">
        <v>4826</v>
      </c>
      <c r="H858" s="14" t="s">
        <v>4826</v>
      </c>
      <c r="I858" s="25"/>
      <c r="K858" s="1" t="s">
        <v>1648</v>
      </c>
      <c r="L858" s="39" t="s">
        <v>1704</v>
      </c>
    </row>
    <row r="859" spans="1:12" ht="54" customHeight="1">
      <c r="A859" s="1">
        <v>727</v>
      </c>
      <c r="B859" s="1" t="s">
        <v>4827</v>
      </c>
      <c r="C859" s="1" t="s">
        <v>4828</v>
      </c>
      <c r="D859" s="1" t="s">
        <v>4509</v>
      </c>
      <c r="E859" s="1" t="s">
        <v>1653</v>
      </c>
      <c r="F859" s="1" t="s">
        <v>4829</v>
      </c>
      <c r="G859" s="7" t="s">
        <v>4830</v>
      </c>
      <c r="H859" s="14" t="s">
        <v>4830</v>
      </c>
      <c r="I859" s="25"/>
      <c r="K859" s="1" t="s">
        <v>1648</v>
      </c>
      <c r="L859" s="39" t="s">
        <v>1704</v>
      </c>
    </row>
    <row r="860" spans="1:12" ht="54" customHeight="1">
      <c r="A860" s="1">
        <v>416</v>
      </c>
      <c r="B860" s="1" t="s">
        <v>4831</v>
      </c>
      <c r="C860" s="1" t="s">
        <v>4832</v>
      </c>
      <c r="D860" s="1" t="s">
        <v>4509</v>
      </c>
      <c r="E860" s="1" t="s">
        <v>1653</v>
      </c>
      <c r="F860" s="1" t="s">
        <v>4833</v>
      </c>
      <c r="G860" s="6" t="s">
        <v>1755</v>
      </c>
      <c r="J860" s="1" t="s">
        <v>4834</v>
      </c>
      <c r="K860" s="1" t="s">
        <v>1648</v>
      </c>
      <c r="L860" s="39" t="s">
        <v>1704</v>
      </c>
    </row>
    <row r="861" spans="1:12" ht="54" customHeight="1">
      <c r="A861" s="1">
        <v>419</v>
      </c>
      <c r="B861" s="1" t="s">
        <v>4835</v>
      </c>
      <c r="C861" s="1" t="s">
        <v>4836</v>
      </c>
      <c r="D861" s="1" t="s">
        <v>4509</v>
      </c>
      <c r="E861" s="1" t="s">
        <v>1653</v>
      </c>
      <c r="F861" s="1" t="s">
        <v>4837</v>
      </c>
      <c r="G861" s="7" t="s">
        <v>4838</v>
      </c>
      <c r="J861" s="1" t="s">
        <v>4839</v>
      </c>
      <c r="K861" s="1" t="s">
        <v>1648</v>
      </c>
      <c r="L861" s="39" t="s">
        <v>1704</v>
      </c>
    </row>
    <row r="862" spans="1:12" ht="54" customHeight="1">
      <c r="A862" s="1">
        <v>424</v>
      </c>
      <c r="B862" s="1" t="s">
        <v>4840</v>
      </c>
      <c r="C862" s="1" t="s">
        <v>4841</v>
      </c>
      <c r="D862" s="1" t="s">
        <v>4509</v>
      </c>
      <c r="E862" s="1" t="s">
        <v>1653</v>
      </c>
      <c r="F862" s="1" t="s">
        <v>4842</v>
      </c>
      <c r="G862" s="7" t="s">
        <v>1373</v>
      </c>
      <c r="H862" s="14" t="s">
        <v>1373</v>
      </c>
      <c r="I862" s="25" t="s">
        <v>20</v>
      </c>
      <c r="K862" s="1" t="s">
        <v>1648</v>
      </c>
      <c r="L862" s="39" t="s">
        <v>1704</v>
      </c>
    </row>
    <row r="863" spans="1:12" ht="54" customHeight="1">
      <c r="A863" s="1">
        <v>767</v>
      </c>
      <c r="B863" s="1" t="s">
        <v>4843</v>
      </c>
      <c r="C863" s="1" t="s">
        <v>4844</v>
      </c>
      <c r="D863" s="1" t="s">
        <v>4509</v>
      </c>
      <c r="E863" s="1" t="s">
        <v>1653</v>
      </c>
      <c r="F863" s="1" t="s">
        <v>4845</v>
      </c>
      <c r="G863" s="6" t="s">
        <v>1755</v>
      </c>
    </row>
    <row r="864" spans="1:12" ht="54" customHeight="1">
      <c r="A864" s="1">
        <v>434</v>
      </c>
      <c r="B864" s="1" t="s">
        <v>4846</v>
      </c>
      <c r="C864" s="1" t="s">
        <v>4847</v>
      </c>
      <c r="D864" s="1" t="s">
        <v>4509</v>
      </c>
      <c r="E864" s="1" t="s">
        <v>1653</v>
      </c>
      <c r="F864" s="1" t="s">
        <v>4848</v>
      </c>
      <c r="G864" s="7" t="s">
        <v>4849</v>
      </c>
      <c r="H864" s="14" t="s">
        <v>4849</v>
      </c>
      <c r="I864" s="10"/>
      <c r="K864" s="1" t="s">
        <v>1648</v>
      </c>
      <c r="L864" s="39" t="s">
        <v>1704</v>
      </c>
    </row>
    <row r="865" spans="1:12" ht="54" customHeight="1">
      <c r="A865" s="1">
        <v>435</v>
      </c>
      <c r="B865" s="1" t="s">
        <v>4850</v>
      </c>
      <c r="C865" s="1" t="s">
        <v>4851</v>
      </c>
      <c r="D865" s="1" t="s">
        <v>4509</v>
      </c>
      <c r="E865" s="1" t="s">
        <v>1653</v>
      </c>
      <c r="F865" s="1" t="s">
        <v>4852</v>
      </c>
      <c r="G865" s="7" t="s">
        <v>4853</v>
      </c>
      <c r="H865" s="14" t="s">
        <v>4853</v>
      </c>
      <c r="I865" s="10"/>
      <c r="K865" s="1" t="s">
        <v>1648</v>
      </c>
      <c r="L865" s="39" t="s">
        <v>1704</v>
      </c>
    </row>
    <row r="866" spans="1:12" ht="54" customHeight="1">
      <c r="A866" s="1">
        <v>775</v>
      </c>
      <c r="B866" s="1" t="s">
        <v>4854</v>
      </c>
      <c r="C866" s="1" t="s">
        <v>4855</v>
      </c>
      <c r="D866" s="1" t="s">
        <v>4509</v>
      </c>
      <c r="E866" s="1" t="s">
        <v>1653</v>
      </c>
      <c r="F866" s="1" t="s">
        <v>4856</v>
      </c>
      <c r="G866" s="7" t="s">
        <v>4857</v>
      </c>
      <c r="H866" s="14" t="s">
        <v>4857</v>
      </c>
      <c r="I866" s="10"/>
      <c r="K866" s="1" t="s">
        <v>1648</v>
      </c>
      <c r="L866" s="39" t="s">
        <v>1704</v>
      </c>
    </row>
    <row r="867" spans="1:12" ht="54" customHeight="1">
      <c r="A867" s="1">
        <v>440</v>
      </c>
      <c r="B867" s="1" t="s">
        <v>1392</v>
      </c>
      <c r="C867" s="9" t="s">
        <v>4858</v>
      </c>
      <c r="D867" s="1" t="s">
        <v>4509</v>
      </c>
      <c r="E867" s="1" t="s">
        <v>1653</v>
      </c>
      <c r="F867" s="1" t="s">
        <v>4859</v>
      </c>
      <c r="G867" s="8" t="s">
        <v>4860</v>
      </c>
      <c r="H867" s="14" t="s">
        <v>4860</v>
      </c>
      <c r="I867" s="10"/>
      <c r="K867" s="1" t="s">
        <v>1648</v>
      </c>
      <c r="L867" s="39" t="s">
        <v>1704</v>
      </c>
    </row>
    <row r="868" spans="1:12" ht="54" customHeight="1">
      <c r="A868" s="1">
        <v>446</v>
      </c>
      <c r="B868" s="1" t="s">
        <v>4861</v>
      </c>
      <c r="C868" s="1" t="s">
        <v>4862</v>
      </c>
      <c r="D868" s="1" t="s">
        <v>4509</v>
      </c>
      <c r="E868" s="1" t="s">
        <v>1653</v>
      </c>
      <c r="F868" s="1" t="s">
        <v>4863</v>
      </c>
      <c r="G868" s="7" t="s">
        <v>4864</v>
      </c>
      <c r="H868" s="14" t="s">
        <v>4864</v>
      </c>
      <c r="I868" s="10"/>
      <c r="K868" s="1" t="s">
        <v>1648</v>
      </c>
      <c r="L868" s="39" t="s">
        <v>1704</v>
      </c>
    </row>
    <row r="869" spans="1:12" ht="54" customHeight="1">
      <c r="A869" s="1">
        <v>449</v>
      </c>
      <c r="B869" s="1" t="s">
        <v>4865</v>
      </c>
      <c r="C869" s="1" t="s">
        <v>4866</v>
      </c>
      <c r="D869" s="1" t="s">
        <v>4509</v>
      </c>
      <c r="E869" s="1" t="s">
        <v>1653</v>
      </c>
      <c r="F869" s="1" t="s">
        <v>4867</v>
      </c>
      <c r="G869" s="7" t="s">
        <v>2922</v>
      </c>
      <c r="H869" s="14" t="s">
        <v>2922</v>
      </c>
      <c r="I869" s="10"/>
      <c r="K869" s="1" t="s">
        <v>1648</v>
      </c>
      <c r="L869" s="39" t="s">
        <v>1704</v>
      </c>
    </row>
    <row r="870" spans="1:12" ht="54" customHeight="1">
      <c r="A870" s="1">
        <v>451</v>
      </c>
      <c r="B870" s="1" t="s">
        <v>4868</v>
      </c>
      <c r="C870" s="1" t="s">
        <v>4869</v>
      </c>
      <c r="D870" s="1" t="s">
        <v>4509</v>
      </c>
      <c r="E870" s="1" t="s">
        <v>1653</v>
      </c>
      <c r="F870" s="1" t="s">
        <v>4870</v>
      </c>
      <c r="G870" s="7" t="s">
        <v>4871</v>
      </c>
      <c r="H870" s="14" t="s">
        <v>4871</v>
      </c>
      <c r="I870" s="10"/>
      <c r="K870" s="1" t="s">
        <v>1648</v>
      </c>
      <c r="L870" s="39" t="s">
        <v>1704</v>
      </c>
    </row>
    <row r="871" spans="1:12" ht="54" customHeight="1">
      <c r="A871" s="1">
        <v>452</v>
      </c>
      <c r="B871" s="1" t="s">
        <v>4872</v>
      </c>
      <c r="C871" s="1" t="s">
        <v>4873</v>
      </c>
      <c r="D871" s="1" t="s">
        <v>4509</v>
      </c>
      <c r="E871" s="1" t="s">
        <v>1653</v>
      </c>
      <c r="F871" s="1" t="s">
        <v>4874</v>
      </c>
      <c r="G871" s="7" t="s">
        <v>4875</v>
      </c>
      <c r="H871" s="14" t="s">
        <v>4875</v>
      </c>
      <c r="I871" s="10"/>
      <c r="K871" s="1" t="s">
        <v>1648</v>
      </c>
      <c r="L871" s="39" t="s">
        <v>1704</v>
      </c>
    </row>
    <row r="872" spans="1:12" ht="54" customHeight="1">
      <c r="A872" s="1">
        <v>453</v>
      </c>
      <c r="B872" s="1" t="s">
        <v>4876</v>
      </c>
      <c r="C872" s="1" t="s">
        <v>4877</v>
      </c>
      <c r="D872" s="1" t="s">
        <v>4509</v>
      </c>
      <c r="E872" s="1" t="s">
        <v>1653</v>
      </c>
      <c r="F872" s="1" t="s">
        <v>4878</v>
      </c>
      <c r="G872" s="7" t="s">
        <v>92</v>
      </c>
      <c r="H872" s="14" t="s">
        <v>92</v>
      </c>
      <c r="I872" s="10" t="s">
        <v>20</v>
      </c>
      <c r="K872" s="1" t="s">
        <v>1648</v>
      </c>
      <c r="L872" s="39" t="s">
        <v>1704</v>
      </c>
    </row>
    <row r="873" spans="1:12" ht="54" customHeight="1">
      <c r="A873" s="1">
        <v>455</v>
      </c>
      <c r="B873" s="1" t="s">
        <v>4879</v>
      </c>
      <c r="C873" s="1" t="s">
        <v>4880</v>
      </c>
      <c r="D873" s="1" t="s">
        <v>4509</v>
      </c>
      <c r="E873" s="1" t="s">
        <v>1653</v>
      </c>
      <c r="F873" s="1" t="s">
        <v>4881</v>
      </c>
      <c r="G873" s="7" t="s">
        <v>4882</v>
      </c>
      <c r="H873" s="14" t="s">
        <v>3993</v>
      </c>
      <c r="I873" s="14"/>
      <c r="K873" s="1" t="s">
        <v>1648</v>
      </c>
      <c r="L873" s="39" t="s">
        <v>1704</v>
      </c>
    </row>
    <row r="874" spans="1:12" ht="54" customHeight="1">
      <c r="A874" s="1">
        <v>458</v>
      </c>
      <c r="B874" s="1" t="s">
        <v>4883</v>
      </c>
      <c r="C874" s="1" t="s">
        <v>4884</v>
      </c>
      <c r="D874" s="1" t="s">
        <v>4509</v>
      </c>
      <c r="E874" s="1" t="s">
        <v>1653</v>
      </c>
      <c r="F874" s="1" t="s">
        <v>4885</v>
      </c>
      <c r="G874" s="7" t="s">
        <v>4886</v>
      </c>
      <c r="H874" s="14" t="s">
        <v>4886</v>
      </c>
      <c r="I874" s="14"/>
      <c r="K874" s="1" t="s">
        <v>1648</v>
      </c>
      <c r="L874" s="39" t="s">
        <v>1704</v>
      </c>
    </row>
    <row r="875" spans="1:12" ht="54" customHeight="1">
      <c r="A875" s="1">
        <v>463</v>
      </c>
      <c r="B875" s="1" t="s">
        <v>4887</v>
      </c>
      <c r="C875" s="9" t="s">
        <v>4888</v>
      </c>
      <c r="D875" s="1" t="s">
        <v>4509</v>
      </c>
      <c r="E875" s="1" t="s">
        <v>1653</v>
      </c>
      <c r="F875" s="1" t="s">
        <v>4889</v>
      </c>
      <c r="G875" s="8" t="s">
        <v>4890</v>
      </c>
      <c r="H875" s="13"/>
      <c r="I875" s="13"/>
      <c r="J875" s="1" t="s">
        <v>4891</v>
      </c>
      <c r="K875" s="1" t="s">
        <v>1648</v>
      </c>
      <c r="L875" s="39" t="s">
        <v>1704</v>
      </c>
    </row>
    <row r="876" spans="1:12" ht="54" customHeight="1">
      <c r="A876" s="1">
        <v>473</v>
      </c>
      <c r="B876" s="1" t="s">
        <v>1417</v>
      </c>
      <c r="C876" s="9" t="s">
        <v>4892</v>
      </c>
      <c r="D876" s="1" t="s">
        <v>4509</v>
      </c>
      <c r="E876" s="1" t="s">
        <v>1653</v>
      </c>
      <c r="F876" s="1" t="s">
        <v>4893</v>
      </c>
      <c r="G876" s="8" t="s">
        <v>4894</v>
      </c>
      <c r="H876" s="14" t="s">
        <v>4894</v>
      </c>
      <c r="I876" s="10"/>
      <c r="K876" s="1" t="s">
        <v>1648</v>
      </c>
      <c r="L876" s="39" t="s">
        <v>1704</v>
      </c>
    </row>
    <row r="877" spans="1:12" ht="54" customHeight="1">
      <c r="A877" s="1">
        <v>474</v>
      </c>
      <c r="B877" s="1" t="s">
        <v>4895</v>
      </c>
      <c r="C877" s="1" t="s">
        <v>4896</v>
      </c>
      <c r="D877" s="1" t="s">
        <v>4509</v>
      </c>
      <c r="E877" s="1" t="s">
        <v>1653</v>
      </c>
      <c r="F877" s="1" t="s">
        <v>4897</v>
      </c>
      <c r="G877" s="7" t="s">
        <v>4898</v>
      </c>
      <c r="H877" s="14" t="s">
        <v>4898</v>
      </c>
      <c r="I877" s="14"/>
      <c r="K877" s="1" t="s">
        <v>1648</v>
      </c>
      <c r="L877" s="39" t="s">
        <v>1704</v>
      </c>
    </row>
    <row r="878" spans="1:12" ht="54" customHeight="1">
      <c r="A878" s="1">
        <v>478</v>
      </c>
      <c r="B878" s="1" t="s">
        <v>4899</v>
      </c>
      <c r="C878" s="1" t="s">
        <v>4900</v>
      </c>
      <c r="D878" s="1" t="s">
        <v>4509</v>
      </c>
      <c r="E878" s="1" t="s">
        <v>1653</v>
      </c>
      <c r="F878" s="1" t="s">
        <v>4901</v>
      </c>
      <c r="G878" s="7" t="s">
        <v>4902</v>
      </c>
      <c r="H878" s="14" t="s">
        <v>4902</v>
      </c>
      <c r="I878" s="14"/>
      <c r="K878" s="1" t="s">
        <v>1648</v>
      </c>
      <c r="L878" s="39" t="s">
        <v>1704</v>
      </c>
    </row>
    <row r="879" spans="1:12" ht="54" customHeight="1">
      <c r="A879" s="1">
        <v>814</v>
      </c>
      <c r="B879" s="1" t="s">
        <v>4903</v>
      </c>
      <c r="C879" s="1" t="s">
        <v>4904</v>
      </c>
      <c r="D879" s="1" t="s">
        <v>4509</v>
      </c>
      <c r="E879" s="1" t="s">
        <v>1653</v>
      </c>
      <c r="F879" s="1" t="s">
        <v>4905</v>
      </c>
      <c r="G879" s="7" t="s">
        <v>3095</v>
      </c>
      <c r="H879" s="22" t="s">
        <v>3095</v>
      </c>
      <c r="I879" s="22"/>
      <c r="K879" s="1" t="s">
        <v>1648</v>
      </c>
      <c r="L879" s="39" t="s">
        <v>1704</v>
      </c>
    </row>
    <row r="880" spans="1:12" ht="54" customHeight="1">
      <c r="A880" s="1">
        <v>815</v>
      </c>
      <c r="B880" s="1" t="s">
        <v>4906</v>
      </c>
      <c r="C880" s="1" t="s">
        <v>4907</v>
      </c>
      <c r="D880" s="1" t="s">
        <v>4509</v>
      </c>
      <c r="E880" s="1" t="s">
        <v>1653</v>
      </c>
      <c r="F880" s="1" t="s">
        <v>4908</v>
      </c>
      <c r="G880" s="7" t="s">
        <v>92</v>
      </c>
      <c r="H880" s="22" t="s">
        <v>5</v>
      </c>
      <c r="I880" s="22" t="s">
        <v>20</v>
      </c>
      <c r="J880" s="1" t="s">
        <v>4909</v>
      </c>
      <c r="K880" s="1" t="s">
        <v>1648</v>
      </c>
      <c r="L880" s="39" t="s">
        <v>1704</v>
      </c>
    </row>
    <row r="881" spans="1:12" ht="54" customHeight="1">
      <c r="A881" s="1">
        <v>826</v>
      </c>
      <c r="B881" s="1" t="s">
        <v>4910</v>
      </c>
      <c r="C881" s="1" t="s">
        <v>4911</v>
      </c>
      <c r="D881" s="1" t="s">
        <v>4509</v>
      </c>
      <c r="E881" s="1" t="s">
        <v>1653</v>
      </c>
      <c r="F881" s="1" t="s">
        <v>4912</v>
      </c>
      <c r="G881" s="7" t="s">
        <v>4913</v>
      </c>
      <c r="H881" s="14" t="s">
        <v>4913</v>
      </c>
      <c r="I881" s="10"/>
      <c r="K881" s="1" t="s">
        <v>1648</v>
      </c>
      <c r="L881" s="39" t="s">
        <v>1704</v>
      </c>
    </row>
    <row r="882" spans="1:12" ht="54" customHeight="1">
      <c r="A882" s="1">
        <v>499</v>
      </c>
      <c r="B882" s="1" t="s">
        <v>4914</v>
      </c>
      <c r="C882" s="9" t="s">
        <v>4915</v>
      </c>
      <c r="D882" s="1" t="s">
        <v>4509</v>
      </c>
      <c r="E882" s="1" t="s">
        <v>1653</v>
      </c>
      <c r="F882" s="1" t="s">
        <v>4916</v>
      </c>
      <c r="G882" s="8" t="s">
        <v>4917</v>
      </c>
      <c r="H882" s="51" t="s">
        <v>4917</v>
      </c>
      <c r="I882" s="27"/>
      <c r="K882" s="1" t="s">
        <v>1648</v>
      </c>
      <c r="L882" s="39" t="s">
        <v>1704</v>
      </c>
    </row>
    <row r="883" spans="1:12" ht="54" customHeight="1">
      <c r="A883" s="1">
        <v>500</v>
      </c>
      <c r="B883" s="1" t="s">
        <v>1338</v>
      </c>
      <c r="C883" s="1" t="s">
        <v>4918</v>
      </c>
      <c r="D883" s="1" t="s">
        <v>4509</v>
      </c>
      <c r="E883" s="1" t="s">
        <v>1653</v>
      </c>
      <c r="F883" s="1" t="s">
        <v>4919</v>
      </c>
      <c r="G883" s="30" t="s">
        <v>4920</v>
      </c>
      <c r="H883" s="14" t="s">
        <v>4920</v>
      </c>
      <c r="I883" s="10"/>
      <c r="K883" s="1" t="s">
        <v>1648</v>
      </c>
      <c r="L883" s="39" t="s">
        <v>1704</v>
      </c>
    </row>
    <row r="884" spans="1:12" ht="54" customHeight="1">
      <c r="A884" s="1">
        <v>828</v>
      </c>
      <c r="B884" s="1" t="s">
        <v>4921</v>
      </c>
      <c r="C884" s="1" t="s">
        <v>4922</v>
      </c>
      <c r="D884" s="1" t="s">
        <v>4509</v>
      </c>
      <c r="E884" s="1" t="s">
        <v>1653</v>
      </c>
      <c r="F884" s="1" t="s">
        <v>4923</v>
      </c>
      <c r="G884" s="6"/>
      <c r="K884" s="1" t="s">
        <v>1648</v>
      </c>
      <c r="L884" s="39" t="s">
        <v>1704</v>
      </c>
    </row>
    <row r="885" spans="1:12" ht="54" customHeight="1">
      <c r="A885" s="1">
        <v>511</v>
      </c>
      <c r="B885" s="1" t="s">
        <v>4924</v>
      </c>
      <c r="C885" s="1" t="s">
        <v>4925</v>
      </c>
      <c r="D885" s="1" t="s">
        <v>4509</v>
      </c>
      <c r="E885" s="1" t="s">
        <v>1653</v>
      </c>
      <c r="F885" s="1" t="s">
        <v>4926</v>
      </c>
      <c r="G885" s="7" t="s">
        <v>4927</v>
      </c>
      <c r="H885" s="14" t="s">
        <v>4927</v>
      </c>
      <c r="I885" s="10" t="s">
        <v>20</v>
      </c>
      <c r="K885" s="1" t="s">
        <v>1648</v>
      </c>
      <c r="L885" s="39" t="s">
        <v>1704</v>
      </c>
    </row>
    <row r="886" spans="1:12" ht="54" customHeight="1">
      <c r="A886" s="1">
        <v>834</v>
      </c>
      <c r="B886" s="1" t="s">
        <v>4928</v>
      </c>
      <c r="C886" s="1" t="s">
        <v>4929</v>
      </c>
      <c r="D886" s="1" t="s">
        <v>4509</v>
      </c>
      <c r="E886" s="1" t="s">
        <v>1653</v>
      </c>
      <c r="F886" s="1" t="s">
        <v>4930</v>
      </c>
      <c r="G886" s="6"/>
      <c r="K886" s="1" t="s">
        <v>1648</v>
      </c>
      <c r="L886" s="39" t="s">
        <v>1704</v>
      </c>
    </row>
    <row r="887" spans="1:12" ht="54" customHeight="1">
      <c r="A887" s="1">
        <v>512</v>
      </c>
      <c r="B887" s="1" t="s">
        <v>4931</v>
      </c>
      <c r="C887" s="1" t="s">
        <v>4932</v>
      </c>
      <c r="D887" s="1" t="s">
        <v>4509</v>
      </c>
      <c r="E887" s="1" t="s">
        <v>1653</v>
      </c>
      <c r="F887" s="1" t="s">
        <v>4933</v>
      </c>
      <c r="G887" s="6"/>
      <c r="K887" s="1" t="s">
        <v>1648</v>
      </c>
      <c r="L887" s="39" t="s">
        <v>1704</v>
      </c>
    </row>
    <row r="888" spans="1:12" ht="54" customHeight="1">
      <c r="A888" s="1">
        <v>513</v>
      </c>
      <c r="B888" s="1" t="s">
        <v>4934</v>
      </c>
      <c r="C888" s="1" t="s">
        <v>4935</v>
      </c>
      <c r="D888" s="1" t="s">
        <v>4509</v>
      </c>
      <c r="E888" s="1" t="s">
        <v>1653</v>
      </c>
      <c r="F888" s="1" t="s">
        <v>4936</v>
      </c>
      <c r="G888" s="7" t="s">
        <v>4937</v>
      </c>
      <c r="H888" s="14" t="s">
        <v>4937</v>
      </c>
      <c r="I888" s="10" t="s">
        <v>20</v>
      </c>
      <c r="K888" s="1" t="s">
        <v>1648</v>
      </c>
      <c r="L888" s="39" t="s">
        <v>1704</v>
      </c>
    </row>
    <row r="889" spans="1:12" ht="54" customHeight="1">
      <c r="A889" s="1">
        <v>514</v>
      </c>
      <c r="B889" s="1" t="s">
        <v>4938</v>
      </c>
      <c r="C889" s="1" t="s">
        <v>4939</v>
      </c>
      <c r="D889" s="1" t="s">
        <v>4509</v>
      </c>
      <c r="E889" s="1" t="s">
        <v>1653</v>
      </c>
      <c r="F889" s="1" t="s">
        <v>4940</v>
      </c>
      <c r="G889" s="6"/>
      <c r="K889" s="1" t="s">
        <v>1648</v>
      </c>
      <c r="L889" s="39" t="s">
        <v>1704</v>
      </c>
    </row>
    <row r="890" spans="1:12" ht="54" customHeight="1">
      <c r="A890" s="1">
        <v>515</v>
      </c>
      <c r="B890" s="1" t="s">
        <v>4941</v>
      </c>
      <c r="C890" s="1" t="s">
        <v>4942</v>
      </c>
      <c r="D890" s="1" t="s">
        <v>4509</v>
      </c>
      <c r="E890" s="1" t="s">
        <v>1653</v>
      </c>
      <c r="F890" s="1" t="s">
        <v>4943</v>
      </c>
      <c r="G890" s="7" t="s">
        <v>4944</v>
      </c>
      <c r="H890" s="14" t="s">
        <v>4944</v>
      </c>
      <c r="I890" s="10" t="s">
        <v>20</v>
      </c>
      <c r="K890" s="1" t="s">
        <v>1648</v>
      </c>
      <c r="L890" s="39" t="s">
        <v>1704</v>
      </c>
    </row>
    <row r="891" spans="1:12" ht="54" customHeight="1">
      <c r="A891" s="1">
        <v>518</v>
      </c>
      <c r="B891" s="1" t="s">
        <v>1362</v>
      </c>
      <c r="C891" s="9" t="s">
        <v>4945</v>
      </c>
      <c r="D891" s="1" t="s">
        <v>4509</v>
      </c>
      <c r="E891" s="1" t="s">
        <v>1653</v>
      </c>
      <c r="F891" s="1" t="s">
        <v>4946</v>
      </c>
      <c r="G891" s="8" t="s">
        <v>4947</v>
      </c>
      <c r="H891" s="14" t="s">
        <v>4947</v>
      </c>
      <c r="I891" s="10" t="s">
        <v>20</v>
      </c>
      <c r="K891" s="1" t="s">
        <v>1648</v>
      </c>
      <c r="L891" s="39" t="s">
        <v>1704</v>
      </c>
    </row>
    <row r="892" spans="1:12" ht="54" customHeight="1">
      <c r="A892" s="1">
        <v>523</v>
      </c>
      <c r="B892" s="1" t="s">
        <v>4948</v>
      </c>
      <c r="C892" s="1" t="s">
        <v>4949</v>
      </c>
      <c r="D892" s="1" t="s">
        <v>4509</v>
      </c>
      <c r="E892" s="1" t="s">
        <v>1653</v>
      </c>
      <c r="F892" s="1" t="s">
        <v>4950</v>
      </c>
      <c r="G892" s="7" t="s">
        <v>4951</v>
      </c>
      <c r="H892" s="14" t="s">
        <v>4951</v>
      </c>
      <c r="I892" s="10" t="s">
        <v>20</v>
      </c>
      <c r="J892" s="1" t="s">
        <v>4952</v>
      </c>
      <c r="K892" s="1" t="s">
        <v>2087</v>
      </c>
      <c r="L892" s="39" t="s">
        <v>4953</v>
      </c>
    </row>
    <row r="893" spans="1:12" ht="54" customHeight="1">
      <c r="A893" s="1">
        <v>525</v>
      </c>
      <c r="B893" s="1" t="s">
        <v>4954</v>
      </c>
      <c r="C893" s="1" t="s">
        <v>4955</v>
      </c>
      <c r="D893" s="1" t="s">
        <v>4509</v>
      </c>
      <c r="E893" s="1" t="s">
        <v>1653</v>
      </c>
      <c r="F893" s="1" t="s">
        <v>4956</v>
      </c>
      <c r="G893" s="7" t="s">
        <v>4957</v>
      </c>
      <c r="H893" s="14" t="s">
        <v>4957</v>
      </c>
      <c r="I893" s="10" t="s">
        <v>20</v>
      </c>
      <c r="K893" s="1" t="s">
        <v>1648</v>
      </c>
      <c r="L893" s="39" t="s">
        <v>1704</v>
      </c>
    </row>
    <row r="894" spans="1:12" ht="54" customHeight="1">
      <c r="A894" s="1">
        <v>840</v>
      </c>
      <c r="B894" s="1" t="s">
        <v>4958</v>
      </c>
      <c r="C894" s="1" t="s">
        <v>4959</v>
      </c>
      <c r="D894" s="1" t="s">
        <v>4509</v>
      </c>
      <c r="E894" s="1" t="s">
        <v>1653</v>
      </c>
      <c r="F894" s="1" t="s">
        <v>4960</v>
      </c>
      <c r="G894" s="7" t="s">
        <v>4961</v>
      </c>
      <c r="H894" s="14" t="s">
        <v>4961</v>
      </c>
      <c r="I894" s="10" t="s">
        <v>20</v>
      </c>
      <c r="K894" s="1" t="s">
        <v>1648</v>
      </c>
      <c r="L894" s="39" t="s">
        <v>1704</v>
      </c>
    </row>
    <row r="895" spans="1:12" ht="54" customHeight="1">
      <c r="A895" s="1">
        <v>530</v>
      </c>
      <c r="B895" s="1" t="s">
        <v>4962</v>
      </c>
      <c r="C895" s="1" t="s">
        <v>4963</v>
      </c>
      <c r="D895" s="1" t="s">
        <v>4509</v>
      </c>
      <c r="E895" s="1" t="s">
        <v>1653</v>
      </c>
      <c r="F895" s="1" t="s">
        <v>4964</v>
      </c>
      <c r="G895" s="7" t="s">
        <v>4965</v>
      </c>
      <c r="H895" s="14" t="s">
        <v>4965</v>
      </c>
      <c r="I895" s="10" t="s">
        <v>20</v>
      </c>
      <c r="K895" s="1" t="s">
        <v>1648</v>
      </c>
      <c r="L895" s="39" t="s">
        <v>1704</v>
      </c>
    </row>
    <row r="896" spans="1:12" ht="54" customHeight="1">
      <c r="A896" s="1">
        <v>531</v>
      </c>
      <c r="B896" s="1" t="s">
        <v>4966</v>
      </c>
      <c r="C896" s="1" t="s">
        <v>4967</v>
      </c>
      <c r="D896" s="1" t="s">
        <v>4509</v>
      </c>
      <c r="E896" s="1" t="s">
        <v>1653</v>
      </c>
      <c r="F896" s="1" t="s">
        <v>4968</v>
      </c>
      <c r="G896" s="7" t="s">
        <v>4969</v>
      </c>
      <c r="H896" s="14" t="s">
        <v>4969</v>
      </c>
      <c r="I896" s="10" t="s">
        <v>20</v>
      </c>
      <c r="K896" s="1" t="s">
        <v>1648</v>
      </c>
      <c r="L896" s="39" t="s">
        <v>1704</v>
      </c>
    </row>
    <row r="897" spans="1:12" ht="54" customHeight="1">
      <c r="A897" s="1">
        <v>532</v>
      </c>
      <c r="B897" s="1" t="s">
        <v>4970</v>
      </c>
      <c r="C897" s="1" t="s">
        <v>4971</v>
      </c>
      <c r="D897" s="1" t="s">
        <v>4509</v>
      </c>
      <c r="E897" s="1" t="s">
        <v>1653</v>
      </c>
      <c r="F897" s="1" t="s">
        <v>4972</v>
      </c>
      <c r="G897" s="7" t="s">
        <v>4973</v>
      </c>
      <c r="H897" s="14" t="s">
        <v>4973</v>
      </c>
      <c r="I897" s="10" t="s">
        <v>20</v>
      </c>
      <c r="K897" s="1" t="s">
        <v>1648</v>
      </c>
      <c r="L897" s="39" t="s">
        <v>1704</v>
      </c>
    </row>
    <row r="898" spans="1:12" ht="54" customHeight="1">
      <c r="A898" s="1">
        <v>862</v>
      </c>
      <c r="B898" s="1" t="s">
        <v>4974</v>
      </c>
      <c r="C898" s="1" t="s">
        <v>4975</v>
      </c>
      <c r="D898" s="1" t="s">
        <v>4509</v>
      </c>
      <c r="E898" s="1" t="s">
        <v>1653</v>
      </c>
      <c r="F898" s="1" t="s">
        <v>4976</v>
      </c>
      <c r="G898" s="7" t="s">
        <v>4977</v>
      </c>
      <c r="H898" s="14" t="s">
        <v>4977</v>
      </c>
      <c r="I898" s="10" t="s">
        <v>20</v>
      </c>
      <c r="K898" s="1" t="s">
        <v>1648</v>
      </c>
      <c r="L898" s="39" t="s">
        <v>1704</v>
      </c>
    </row>
    <row r="899" spans="1:12" ht="54" customHeight="1">
      <c r="A899" s="1">
        <v>537</v>
      </c>
      <c r="B899" s="1" t="s">
        <v>4978</v>
      </c>
      <c r="C899" s="1" t="s">
        <v>4979</v>
      </c>
      <c r="D899" s="1" t="s">
        <v>4509</v>
      </c>
      <c r="E899" s="1" t="s">
        <v>1653</v>
      </c>
      <c r="F899" s="1" t="s">
        <v>4980</v>
      </c>
      <c r="G899" s="6" t="s">
        <v>4981</v>
      </c>
      <c r="K899" s="1" t="s">
        <v>1648</v>
      </c>
      <c r="L899" s="39" t="s">
        <v>1704</v>
      </c>
    </row>
    <row r="900" spans="1:12" ht="54" customHeight="1">
      <c r="A900" s="1">
        <v>62271</v>
      </c>
      <c r="B900" s="1" t="s">
        <v>1545</v>
      </c>
      <c r="C900" s="1" t="s">
        <v>4982</v>
      </c>
      <c r="D900" s="1" t="s">
        <v>4509</v>
      </c>
      <c r="E900" s="1" t="s">
        <v>1710</v>
      </c>
      <c r="F900" s="1" t="s">
        <v>4983</v>
      </c>
      <c r="G900" s="8" t="s">
        <v>57</v>
      </c>
      <c r="H900" s="14" t="s">
        <v>57</v>
      </c>
      <c r="I900" s="25"/>
      <c r="K900" s="1" t="s">
        <v>2087</v>
      </c>
      <c r="L900" s="39" t="s">
        <v>2171</v>
      </c>
    </row>
    <row r="901" spans="1:12" ht="54" customHeight="1">
      <c r="A901" s="1">
        <v>64516</v>
      </c>
      <c r="B901" s="1" t="s">
        <v>4984</v>
      </c>
      <c r="C901" s="1" t="s">
        <v>4985</v>
      </c>
      <c r="D901" s="1" t="s">
        <v>4509</v>
      </c>
      <c r="E901" s="1" t="s">
        <v>1710</v>
      </c>
      <c r="F901" s="1" t="s">
        <v>4986</v>
      </c>
      <c r="G901" s="6" t="s">
        <v>3328</v>
      </c>
      <c r="K901" s="1" t="s">
        <v>1648</v>
      </c>
      <c r="L901" s="39" t="s">
        <v>1704</v>
      </c>
    </row>
    <row r="902" spans="1:12" ht="54" customHeight="1">
      <c r="A902" s="1">
        <v>66346</v>
      </c>
      <c r="B902" s="1" t="s">
        <v>4987</v>
      </c>
      <c r="C902" s="1" t="s">
        <v>4988</v>
      </c>
      <c r="D902" s="1" t="s">
        <v>4509</v>
      </c>
      <c r="E902" s="1" t="s">
        <v>1710</v>
      </c>
      <c r="F902" s="1" t="s">
        <v>4989</v>
      </c>
      <c r="G902" s="7" t="s">
        <v>4990</v>
      </c>
      <c r="H902" s="14" t="s">
        <v>4990</v>
      </c>
      <c r="J902" s="1" t="s">
        <v>4991</v>
      </c>
      <c r="K902" s="1" t="s">
        <v>1648</v>
      </c>
      <c r="L902" s="39" t="s">
        <v>1704</v>
      </c>
    </row>
    <row r="903" spans="1:12" ht="54" customHeight="1">
      <c r="A903" s="1">
        <v>86395</v>
      </c>
      <c r="B903" s="1" t="s">
        <v>4992</v>
      </c>
      <c r="C903" s="1" t="s">
        <v>4993</v>
      </c>
      <c r="D903" s="1" t="s">
        <v>4509</v>
      </c>
      <c r="E903" s="1" t="s">
        <v>4994</v>
      </c>
      <c r="F903" s="1" t="s">
        <v>4995</v>
      </c>
      <c r="G903" s="6" t="s">
        <v>4257</v>
      </c>
      <c r="K903" s="1" t="s">
        <v>1648</v>
      </c>
      <c r="L903" s="39" t="s">
        <v>1704</v>
      </c>
    </row>
    <row r="904" spans="1:12" ht="54" customHeight="1">
      <c r="A904" s="1">
        <v>86699</v>
      </c>
      <c r="B904" s="1" t="s">
        <v>4996</v>
      </c>
      <c r="C904" s="1" t="s">
        <v>4997</v>
      </c>
      <c r="D904" s="1" t="s">
        <v>4509</v>
      </c>
      <c r="E904" s="1" t="s">
        <v>4998</v>
      </c>
      <c r="F904" s="1" t="s">
        <v>4999</v>
      </c>
      <c r="G904" s="7" t="s">
        <v>5000</v>
      </c>
      <c r="H904" s="22" t="s">
        <v>5000</v>
      </c>
      <c r="I904" s="22"/>
      <c r="K904" s="1" t="s">
        <v>1648</v>
      </c>
      <c r="L904" s="39" t="s">
        <v>1704</v>
      </c>
    </row>
    <row r="905" spans="1:12" ht="54" customHeight="1">
      <c r="A905" s="1">
        <v>86616</v>
      </c>
      <c r="B905" s="1" t="s">
        <v>5001</v>
      </c>
      <c r="C905" s="1" t="s">
        <v>5002</v>
      </c>
      <c r="D905" s="1" t="s">
        <v>4509</v>
      </c>
      <c r="E905" s="1" t="s">
        <v>5003</v>
      </c>
      <c r="F905" s="1" t="s">
        <v>5004</v>
      </c>
      <c r="G905" s="6" t="s">
        <v>4257</v>
      </c>
      <c r="K905" s="1" t="s">
        <v>1648</v>
      </c>
      <c r="L905" s="39" t="s">
        <v>1704</v>
      </c>
    </row>
    <row r="906" spans="1:12" ht="54" customHeight="1">
      <c r="A906" s="1">
        <v>68835</v>
      </c>
      <c r="B906" s="1" t="s">
        <v>5005</v>
      </c>
      <c r="C906" s="1" t="s">
        <v>5006</v>
      </c>
      <c r="D906" s="1" t="s">
        <v>4509</v>
      </c>
      <c r="E906" s="1" t="s">
        <v>2003</v>
      </c>
      <c r="F906" s="1" t="s">
        <v>5007</v>
      </c>
      <c r="G906" s="7" t="s">
        <v>5008</v>
      </c>
      <c r="H906" s="22" t="s">
        <v>5008</v>
      </c>
      <c r="I906" s="22"/>
      <c r="J906" s="1" t="s">
        <v>5009</v>
      </c>
      <c r="K906" s="1" t="s">
        <v>1648</v>
      </c>
      <c r="L906" s="39" t="s">
        <v>1704</v>
      </c>
    </row>
    <row r="907" spans="1:12" ht="54" customHeight="1">
      <c r="A907" s="1">
        <v>50</v>
      </c>
      <c r="B907" s="1" t="s">
        <v>5010</v>
      </c>
      <c r="C907" s="1" t="s">
        <v>5011</v>
      </c>
      <c r="D907" s="1" t="s">
        <v>4509</v>
      </c>
      <c r="E907" s="1" t="s">
        <v>2003</v>
      </c>
      <c r="F907" s="1" t="s">
        <v>5012</v>
      </c>
      <c r="G907" s="7" t="s">
        <v>5013</v>
      </c>
      <c r="H907" s="14" t="s">
        <v>5013</v>
      </c>
      <c r="I907" s="25"/>
      <c r="K907" s="1" t="s">
        <v>1648</v>
      </c>
      <c r="L907" s="39" t="s">
        <v>1704</v>
      </c>
    </row>
    <row r="908" spans="1:12" ht="54" customHeight="1">
      <c r="A908" s="1">
        <v>52</v>
      </c>
      <c r="B908" s="1" t="s">
        <v>5014</v>
      </c>
      <c r="C908" s="1" t="s">
        <v>5015</v>
      </c>
      <c r="D908" s="1" t="s">
        <v>4509</v>
      </c>
      <c r="E908" s="1" t="s">
        <v>2003</v>
      </c>
      <c r="F908" s="1" t="s">
        <v>5016</v>
      </c>
      <c r="G908" s="7" t="s">
        <v>5017</v>
      </c>
      <c r="H908" s="14" t="s">
        <v>5017</v>
      </c>
      <c r="I908" s="25"/>
      <c r="K908" s="1" t="s">
        <v>1648</v>
      </c>
      <c r="L908" s="39" t="s">
        <v>1704</v>
      </c>
    </row>
    <row r="909" spans="1:12" ht="54" customHeight="1">
      <c r="A909" s="1">
        <v>53</v>
      </c>
      <c r="B909" s="1" t="s">
        <v>5018</v>
      </c>
      <c r="C909" s="1" t="s">
        <v>5019</v>
      </c>
      <c r="D909" s="1" t="s">
        <v>4509</v>
      </c>
      <c r="E909" s="1" t="s">
        <v>2003</v>
      </c>
      <c r="F909" s="1" t="s">
        <v>5020</v>
      </c>
      <c r="G909" s="8" t="s">
        <v>4777</v>
      </c>
      <c r="H909" s="7" t="s">
        <v>4777</v>
      </c>
      <c r="I909" s="7"/>
      <c r="K909" s="1" t="s">
        <v>1648</v>
      </c>
      <c r="L909" s="39" t="s">
        <v>1704</v>
      </c>
    </row>
    <row r="910" spans="1:12" ht="54" customHeight="1">
      <c r="A910" s="1">
        <v>55</v>
      </c>
      <c r="B910" s="1" t="s">
        <v>5021</v>
      </c>
      <c r="C910" s="1" t="s">
        <v>5022</v>
      </c>
      <c r="D910" s="1" t="s">
        <v>4509</v>
      </c>
      <c r="E910" s="1" t="s">
        <v>2003</v>
      </c>
      <c r="F910" s="1" t="s">
        <v>5023</v>
      </c>
      <c r="G910" s="7" t="s">
        <v>5024</v>
      </c>
      <c r="H910" s="22" t="s">
        <v>5024</v>
      </c>
      <c r="I910" s="22"/>
      <c r="K910" s="1" t="s">
        <v>1648</v>
      </c>
      <c r="L910" s="39" t="s">
        <v>1704</v>
      </c>
    </row>
    <row r="911" spans="1:12" ht="54" customHeight="1">
      <c r="A911" s="1">
        <v>56</v>
      </c>
      <c r="B911" s="1" t="s">
        <v>5025</v>
      </c>
      <c r="C911" s="1" t="s">
        <v>5026</v>
      </c>
      <c r="D911" s="1" t="s">
        <v>4509</v>
      </c>
      <c r="E911" s="1" t="s">
        <v>2003</v>
      </c>
      <c r="F911" s="1" t="s">
        <v>5027</v>
      </c>
      <c r="G911" s="6" t="s">
        <v>3328</v>
      </c>
      <c r="K911" s="1" t="s">
        <v>1648</v>
      </c>
      <c r="L911" s="39" t="s">
        <v>1704</v>
      </c>
    </row>
    <row r="912" spans="1:12" ht="54" customHeight="1">
      <c r="A912" s="1">
        <v>57</v>
      </c>
      <c r="B912" s="1" t="s">
        <v>5028</v>
      </c>
      <c r="C912" s="1" t="s">
        <v>5029</v>
      </c>
      <c r="D912" s="1" t="s">
        <v>4509</v>
      </c>
      <c r="E912" s="1" t="s">
        <v>2003</v>
      </c>
      <c r="F912" s="1" t="s">
        <v>5030</v>
      </c>
      <c r="G912" s="7" t="s">
        <v>5031</v>
      </c>
      <c r="H912" s="14" t="s">
        <v>5031</v>
      </c>
      <c r="I912" s="25"/>
      <c r="K912" s="1" t="s">
        <v>1648</v>
      </c>
      <c r="L912" s="39" t="s">
        <v>1704</v>
      </c>
    </row>
    <row r="913" spans="1:12" ht="54" customHeight="1">
      <c r="A913" s="1">
        <v>60</v>
      </c>
      <c r="B913" s="1" t="s">
        <v>5032</v>
      </c>
      <c r="C913" s="1" t="s">
        <v>5033</v>
      </c>
      <c r="D913" s="1" t="s">
        <v>4509</v>
      </c>
      <c r="E913" s="1" t="s">
        <v>2003</v>
      </c>
      <c r="F913" s="1" t="s">
        <v>5034</v>
      </c>
      <c r="G913" s="7" t="s">
        <v>5035</v>
      </c>
      <c r="H913" s="14" t="s">
        <v>5035</v>
      </c>
      <c r="I913" s="25"/>
      <c r="K913" s="1" t="s">
        <v>1648</v>
      </c>
      <c r="L913" s="39" t="s">
        <v>1704</v>
      </c>
    </row>
    <row r="914" spans="1:12" ht="54" customHeight="1">
      <c r="A914" s="1">
        <v>61</v>
      </c>
      <c r="B914" s="1" t="s">
        <v>5036</v>
      </c>
      <c r="C914" s="1" t="s">
        <v>5037</v>
      </c>
      <c r="D914" s="1" t="s">
        <v>4509</v>
      </c>
      <c r="E914" s="1" t="s">
        <v>2003</v>
      </c>
      <c r="F914" s="1" t="s">
        <v>5038</v>
      </c>
      <c r="G914" s="7" t="s">
        <v>5039</v>
      </c>
      <c r="H914" s="22" t="s">
        <v>5039</v>
      </c>
      <c r="I914" s="22"/>
      <c r="K914" s="1" t="s">
        <v>1648</v>
      </c>
      <c r="L914" s="39" t="s">
        <v>1704</v>
      </c>
    </row>
    <row r="915" spans="1:12" ht="54" customHeight="1">
      <c r="A915" s="1">
        <v>63</v>
      </c>
      <c r="B915" s="1" t="s">
        <v>5040</v>
      </c>
      <c r="C915" s="1" t="s">
        <v>5041</v>
      </c>
      <c r="D915" s="1" t="s">
        <v>4509</v>
      </c>
      <c r="E915" s="1" t="s">
        <v>2003</v>
      </c>
      <c r="F915" s="1" t="s">
        <v>5042</v>
      </c>
      <c r="G915" s="7" t="s">
        <v>5043</v>
      </c>
      <c r="H915" s="14" t="s">
        <v>5043</v>
      </c>
      <c r="I915" s="25"/>
      <c r="K915" s="1" t="s">
        <v>1648</v>
      </c>
      <c r="L915" s="39" t="s">
        <v>1704</v>
      </c>
    </row>
    <row r="916" spans="1:12" ht="54" customHeight="1">
      <c r="A916" s="1">
        <v>68838</v>
      </c>
      <c r="B916" s="1" t="s">
        <v>5044</v>
      </c>
      <c r="C916" s="1" t="s">
        <v>5045</v>
      </c>
      <c r="D916" s="1" t="s">
        <v>4509</v>
      </c>
      <c r="E916" s="1" t="s">
        <v>2003</v>
      </c>
      <c r="F916" s="1" t="s">
        <v>5046</v>
      </c>
      <c r="G916" s="6" t="s">
        <v>3328</v>
      </c>
      <c r="K916" s="1" t="s">
        <v>1648</v>
      </c>
      <c r="L916" s="39" t="s">
        <v>1704</v>
      </c>
    </row>
    <row r="917" spans="1:12" ht="54" customHeight="1">
      <c r="A917" s="1">
        <v>144</v>
      </c>
      <c r="B917" s="1" t="s">
        <v>5047</v>
      </c>
      <c r="C917" s="1" t="s">
        <v>5048</v>
      </c>
      <c r="D917" s="1" t="s">
        <v>4509</v>
      </c>
      <c r="E917" s="1" t="s">
        <v>2003</v>
      </c>
      <c r="F917" s="1" t="s">
        <v>5049</v>
      </c>
      <c r="G917" s="7" t="s">
        <v>1839</v>
      </c>
      <c r="H917" s="14" t="s">
        <v>1839</v>
      </c>
      <c r="K917" s="1" t="s">
        <v>1648</v>
      </c>
      <c r="L917" s="39" t="s">
        <v>1704</v>
      </c>
    </row>
    <row r="918" spans="1:12" ht="54" customHeight="1">
      <c r="A918" s="1">
        <v>64517</v>
      </c>
      <c r="B918" s="1" t="s">
        <v>5050</v>
      </c>
      <c r="C918" s="1" t="s">
        <v>5051</v>
      </c>
      <c r="D918" s="1" t="s">
        <v>4509</v>
      </c>
      <c r="E918" s="1" t="s">
        <v>2003</v>
      </c>
      <c r="F918" s="1" t="s">
        <v>5052</v>
      </c>
      <c r="G918" s="7" t="s">
        <v>1839</v>
      </c>
      <c r="J918" s="1" t="s">
        <v>5053</v>
      </c>
      <c r="K918" s="1" t="s">
        <v>1648</v>
      </c>
      <c r="L918" s="39" t="s">
        <v>1704</v>
      </c>
    </row>
    <row r="919" spans="1:12" ht="54" customHeight="1">
      <c r="A919" s="1">
        <v>86093</v>
      </c>
      <c r="B919" s="1" t="s">
        <v>5054</v>
      </c>
      <c r="C919" s="1" t="s">
        <v>5055</v>
      </c>
      <c r="D919" s="1" t="s">
        <v>4509</v>
      </c>
      <c r="E919" s="1" t="s">
        <v>2003</v>
      </c>
      <c r="F919" s="1" t="s">
        <v>5056</v>
      </c>
      <c r="G919" s="7" t="s">
        <v>92</v>
      </c>
      <c r="H919" s="22" t="s">
        <v>92</v>
      </c>
      <c r="I919" s="22" t="s">
        <v>20</v>
      </c>
      <c r="K919" s="1" t="s">
        <v>1648</v>
      </c>
      <c r="L919" s="39" t="s">
        <v>1704</v>
      </c>
    </row>
    <row r="920" spans="1:12" ht="54" customHeight="1">
      <c r="A920" s="1">
        <v>82801</v>
      </c>
      <c r="B920" s="1" t="s">
        <v>5057</v>
      </c>
      <c r="C920" s="1" t="s">
        <v>5058</v>
      </c>
      <c r="D920" s="1" t="s">
        <v>4509</v>
      </c>
      <c r="E920" s="1" t="s">
        <v>2003</v>
      </c>
      <c r="F920" s="1" t="s">
        <v>5059</v>
      </c>
      <c r="G920" s="7" t="s">
        <v>5060</v>
      </c>
      <c r="H920" s="14" t="s">
        <v>5060</v>
      </c>
      <c r="K920" s="1" t="s">
        <v>1648</v>
      </c>
      <c r="L920" s="39" t="s">
        <v>1704</v>
      </c>
    </row>
    <row r="921" spans="1:12" ht="54" customHeight="1">
      <c r="A921" s="1">
        <v>92722</v>
      </c>
      <c r="B921" s="1" t="s">
        <v>5061</v>
      </c>
      <c r="C921" s="1" t="s">
        <v>5062</v>
      </c>
      <c r="D921" s="1" t="s">
        <v>4509</v>
      </c>
      <c r="E921" s="1" t="s">
        <v>2003</v>
      </c>
      <c r="F921" s="1" t="s">
        <v>5063</v>
      </c>
      <c r="G921" s="9" t="s">
        <v>1472</v>
      </c>
      <c r="H921" s="14" t="s">
        <v>1472</v>
      </c>
      <c r="J921" s="1" t="s">
        <v>5064</v>
      </c>
      <c r="K921" s="1" t="s">
        <v>1648</v>
      </c>
      <c r="L921" s="39" t="s">
        <v>1704</v>
      </c>
    </row>
    <row r="922" spans="1:12" ht="54" customHeight="1">
      <c r="A922" s="1">
        <v>58460</v>
      </c>
      <c r="B922" s="1" t="s">
        <v>5065</v>
      </c>
      <c r="C922" s="1" t="s">
        <v>5066</v>
      </c>
      <c r="D922" s="1" t="s">
        <v>4509</v>
      </c>
      <c r="E922" s="1" t="s">
        <v>2003</v>
      </c>
      <c r="F922" s="1" t="s">
        <v>5067</v>
      </c>
      <c r="G922" s="7" t="s">
        <v>77</v>
      </c>
      <c r="H922" s="14" t="s">
        <v>77</v>
      </c>
      <c r="I922" s="25"/>
      <c r="K922" s="1" t="s">
        <v>1648</v>
      </c>
      <c r="L922" s="39" t="s">
        <v>1704</v>
      </c>
    </row>
    <row r="923" spans="1:12" ht="54" customHeight="1">
      <c r="A923" s="1">
        <v>62775</v>
      </c>
      <c r="B923" s="1" t="s">
        <v>5068</v>
      </c>
      <c r="C923" s="1" t="s">
        <v>5069</v>
      </c>
      <c r="D923" s="1" t="s">
        <v>4509</v>
      </c>
      <c r="E923" s="1" t="s">
        <v>2003</v>
      </c>
      <c r="F923" s="1" t="s">
        <v>5070</v>
      </c>
      <c r="G923" s="7" t="s">
        <v>159</v>
      </c>
      <c r="H923" s="14" t="s">
        <v>159</v>
      </c>
      <c r="I923" s="25"/>
      <c r="K923" s="1" t="s">
        <v>1648</v>
      </c>
      <c r="L923" s="39" t="s">
        <v>1704</v>
      </c>
    </row>
    <row r="924" spans="1:12" ht="54" customHeight="1">
      <c r="A924" s="1">
        <v>63085</v>
      </c>
      <c r="B924" s="1" t="s">
        <v>5071</v>
      </c>
      <c r="C924" s="1" t="s">
        <v>5072</v>
      </c>
      <c r="D924" s="1" t="s">
        <v>4509</v>
      </c>
      <c r="E924" s="1" t="s">
        <v>2003</v>
      </c>
      <c r="F924" s="1" t="s">
        <v>5073</v>
      </c>
      <c r="G924" s="6" t="s">
        <v>2741</v>
      </c>
      <c r="K924" s="1" t="s">
        <v>1648</v>
      </c>
      <c r="L924" s="39" t="s">
        <v>1704</v>
      </c>
    </row>
    <row r="925" spans="1:12" ht="54" customHeight="1">
      <c r="A925" s="1">
        <v>63077</v>
      </c>
      <c r="B925" s="1" t="s">
        <v>5074</v>
      </c>
      <c r="C925" s="1" t="s">
        <v>5075</v>
      </c>
      <c r="D925" s="1" t="s">
        <v>4509</v>
      </c>
      <c r="E925" s="1" t="s">
        <v>2003</v>
      </c>
      <c r="F925" s="1" t="s">
        <v>5076</v>
      </c>
      <c r="G925" s="7" t="s">
        <v>1441</v>
      </c>
      <c r="H925" s="22" t="s">
        <v>1441</v>
      </c>
      <c r="I925" s="22"/>
    </row>
    <row r="926" spans="1:12" ht="54" customHeight="1">
      <c r="A926" s="1">
        <v>82803</v>
      </c>
      <c r="B926" s="1" t="s">
        <v>5077</v>
      </c>
      <c r="C926" s="1" t="s">
        <v>5078</v>
      </c>
      <c r="D926" s="1" t="s">
        <v>4509</v>
      </c>
      <c r="E926" s="1" t="s">
        <v>2003</v>
      </c>
      <c r="F926" s="1" t="s">
        <v>5079</v>
      </c>
      <c r="G926" s="6" t="s">
        <v>1755</v>
      </c>
      <c r="K926" s="1" t="s">
        <v>1648</v>
      </c>
      <c r="L926" s="39" t="s">
        <v>1704</v>
      </c>
    </row>
    <row r="927" spans="1:12" ht="54" customHeight="1">
      <c r="A927" s="1">
        <v>796</v>
      </c>
      <c r="B927" s="1" t="s">
        <v>5080</v>
      </c>
      <c r="C927" s="1" t="s">
        <v>5081</v>
      </c>
      <c r="D927" s="1" t="s">
        <v>4509</v>
      </c>
      <c r="E927" s="1" t="s">
        <v>2003</v>
      </c>
      <c r="F927" s="1" t="s">
        <v>5082</v>
      </c>
      <c r="G927" s="6"/>
      <c r="K927" s="1" t="s">
        <v>1648</v>
      </c>
      <c r="L927" s="39" t="s">
        <v>1704</v>
      </c>
    </row>
    <row r="928" spans="1:12" ht="54" customHeight="1">
      <c r="A928" s="1">
        <v>63082</v>
      </c>
      <c r="B928" s="1" t="s">
        <v>5083</v>
      </c>
      <c r="C928" s="1" t="s">
        <v>5084</v>
      </c>
      <c r="D928" s="1" t="s">
        <v>4509</v>
      </c>
      <c r="E928" s="1" t="s">
        <v>2003</v>
      </c>
      <c r="F928" s="1" t="s">
        <v>5085</v>
      </c>
      <c r="G928" s="7" t="s">
        <v>77</v>
      </c>
      <c r="H928" s="14" t="s">
        <v>77</v>
      </c>
      <c r="J928" s="1" t="s">
        <v>5086</v>
      </c>
      <c r="K928" s="1" t="s">
        <v>1648</v>
      </c>
      <c r="L928" s="39" t="s">
        <v>5087</v>
      </c>
    </row>
    <row r="929" spans="1:13" ht="54" customHeight="1">
      <c r="A929" s="1">
        <v>66347</v>
      </c>
      <c r="B929" s="1" t="s">
        <v>5088</v>
      </c>
      <c r="C929" s="1" t="s">
        <v>5089</v>
      </c>
      <c r="D929" s="1" t="s">
        <v>4509</v>
      </c>
      <c r="E929" s="1" t="s">
        <v>2003</v>
      </c>
      <c r="F929" s="1" t="s">
        <v>5090</v>
      </c>
      <c r="G929" s="7" t="s">
        <v>4990</v>
      </c>
      <c r="H929" s="22" t="s">
        <v>4990</v>
      </c>
      <c r="J929" s="1" t="s">
        <v>5091</v>
      </c>
      <c r="K929" s="1" t="s">
        <v>1648</v>
      </c>
      <c r="L929" s="39" t="s">
        <v>1704</v>
      </c>
    </row>
    <row r="930" spans="1:13" ht="54" customHeight="1">
      <c r="A930" s="1">
        <v>86096</v>
      </c>
      <c r="B930" s="1" t="s">
        <v>5092</v>
      </c>
      <c r="C930" s="1" t="s">
        <v>5093</v>
      </c>
      <c r="D930" s="1" t="s">
        <v>4509</v>
      </c>
      <c r="E930" s="1" t="s">
        <v>2003</v>
      </c>
      <c r="F930" s="1" t="s">
        <v>5094</v>
      </c>
      <c r="G930" s="7" t="s">
        <v>5000</v>
      </c>
      <c r="H930" s="14" t="s">
        <v>5000</v>
      </c>
      <c r="J930" s="1" t="s">
        <v>5095</v>
      </c>
      <c r="K930" s="1" t="s">
        <v>1648</v>
      </c>
      <c r="L930" s="39" t="s">
        <v>1704</v>
      </c>
    </row>
    <row r="931" spans="1:13" ht="54" customHeight="1">
      <c r="A931" s="1">
        <v>807</v>
      </c>
      <c r="B931" s="1" t="s">
        <v>5096</v>
      </c>
      <c r="C931" s="1" t="s">
        <v>5097</v>
      </c>
      <c r="D931" s="1" t="s">
        <v>4509</v>
      </c>
      <c r="E931" s="1" t="s">
        <v>3199</v>
      </c>
      <c r="F931" s="1" t="s">
        <v>5098</v>
      </c>
      <c r="G931" s="7" t="s">
        <v>3321</v>
      </c>
      <c r="H931" s="14" t="s">
        <v>3321</v>
      </c>
      <c r="I931" s="14"/>
      <c r="K931" s="1" t="s">
        <v>5099</v>
      </c>
      <c r="L931" s="39" t="s">
        <v>5100</v>
      </c>
    </row>
    <row r="932" spans="1:13" ht="54" customHeight="1">
      <c r="A932" s="1">
        <v>13</v>
      </c>
      <c r="B932" s="1" t="s">
        <v>5101</v>
      </c>
      <c r="C932" s="1" t="s">
        <v>5102</v>
      </c>
      <c r="D932" s="1" t="s">
        <v>4509</v>
      </c>
      <c r="E932" s="1" t="s">
        <v>1646</v>
      </c>
      <c r="F932" s="1" t="s">
        <v>5103</v>
      </c>
      <c r="G932" s="7" t="s">
        <v>5104</v>
      </c>
      <c r="H932" s="14" t="s">
        <v>5104</v>
      </c>
      <c r="I932" s="14"/>
      <c r="J932" s="1" t="s">
        <v>1703</v>
      </c>
    </row>
    <row r="933" spans="1:13" ht="54" customHeight="1">
      <c r="A933" s="1">
        <v>686</v>
      </c>
      <c r="B933" s="1" t="s">
        <v>5105</v>
      </c>
      <c r="C933" s="1" t="s">
        <v>5106</v>
      </c>
      <c r="D933" s="1" t="s">
        <v>4509</v>
      </c>
      <c r="E933" s="1" t="s">
        <v>1646</v>
      </c>
      <c r="F933" s="1" t="s">
        <v>5107</v>
      </c>
      <c r="G933" s="7" t="s">
        <v>5108</v>
      </c>
      <c r="H933" s="14" t="s">
        <v>5108</v>
      </c>
      <c r="I933" s="25"/>
      <c r="K933" s="1" t="s">
        <v>1648</v>
      </c>
      <c r="L933" s="1" t="s">
        <v>1649</v>
      </c>
    </row>
    <row r="934" spans="1:13" ht="54" customHeight="1">
      <c r="A934" s="1">
        <v>687</v>
      </c>
      <c r="B934" s="1" t="s">
        <v>5109</v>
      </c>
      <c r="C934" s="1" t="s">
        <v>5110</v>
      </c>
      <c r="D934" s="1" t="s">
        <v>4509</v>
      </c>
      <c r="E934" s="1" t="s">
        <v>1646</v>
      </c>
      <c r="F934" s="1" t="s">
        <v>5111</v>
      </c>
      <c r="G934" s="7" t="s">
        <v>366</v>
      </c>
      <c r="H934" s="14" t="s">
        <v>366</v>
      </c>
      <c r="I934" s="25"/>
      <c r="K934" s="1" t="s">
        <v>1648</v>
      </c>
      <c r="L934" s="1" t="s">
        <v>1649</v>
      </c>
    </row>
    <row r="935" spans="1:13" ht="54" customHeight="1">
      <c r="A935" s="1">
        <v>62760</v>
      </c>
      <c r="B935" s="1" t="s">
        <v>5112</v>
      </c>
      <c r="C935" s="1" t="s">
        <v>5113</v>
      </c>
      <c r="D935" s="1" t="s">
        <v>4509</v>
      </c>
      <c r="E935" s="1" t="s">
        <v>4076</v>
      </c>
      <c r="F935" s="1" t="s">
        <v>5114</v>
      </c>
      <c r="G935" s="7" t="s">
        <v>5115</v>
      </c>
      <c r="H935" s="14" t="s">
        <v>5115</v>
      </c>
      <c r="I935" s="10"/>
      <c r="K935" s="1" t="s">
        <v>1648</v>
      </c>
      <c r="L935" s="39" t="s">
        <v>1704</v>
      </c>
    </row>
    <row r="936" spans="1:13" ht="54" customHeight="1">
      <c r="A936" s="1">
        <v>62774</v>
      </c>
      <c r="B936" s="1" t="s">
        <v>5116</v>
      </c>
      <c r="C936" s="1" t="s">
        <v>5117</v>
      </c>
      <c r="D936" s="1" t="s">
        <v>4509</v>
      </c>
      <c r="E936" s="1" t="s">
        <v>4076</v>
      </c>
      <c r="F936" s="1" t="s">
        <v>5118</v>
      </c>
      <c r="G936" s="7" t="s">
        <v>33</v>
      </c>
      <c r="H936" s="14" t="s">
        <v>33</v>
      </c>
      <c r="I936" s="10"/>
      <c r="K936" s="1" t="s">
        <v>1648</v>
      </c>
      <c r="L936" s="39" t="s">
        <v>1704</v>
      </c>
    </row>
    <row r="937" spans="1:13" ht="54" customHeight="1">
      <c r="A937" s="1">
        <v>80335</v>
      </c>
      <c r="B937" s="1" t="s">
        <v>5119</v>
      </c>
      <c r="C937" s="1" t="s">
        <v>5120</v>
      </c>
      <c r="D937" s="1" t="s">
        <v>4509</v>
      </c>
      <c r="E937" s="1" t="s">
        <v>4076</v>
      </c>
      <c r="F937" s="1" t="s">
        <v>5121</v>
      </c>
      <c r="G937" s="7" t="s">
        <v>47</v>
      </c>
      <c r="H937" s="14" t="s">
        <v>47</v>
      </c>
      <c r="I937" s="14"/>
      <c r="K937" s="1" t="s">
        <v>2087</v>
      </c>
      <c r="L937" s="39" t="s">
        <v>5122</v>
      </c>
    </row>
    <row r="938" spans="1:13" ht="54" customHeight="1">
      <c r="A938" s="1">
        <v>350</v>
      </c>
      <c r="B938" s="1" t="s">
        <v>5123</v>
      </c>
      <c r="C938" s="1" t="s">
        <v>5124</v>
      </c>
      <c r="D938" s="1" t="s">
        <v>4509</v>
      </c>
      <c r="E938" s="1" t="s">
        <v>4255</v>
      </c>
      <c r="F938" s="1" t="s">
        <v>5125</v>
      </c>
      <c r="G938" s="6"/>
    </row>
    <row r="939" spans="1:13" ht="54" customHeight="1">
      <c r="A939" s="1">
        <v>91805</v>
      </c>
      <c r="B939" s="1">
        <v>764</v>
      </c>
      <c r="C939" s="1" t="s">
        <v>5126</v>
      </c>
      <c r="D939" s="1" t="s">
        <v>4509</v>
      </c>
      <c r="E939" s="1" t="s">
        <v>1657</v>
      </c>
      <c r="F939" s="1" t="s">
        <v>5127</v>
      </c>
      <c r="G939" s="7" t="s">
        <v>5</v>
      </c>
      <c r="H939" s="14" t="s">
        <v>5</v>
      </c>
      <c r="I939" s="14" t="s">
        <v>20</v>
      </c>
      <c r="J939" s="1" t="s">
        <v>1703</v>
      </c>
      <c r="K939" s="1" t="s">
        <v>1669</v>
      </c>
      <c r="L939" s="39" t="s">
        <v>5128</v>
      </c>
      <c r="M939" s="1" t="s">
        <v>5129</v>
      </c>
    </row>
    <row r="940" spans="1:13" ht="54" customHeight="1">
      <c r="A940" s="1">
        <v>68723</v>
      </c>
      <c r="B940" s="1" t="s">
        <v>5130</v>
      </c>
      <c r="C940" s="1" t="s">
        <v>5131</v>
      </c>
      <c r="D940" s="1" t="s">
        <v>4509</v>
      </c>
      <c r="E940" s="1" t="s">
        <v>1657</v>
      </c>
      <c r="F940" s="1" t="s">
        <v>5132</v>
      </c>
      <c r="G940" s="6" t="s">
        <v>1807</v>
      </c>
    </row>
    <row r="941" spans="1:13" ht="54" customHeight="1">
      <c r="A941" s="1">
        <v>49725</v>
      </c>
      <c r="B941" s="1" t="s">
        <v>5133</v>
      </c>
      <c r="C941" s="1" t="s">
        <v>5134</v>
      </c>
      <c r="D941" s="1" t="s">
        <v>4509</v>
      </c>
      <c r="E941" s="1" t="s">
        <v>1657</v>
      </c>
      <c r="F941" s="1" t="s">
        <v>5135</v>
      </c>
      <c r="G941" s="7" t="s">
        <v>15</v>
      </c>
      <c r="H941" s="14" t="s">
        <v>15</v>
      </c>
      <c r="I941" s="14" t="s">
        <v>20</v>
      </c>
      <c r="J941" s="1" t="s">
        <v>5136</v>
      </c>
    </row>
    <row r="942" spans="1:13" ht="54" customHeight="1">
      <c r="A942" s="1">
        <v>611</v>
      </c>
      <c r="B942" s="1" t="s">
        <v>5137</v>
      </c>
      <c r="C942" s="1" t="s">
        <v>5138</v>
      </c>
      <c r="D942" s="1" t="s">
        <v>4509</v>
      </c>
      <c r="E942" s="1" t="s">
        <v>1657</v>
      </c>
      <c r="F942" s="1" t="s">
        <v>5139</v>
      </c>
      <c r="G942" s="7" t="s">
        <v>2830</v>
      </c>
      <c r="H942" s="14" t="s">
        <v>2830</v>
      </c>
      <c r="I942" s="25"/>
      <c r="K942" s="1" t="s">
        <v>2087</v>
      </c>
      <c r="L942" s="39" t="s">
        <v>4086</v>
      </c>
    </row>
    <row r="943" spans="1:13" ht="54" customHeight="1">
      <c r="A943" s="1">
        <v>62786</v>
      </c>
      <c r="B943" s="1" t="s">
        <v>5140</v>
      </c>
      <c r="C943" s="1" t="s">
        <v>5141</v>
      </c>
      <c r="D943" s="1" t="s">
        <v>4509</v>
      </c>
      <c r="E943" s="1" t="s">
        <v>1657</v>
      </c>
      <c r="F943" s="1" t="s">
        <v>5142</v>
      </c>
      <c r="G943" s="6"/>
    </row>
    <row r="944" spans="1:13" ht="54" customHeight="1">
      <c r="A944" s="1">
        <v>181</v>
      </c>
      <c r="B944" s="1" t="s">
        <v>5143</v>
      </c>
      <c r="C944" s="1" t="s">
        <v>5144</v>
      </c>
      <c r="D944" s="1" t="s">
        <v>4509</v>
      </c>
      <c r="E944" s="1" t="s">
        <v>1657</v>
      </c>
      <c r="F944" s="1" t="s">
        <v>5145</v>
      </c>
      <c r="G944" s="7" t="s">
        <v>36</v>
      </c>
      <c r="H944" s="22" t="s">
        <v>36</v>
      </c>
      <c r="I944" s="22" t="s">
        <v>20</v>
      </c>
      <c r="K944" s="1" t="s">
        <v>2137</v>
      </c>
      <c r="L944" s="39" t="s">
        <v>4086</v>
      </c>
    </row>
    <row r="945" spans="1:12" ht="54" customHeight="1">
      <c r="A945" s="1">
        <v>676</v>
      </c>
      <c r="B945" s="1" t="s">
        <v>5146</v>
      </c>
      <c r="C945" s="1" t="s">
        <v>5147</v>
      </c>
      <c r="D945" s="1" t="s">
        <v>4509</v>
      </c>
      <c r="E945" s="1" t="s">
        <v>1657</v>
      </c>
      <c r="F945" s="1" t="s">
        <v>5148</v>
      </c>
      <c r="G945" s="6" t="s">
        <v>5149</v>
      </c>
    </row>
    <row r="946" spans="1:12" ht="54" customHeight="1">
      <c r="A946" s="1">
        <v>368</v>
      </c>
      <c r="B946" s="1" t="s">
        <v>5150</v>
      </c>
      <c r="C946" s="1" t="s">
        <v>5151</v>
      </c>
      <c r="D946" s="1" t="s">
        <v>4509</v>
      </c>
      <c r="E946" s="1" t="s">
        <v>1657</v>
      </c>
      <c r="F946" s="1" t="s">
        <v>5152</v>
      </c>
      <c r="G946" s="6" t="s">
        <v>4257</v>
      </c>
    </row>
    <row r="947" spans="1:12" ht="54" customHeight="1">
      <c r="A947" s="1">
        <v>719</v>
      </c>
      <c r="B947" s="1" t="s">
        <v>5153</v>
      </c>
      <c r="C947" s="1" t="s">
        <v>5154</v>
      </c>
      <c r="D947" s="1" t="s">
        <v>4509</v>
      </c>
      <c r="E947" s="1" t="s">
        <v>1657</v>
      </c>
      <c r="F947" s="1" t="s">
        <v>5155</v>
      </c>
      <c r="G947" s="7" t="s">
        <v>36</v>
      </c>
      <c r="H947" s="14" t="s">
        <v>36</v>
      </c>
      <c r="I947" s="25" t="s">
        <v>20</v>
      </c>
      <c r="K947" s="1" t="s">
        <v>2087</v>
      </c>
      <c r="L947" s="39" t="s">
        <v>4086</v>
      </c>
    </row>
    <row r="948" spans="1:12" ht="54" customHeight="1">
      <c r="A948" s="1">
        <v>736</v>
      </c>
      <c r="B948" s="1" t="s">
        <v>1419</v>
      </c>
      <c r="C948" s="9" t="s">
        <v>5156</v>
      </c>
      <c r="D948" s="1" t="s">
        <v>4509</v>
      </c>
      <c r="E948" s="1" t="s">
        <v>1657</v>
      </c>
      <c r="F948" s="1" t="s">
        <v>5157</v>
      </c>
      <c r="G948" s="8" t="s">
        <v>36</v>
      </c>
      <c r="H948" s="14" t="s">
        <v>36</v>
      </c>
      <c r="I948" s="25" t="s">
        <v>20</v>
      </c>
      <c r="K948" s="1" t="s">
        <v>2137</v>
      </c>
      <c r="L948" s="39" t="s">
        <v>2171</v>
      </c>
    </row>
    <row r="949" spans="1:12" ht="54" customHeight="1">
      <c r="A949" s="1">
        <v>49789</v>
      </c>
      <c r="B949" s="1" t="s">
        <v>5158</v>
      </c>
      <c r="C949" s="1" t="s">
        <v>5159</v>
      </c>
      <c r="D949" s="1" t="s">
        <v>4509</v>
      </c>
      <c r="E949" s="1" t="s">
        <v>1657</v>
      </c>
      <c r="F949" s="1" t="s">
        <v>5160</v>
      </c>
      <c r="G949" s="6"/>
      <c r="K949" s="1" t="s">
        <v>1648</v>
      </c>
      <c r="L949" s="39" t="s">
        <v>1659</v>
      </c>
    </row>
    <row r="950" spans="1:12" ht="54" customHeight="1">
      <c r="A950" s="1">
        <v>49791</v>
      </c>
      <c r="B950" s="1" t="s">
        <v>5161</v>
      </c>
      <c r="C950" s="1" t="s">
        <v>5162</v>
      </c>
      <c r="D950" s="1" t="s">
        <v>4509</v>
      </c>
      <c r="E950" s="1" t="s">
        <v>1657</v>
      </c>
      <c r="F950" s="1" t="s">
        <v>5163</v>
      </c>
      <c r="G950" s="7" t="s">
        <v>15</v>
      </c>
      <c r="J950" s="1" t="s">
        <v>2218</v>
      </c>
    </row>
    <row r="951" spans="1:12" ht="54" customHeight="1">
      <c r="A951" s="1">
        <v>92200</v>
      </c>
      <c r="B951" s="1" t="s">
        <v>5164</v>
      </c>
      <c r="C951" s="1" t="s">
        <v>5165</v>
      </c>
      <c r="D951" s="1" t="s">
        <v>4509</v>
      </c>
      <c r="E951" s="1" t="s">
        <v>5166</v>
      </c>
      <c r="F951" s="1" t="s">
        <v>5167</v>
      </c>
      <c r="G951" s="7" t="s">
        <v>5</v>
      </c>
      <c r="H951" s="14" t="s">
        <v>5</v>
      </c>
      <c r="I951" s="25" t="s">
        <v>20</v>
      </c>
      <c r="K951" s="1" t="s">
        <v>1669</v>
      </c>
      <c r="L951" s="39" t="s">
        <v>5128</v>
      </c>
    </row>
    <row r="952" spans="1:12" ht="54" customHeight="1">
      <c r="A952" s="1">
        <v>86634</v>
      </c>
      <c r="B952" s="1" t="s">
        <v>5168</v>
      </c>
      <c r="C952" s="1" t="s">
        <v>5169</v>
      </c>
      <c r="D952" s="1" t="s">
        <v>4509</v>
      </c>
      <c r="E952" s="1" t="s">
        <v>2221</v>
      </c>
      <c r="F952" s="1" t="s">
        <v>5170</v>
      </c>
      <c r="G952" s="7" t="s">
        <v>5060</v>
      </c>
      <c r="H952" s="14" t="s">
        <v>5060</v>
      </c>
      <c r="I952" s="10"/>
      <c r="J952" s="1" t="s">
        <v>5171</v>
      </c>
      <c r="K952" s="1" t="s">
        <v>1669</v>
      </c>
      <c r="L952" s="47" t="s">
        <v>5172</v>
      </c>
    </row>
    <row r="953" spans="1:12" ht="54" customHeight="1">
      <c r="A953" s="1">
        <v>86770</v>
      </c>
      <c r="B953" s="1" t="s">
        <v>5173</v>
      </c>
      <c r="C953" s="1" t="s">
        <v>5174</v>
      </c>
      <c r="D953" s="1" t="s">
        <v>4509</v>
      </c>
      <c r="E953" s="1" t="s">
        <v>2221</v>
      </c>
      <c r="F953" s="1" t="s">
        <v>5175</v>
      </c>
      <c r="G953" s="7" t="s">
        <v>1395</v>
      </c>
      <c r="H953" s="14" t="s">
        <v>1395</v>
      </c>
      <c r="I953" s="10"/>
      <c r="J953" s="1" t="s">
        <v>5176</v>
      </c>
      <c r="K953" s="1" t="s">
        <v>1669</v>
      </c>
      <c r="L953" s="47" t="s">
        <v>5172</v>
      </c>
    </row>
    <row r="954" spans="1:12" ht="54" customHeight="1">
      <c r="A954" s="1">
        <v>83094</v>
      </c>
      <c r="B954" s="1" t="s">
        <v>5177</v>
      </c>
      <c r="C954" s="1" t="s">
        <v>5178</v>
      </c>
      <c r="D954" s="1" t="s">
        <v>4509</v>
      </c>
      <c r="E954" s="1" t="s">
        <v>5179</v>
      </c>
      <c r="F954" s="1" t="s">
        <v>5180</v>
      </c>
      <c r="G954" s="8" t="s">
        <v>70</v>
      </c>
      <c r="H954" s="14" t="s">
        <v>70</v>
      </c>
      <c r="I954" s="25"/>
      <c r="K954" s="1" t="s">
        <v>1669</v>
      </c>
      <c r="L954" s="39" t="s">
        <v>5172</v>
      </c>
    </row>
    <row r="955" spans="1:12" ht="54" customHeight="1">
      <c r="A955" s="1">
        <v>84784</v>
      </c>
      <c r="B955" s="1" t="s">
        <v>5181</v>
      </c>
      <c r="C955" s="1" t="s">
        <v>5182</v>
      </c>
      <c r="D955" s="1" t="s">
        <v>4509</v>
      </c>
      <c r="E955" s="1" t="s">
        <v>5179</v>
      </c>
      <c r="F955" s="1" t="s">
        <v>5183</v>
      </c>
      <c r="G955" s="7" t="s">
        <v>159</v>
      </c>
      <c r="H955" s="14" t="s">
        <v>159</v>
      </c>
      <c r="I955" s="25"/>
      <c r="K955" s="1" t="s">
        <v>1648</v>
      </c>
      <c r="L955" s="39" t="s">
        <v>5184</v>
      </c>
    </row>
    <row r="956" spans="1:12" ht="54" customHeight="1">
      <c r="A956" s="1">
        <v>86411</v>
      </c>
      <c r="B956" s="1" t="s">
        <v>5185</v>
      </c>
      <c r="C956" s="1" t="s">
        <v>5186</v>
      </c>
      <c r="D956" s="1" t="s">
        <v>4509</v>
      </c>
      <c r="E956" s="1" t="s">
        <v>5187</v>
      </c>
      <c r="F956" s="1" t="s">
        <v>5188</v>
      </c>
      <c r="G956" s="7" t="s">
        <v>5189</v>
      </c>
      <c r="H956" s="14" t="s">
        <v>5189</v>
      </c>
      <c r="I956" s="25"/>
    </row>
    <row r="957" spans="1:12" ht="54" customHeight="1">
      <c r="A957" s="1">
        <v>154</v>
      </c>
      <c r="B957" s="1" t="s">
        <v>5190</v>
      </c>
      <c r="C957" s="1" t="s">
        <v>5191</v>
      </c>
      <c r="D957" s="1" t="s">
        <v>4509</v>
      </c>
      <c r="E957" s="1" t="s">
        <v>3319</v>
      </c>
      <c r="F957" s="1" t="s">
        <v>5192</v>
      </c>
      <c r="G957" s="6" t="s">
        <v>2476</v>
      </c>
      <c r="K957" s="1" t="s">
        <v>1669</v>
      </c>
      <c r="L957" s="39" t="s">
        <v>1670</v>
      </c>
    </row>
    <row r="958" spans="1:12" ht="54" customHeight="1">
      <c r="A958" s="1">
        <v>42</v>
      </c>
      <c r="B958" s="1" t="s">
        <v>5193</v>
      </c>
      <c r="C958" s="1" t="s">
        <v>5194</v>
      </c>
      <c r="D958" s="1" t="s">
        <v>4509</v>
      </c>
      <c r="E958" s="1" t="s">
        <v>1666</v>
      </c>
      <c r="F958" s="1" t="s">
        <v>5195</v>
      </c>
      <c r="G958" s="8" t="s">
        <v>181</v>
      </c>
      <c r="H958" s="14" t="s">
        <v>181</v>
      </c>
      <c r="I958" s="25"/>
      <c r="K958" s="1" t="s">
        <v>1669</v>
      </c>
      <c r="L958" s="39" t="s">
        <v>1670</v>
      </c>
    </row>
    <row r="959" spans="1:12" ht="54" customHeight="1">
      <c r="A959" s="1">
        <v>792</v>
      </c>
      <c r="B959" s="1" t="s">
        <v>5196</v>
      </c>
      <c r="C959" s="1" t="s">
        <v>5197</v>
      </c>
      <c r="D959" s="1" t="s">
        <v>4509</v>
      </c>
      <c r="E959" s="1" t="s">
        <v>1666</v>
      </c>
      <c r="F959" s="1" t="s">
        <v>5198</v>
      </c>
      <c r="G959" s="6"/>
      <c r="K959" s="1" t="s">
        <v>1669</v>
      </c>
      <c r="L959" s="39" t="s">
        <v>1670</v>
      </c>
    </row>
    <row r="960" spans="1:12" ht="54" customHeight="1">
      <c r="A960" s="1">
        <v>811</v>
      </c>
      <c r="B960" s="1" t="s">
        <v>5199</v>
      </c>
      <c r="C960" s="1" t="s">
        <v>5200</v>
      </c>
      <c r="D960" s="1" t="s">
        <v>4509</v>
      </c>
      <c r="E960" s="1" t="s">
        <v>1666</v>
      </c>
      <c r="F960" s="1" t="s">
        <v>5201</v>
      </c>
      <c r="G960" s="7" t="s">
        <v>3321</v>
      </c>
      <c r="H960" s="14" t="s">
        <v>3321</v>
      </c>
      <c r="I960" s="14"/>
      <c r="K960" s="1" t="s">
        <v>1669</v>
      </c>
      <c r="L960" s="39" t="s">
        <v>1670</v>
      </c>
    </row>
    <row r="961" spans="1:12" ht="54" customHeight="1">
      <c r="A961" s="1">
        <v>86371</v>
      </c>
      <c r="B961" s="1" t="s">
        <v>5202</v>
      </c>
      <c r="C961" s="1" t="s">
        <v>5203</v>
      </c>
      <c r="D961" s="1" t="s">
        <v>4509</v>
      </c>
      <c r="E961" s="1" t="s">
        <v>5204</v>
      </c>
      <c r="F961" s="1" t="s">
        <v>5205</v>
      </c>
      <c r="G961" s="7" t="s">
        <v>5206</v>
      </c>
      <c r="H961" s="22" t="s">
        <v>5206</v>
      </c>
      <c r="I961" s="22"/>
    </row>
    <row r="962" spans="1:12" ht="54" customHeight="1">
      <c r="A962" s="1">
        <v>87175</v>
      </c>
      <c r="B962" s="1" t="s">
        <v>5207</v>
      </c>
      <c r="C962" s="1" t="s">
        <v>5208</v>
      </c>
      <c r="D962" s="1" t="s">
        <v>4509</v>
      </c>
      <c r="E962" s="1" t="s">
        <v>5204</v>
      </c>
      <c r="F962" s="1" t="s">
        <v>5209</v>
      </c>
      <c r="G962" s="7" t="s">
        <v>5210</v>
      </c>
      <c r="H962" s="14" t="s">
        <v>5210</v>
      </c>
      <c r="I962" s="25"/>
    </row>
    <row r="963" spans="1:12" ht="54" customHeight="1">
      <c r="A963" s="1">
        <v>81828</v>
      </c>
      <c r="B963" s="1" t="s">
        <v>5211</v>
      </c>
      <c r="C963" s="1" t="s">
        <v>5212</v>
      </c>
      <c r="D963" s="1" t="s">
        <v>4509</v>
      </c>
      <c r="E963" s="1" t="s">
        <v>5204</v>
      </c>
      <c r="F963" s="1" t="s">
        <v>5213</v>
      </c>
      <c r="G963" s="7" t="s">
        <v>5214</v>
      </c>
      <c r="H963" s="14" t="s">
        <v>5214</v>
      </c>
      <c r="I963" s="10"/>
    </row>
    <row r="964" spans="1:12" ht="54" customHeight="1">
      <c r="A964" s="1">
        <v>86357</v>
      </c>
      <c r="B964" s="1" t="s">
        <v>5215</v>
      </c>
      <c r="C964" s="1" t="s">
        <v>5216</v>
      </c>
      <c r="D964" s="1" t="s">
        <v>4509</v>
      </c>
      <c r="E964" s="1" t="s">
        <v>5217</v>
      </c>
      <c r="F964" s="1" t="s">
        <v>5218</v>
      </c>
      <c r="G964" s="6" t="s">
        <v>5219</v>
      </c>
      <c r="L964" s="39" t="s">
        <v>2567</v>
      </c>
    </row>
    <row r="965" spans="1:12" ht="54" customHeight="1">
      <c r="A965" s="1">
        <v>87305</v>
      </c>
      <c r="B965" s="1" t="s">
        <v>5220</v>
      </c>
      <c r="C965" s="1" t="s">
        <v>5221</v>
      </c>
      <c r="D965" s="1" t="s">
        <v>4509</v>
      </c>
      <c r="E965" s="1" t="s">
        <v>5217</v>
      </c>
      <c r="F965" s="1" t="s">
        <v>5222</v>
      </c>
      <c r="G965" s="8" t="s">
        <v>258</v>
      </c>
      <c r="H965" s="14" t="s">
        <v>258</v>
      </c>
      <c r="I965" s="25"/>
    </row>
    <row r="966" spans="1:12" ht="54" customHeight="1">
      <c r="A966" s="1">
        <v>86354</v>
      </c>
      <c r="B966" s="1" t="s">
        <v>5223</v>
      </c>
      <c r="C966" s="1" t="s">
        <v>5224</v>
      </c>
      <c r="D966" s="1" t="s">
        <v>4509</v>
      </c>
      <c r="E966" s="1" t="s">
        <v>5217</v>
      </c>
      <c r="F966" s="1" t="s">
        <v>5225</v>
      </c>
      <c r="G966" s="6"/>
    </row>
    <row r="967" spans="1:12" ht="54" customHeight="1">
      <c r="A967" s="1">
        <v>86349</v>
      </c>
      <c r="B967" s="1" t="s">
        <v>5226</v>
      </c>
      <c r="C967" s="1" t="s">
        <v>5227</v>
      </c>
      <c r="D967" s="1" t="s">
        <v>4509</v>
      </c>
      <c r="E967" s="1" t="s">
        <v>5217</v>
      </c>
      <c r="F967" s="1" t="s">
        <v>5228</v>
      </c>
      <c r="G967" s="7" t="s">
        <v>5229</v>
      </c>
      <c r="H967" s="14" t="s">
        <v>5229</v>
      </c>
      <c r="I967" s="25"/>
    </row>
    <row r="968" spans="1:12" ht="54" customHeight="1">
      <c r="A968" s="1">
        <v>86353</v>
      </c>
      <c r="B968" s="1" t="s">
        <v>5230</v>
      </c>
      <c r="C968" s="1" t="s">
        <v>5231</v>
      </c>
      <c r="D968" s="1" t="s">
        <v>4509</v>
      </c>
      <c r="E968" s="1" t="s">
        <v>5217</v>
      </c>
      <c r="F968" s="1" t="s">
        <v>5232</v>
      </c>
      <c r="G968" s="6"/>
    </row>
    <row r="969" spans="1:12" ht="54" customHeight="1">
      <c r="A969" s="1">
        <v>83093</v>
      </c>
      <c r="B969" s="1" t="s">
        <v>5233</v>
      </c>
      <c r="C969" s="1" t="s">
        <v>5234</v>
      </c>
      <c r="D969" s="1" t="s">
        <v>4509</v>
      </c>
      <c r="E969" s="1" t="s">
        <v>5217</v>
      </c>
      <c r="F969" s="1" t="s">
        <v>5235</v>
      </c>
      <c r="G969" s="6" t="s">
        <v>5236</v>
      </c>
    </row>
    <row r="970" spans="1:12" ht="54" customHeight="1">
      <c r="A970" s="1">
        <v>91793</v>
      </c>
      <c r="B970" s="1" t="s">
        <v>1624</v>
      </c>
      <c r="C970" s="9" t="s">
        <v>5237</v>
      </c>
      <c r="D970" s="1" t="s">
        <v>4509</v>
      </c>
      <c r="E970" s="1" t="s">
        <v>5217</v>
      </c>
      <c r="F970" s="1" t="s">
        <v>5238</v>
      </c>
      <c r="G970" s="8" t="s">
        <v>1625</v>
      </c>
      <c r="H970" s="14" t="s">
        <v>1625</v>
      </c>
      <c r="I970" s="25"/>
    </row>
    <row r="971" spans="1:12" ht="54" customHeight="1">
      <c r="A971" s="1">
        <v>81276</v>
      </c>
      <c r="B971" s="1" t="s">
        <v>5239</v>
      </c>
      <c r="C971" s="1" t="s">
        <v>5240</v>
      </c>
      <c r="D971" s="1" t="s">
        <v>4509</v>
      </c>
      <c r="E971" s="1" t="s">
        <v>5217</v>
      </c>
      <c r="F971" s="1" t="s">
        <v>5241</v>
      </c>
      <c r="G971" s="6"/>
    </row>
    <row r="972" spans="1:12" ht="54" customHeight="1">
      <c r="A972" s="1">
        <v>82971</v>
      </c>
      <c r="B972" s="1" t="s">
        <v>5242</v>
      </c>
      <c r="C972" s="1" t="s">
        <v>5243</v>
      </c>
      <c r="D972" s="1" t="s">
        <v>4509</v>
      </c>
      <c r="E972" s="1" t="s">
        <v>5217</v>
      </c>
      <c r="F972" s="1" t="s">
        <v>5244</v>
      </c>
      <c r="G972" s="7" t="s">
        <v>5245</v>
      </c>
      <c r="H972" s="14" t="s">
        <v>5245</v>
      </c>
      <c r="I972" s="10"/>
    </row>
    <row r="973" spans="1:12" ht="54" customHeight="1">
      <c r="A973" s="1">
        <v>81298</v>
      </c>
      <c r="B973" s="1" t="s">
        <v>5246</v>
      </c>
      <c r="C973" s="1" t="s">
        <v>5247</v>
      </c>
      <c r="D973" s="1" t="s">
        <v>4509</v>
      </c>
      <c r="E973" s="1" t="s">
        <v>5217</v>
      </c>
      <c r="F973" s="1" t="s">
        <v>5248</v>
      </c>
      <c r="G973" s="14" t="s">
        <v>5249</v>
      </c>
      <c r="H973" s="14" t="s">
        <v>5249</v>
      </c>
      <c r="I973" s="10"/>
    </row>
    <row r="974" spans="1:12" ht="54" customHeight="1">
      <c r="A974" s="1">
        <v>584</v>
      </c>
      <c r="B974" s="1" t="s">
        <v>5250</v>
      </c>
      <c r="C974" s="1" t="s">
        <v>5251</v>
      </c>
      <c r="D974" s="1" t="s">
        <v>4509</v>
      </c>
      <c r="E974" s="1" t="s">
        <v>1673</v>
      </c>
      <c r="F974" s="1" t="s">
        <v>5252</v>
      </c>
      <c r="G974" s="6"/>
      <c r="L974" s="39" t="s">
        <v>2567</v>
      </c>
    </row>
    <row r="975" spans="1:12" ht="54" customHeight="1">
      <c r="A975" s="1">
        <v>588</v>
      </c>
      <c r="B975" s="1" t="s">
        <v>5253</v>
      </c>
      <c r="C975" s="1" t="s">
        <v>5254</v>
      </c>
      <c r="D975" s="1" t="s">
        <v>4509</v>
      </c>
      <c r="E975" s="1" t="s">
        <v>1673</v>
      </c>
      <c r="F975" s="1" t="s">
        <v>5255</v>
      </c>
      <c r="G975" s="6"/>
    </row>
    <row r="976" spans="1:12" ht="54" customHeight="1">
      <c r="A976" s="1">
        <v>604</v>
      </c>
      <c r="B976" s="1" t="s">
        <v>5256</v>
      </c>
      <c r="C976" s="1" t="s">
        <v>5257</v>
      </c>
      <c r="D976" s="1" t="s">
        <v>4509</v>
      </c>
      <c r="E976" s="1" t="s">
        <v>1673</v>
      </c>
      <c r="F976" s="1" t="s">
        <v>5258</v>
      </c>
      <c r="G976" s="7" t="s">
        <v>2410</v>
      </c>
      <c r="L976" s="39" t="s">
        <v>2567</v>
      </c>
    </row>
    <row r="977" spans="1:12" ht="54" customHeight="1">
      <c r="A977" s="1">
        <v>596</v>
      </c>
      <c r="B977" s="1" t="s">
        <v>5259</v>
      </c>
      <c r="C977" s="1" t="s">
        <v>5260</v>
      </c>
      <c r="D977" s="1" t="s">
        <v>4509</v>
      </c>
      <c r="E977" s="1" t="s">
        <v>1673</v>
      </c>
      <c r="F977" s="1" t="s">
        <v>5261</v>
      </c>
      <c r="G977" s="6" t="s">
        <v>5262</v>
      </c>
      <c r="L977" s="39" t="s">
        <v>2567</v>
      </c>
    </row>
    <row r="978" spans="1:12" ht="54" customHeight="1">
      <c r="A978" s="1">
        <v>19</v>
      </c>
      <c r="B978" s="1" t="s">
        <v>5263</v>
      </c>
      <c r="C978" s="1" t="s">
        <v>5264</v>
      </c>
      <c r="D978" s="1" t="s">
        <v>4509</v>
      </c>
      <c r="E978" s="1" t="s">
        <v>1673</v>
      </c>
      <c r="F978" s="1" t="s">
        <v>5265</v>
      </c>
      <c r="G978" s="6"/>
      <c r="L978" s="39" t="s">
        <v>2567</v>
      </c>
    </row>
    <row r="979" spans="1:12" ht="54" customHeight="1">
      <c r="A979" s="1">
        <v>598</v>
      </c>
      <c r="B979" s="1" t="s">
        <v>5266</v>
      </c>
      <c r="C979" s="1" t="s">
        <v>5267</v>
      </c>
      <c r="D979" s="1" t="s">
        <v>4509</v>
      </c>
      <c r="E979" s="1" t="s">
        <v>1673</v>
      </c>
      <c r="F979" s="1" t="s">
        <v>5268</v>
      </c>
      <c r="G979" s="6" t="s">
        <v>5269</v>
      </c>
    </row>
    <row r="980" spans="1:12" ht="54" customHeight="1">
      <c r="A980" s="1">
        <v>211</v>
      </c>
      <c r="B980" s="1" t="s">
        <v>1298</v>
      </c>
      <c r="C980" s="1" t="s">
        <v>5270</v>
      </c>
      <c r="D980" s="1" t="s">
        <v>4509</v>
      </c>
      <c r="E980" s="1" t="s">
        <v>1673</v>
      </c>
      <c r="F980" s="1" t="s">
        <v>5271</v>
      </c>
      <c r="G980" s="8" t="s">
        <v>5272</v>
      </c>
      <c r="H980" s="7" t="s">
        <v>5272</v>
      </c>
      <c r="I980" s="7"/>
      <c r="L980" s="39" t="s">
        <v>2567</v>
      </c>
    </row>
    <row r="981" spans="1:12" ht="54" customHeight="1">
      <c r="A981" s="1">
        <v>221</v>
      </c>
      <c r="B981" s="1" t="s">
        <v>1300</v>
      </c>
      <c r="C981" s="1" t="s">
        <v>5273</v>
      </c>
      <c r="D981" s="1" t="s">
        <v>4509</v>
      </c>
      <c r="E981" s="1" t="s">
        <v>1673</v>
      </c>
      <c r="F981" s="1" t="s">
        <v>5274</v>
      </c>
      <c r="G981" s="8" t="s">
        <v>5275</v>
      </c>
      <c r="H981" s="14" t="s">
        <v>5275</v>
      </c>
      <c r="I981" s="25"/>
      <c r="L981" s="39" t="s">
        <v>2567</v>
      </c>
    </row>
    <row r="982" spans="1:12" ht="54" customHeight="1">
      <c r="A982" s="1">
        <v>669</v>
      </c>
      <c r="B982" s="1" t="s">
        <v>5276</v>
      </c>
      <c r="C982" s="1" t="s">
        <v>5277</v>
      </c>
      <c r="D982" s="1" t="s">
        <v>4509</v>
      </c>
      <c r="E982" s="1" t="s">
        <v>1673</v>
      </c>
      <c r="F982" s="1" t="s">
        <v>5278</v>
      </c>
      <c r="G982" s="7" t="s">
        <v>1581</v>
      </c>
    </row>
    <row r="983" spans="1:12" ht="54" customHeight="1">
      <c r="A983" s="1">
        <v>253</v>
      </c>
      <c r="B983" s="1" t="s">
        <v>5279</v>
      </c>
      <c r="C983" s="1" t="s">
        <v>5280</v>
      </c>
      <c r="D983" s="1" t="s">
        <v>4509</v>
      </c>
      <c r="E983" s="1" t="s">
        <v>1673</v>
      </c>
      <c r="F983" s="1" t="s">
        <v>5281</v>
      </c>
      <c r="G983" s="6"/>
      <c r="J983" s="1" t="s">
        <v>5282</v>
      </c>
      <c r="L983" s="39" t="s">
        <v>2567</v>
      </c>
    </row>
    <row r="984" spans="1:12" ht="54" customHeight="1">
      <c r="A984" s="1">
        <v>711</v>
      </c>
      <c r="B984" s="1" t="s">
        <v>1304</v>
      </c>
      <c r="C984" s="9" t="s">
        <v>5283</v>
      </c>
      <c r="D984" s="1" t="s">
        <v>4509</v>
      </c>
      <c r="E984" s="1" t="s">
        <v>1673</v>
      </c>
      <c r="F984" s="1" t="s">
        <v>5284</v>
      </c>
      <c r="G984" s="8" t="s">
        <v>5285</v>
      </c>
      <c r="H984" s="7" t="s">
        <v>5285</v>
      </c>
      <c r="I984" s="7"/>
    </row>
    <row r="985" spans="1:12" ht="54" customHeight="1">
      <c r="A985" s="1">
        <v>768</v>
      </c>
      <c r="B985" s="1" t="s">
        <v>5286</v>
      </c>
      <c r="C985" s="9" t="s">
        <v>5287</v>
      </c>
      <c r="D985" s="1" t="s">
        <v>4509</v>
      </c>
      <c r="E985" s="1" t="s">
        <v>1673</v>
      </c>
      <c r="F985" s="1" t="s">
        <v>5288</v>
      </c>
      <c r="G985" s="5" t="s">
        <v>5289</v>
      </c>
      <c r="H985" s="13"/>
      <c r="I985" s="13"/>
    </row>
    <row r="986" spans="1:12" ht="54" customHeight="1">
      <c r="A986" s="1">
        <v>838</v>
      </c>
      <c r="B986" s="1" t="s">
        <v>5290</v>
      </c>
      <c r="C986" s="1" t="s">
        <v>5291</v>
      </c>
      <c r="D986" s="1" t="s">
        <v>4509</v>
      </c>
      <c r="E986" s="1" t="s">
        <v>1673</v>
      </c>
      <c r="F986" s="1" t="s">
        <v>5292</v>
      </c>
      <c r="G986" s="6" t="s">
        <v>3458</v>
      </c>
    </row>
    <row r="987" spans="1:12" ht="54" customHeight="1">
      <c r="A987" s="1">
        <v>79</v>
      </c>
      <c r="B987" s="1" t="s">
        <v>5293</v>
      </c>
      <c r="C987" s="1" t="s">
        <v>5294</v>
      </c>
      <c r="D987" s="1" t="s">
        <v>4509</v>
      </c>
      <c r="E987" s="1" t="s">
        <v>2254</v>
      </c>
      <c r="F987" s="1" t="s">
        <v>5295</v>
      </c>
      <c r="G987" s="7" t="s">
        <v>5296</v>
      </c>
      <c r="K987" s="1" t="s">
        <v>2506</v>
      </c>
      <c r="L987" s="39" t="s">
        <v>2087</v>
      </c>
    </row>
    <row r="988" spans="1:12" ht="54" customHeight="1">
      <c r="A988" s="1">
        <v>86356</v>
      </c>
      <c r="B988" s="1" t="s">
        <v>5297</v>
      </c>
      <c r="C988" s="1" t="s">
        <v>5298</v>
      </c>
      <c r="D988" s="1" t="s">
        <v>4509</v>
      </c>
      <c r="E988" s="1" t="s">
        <v>2254</v>
      </c>
      <c r="F988" s="1" t="s">
        <v>5299</v>
      </c>
      <c r="G988" s="7" t="s">
        <v>5300</v>
      </c>
      <c r="L988" s="39" t="s">
        <v>2567</v>
      </c>
    </row>
    <row r="989" spans="1:12" ht="54" customHeight="1">
      <c r="A989" s="1">
        <v>86359</v>
      </c>
      <c r="B989" s="1" t="s">
        <v>5301</v>
      </c>
      <c r="C989" s="1" t="s">
        <v>5302</v>
      </c>
      <c r="D989" s="1" t="s">
        <v>4509</v>
      </c>
      <c r="E989" s="1" t="s">
        <v>2254</v>
      </c>
      <c r="F989" s="1" t="s">
        <v>5303</v>
      </c>
      <c r="G989" s="6"/>
      <c r="J989" s="1" t="s">
        <v>5304</v>
      </c>
      <c r="L989" s="39" t="s">
        <v>2567</v>
      </c>
    </row>
    <row r="990" spans="1:12" ht="54" customHeight="1">
      <c r="A990" s="1">
        <v>86355</v>
      </c>
      <c r="B990" s="1" t="s">
        <v>5305</v>
      </c>
      <c r="C990" s="9" t="s">
        <v>5306</v>
      </c>
      <c r="D990" s="1" t="s">
        <v>4509</v>
      </c>
      <c r="E990" s="1" t="s">
        <v>2254</v>
      </c>
      <c r="F990" s="1" t="s">
        <v>5307</v>
      </c>
      <c r="G990" s="7" t="s">
        <v>5308</v>
      </c>
      <c r="L990" s="39" t="s">
        <v>2567</v>
      </c>
    </row>
    <row r="991" spans="1:12" ht="54" customHeight="1">
      <c r="A991" s="1">
        <v>800</v>
      </c>
      <c r="B991" s="1" t="s">
        <v>5309</v>
      </c>
      <c r="C991" s="1" t="s">
        <v>5310</v>
      </c>
      <c r="D991" s="1" t="s">
        <v>4509</v>
      </c>
      <c r="E991" s="1" t="s">
        <v>2254</v>
      </c>
      <c r="F991" s="1" t="s">
        <v>5311</v>
      </c>
      <c r="G991" s="7" t="s">
        <v>5312</v>
      </c>
      <c r="L991" s="39" t="s">
        <v>2567</v>
      </c>
    </row>
    <row r="992" spans="1:12" ht="54" customHeight="1">
      <c r="A992" s="1">
        <v>201</v>
      </c>
      <c r="B992" s="1" t="s">
        <v>1446</v>
      </c>
      <c r="C992" s="1" t="s">
        <v>5313</v>
      </c>
      <c r="D992" s="1" t="s">
        <v>4509</v>
      </c>
      <c r="E992" s="1" t="s">
        <v>2560</v>
      </c>
      <c r="F992" s="1" t="s">
        <v>5314</v>
      </c>
      <c r="G992" s="8" t="s">
        <v>74</v>
      </c>
      <c r="H992" s="7" t="s">
        <v>74</v>
      </c>
      <c r="I992" s="7" t="s">
        <v>20</v>
      </c>
      <c r="K992" s="1" t="s">
        <v>2087</v>
      </c>
      <c r="L992" s="39" t="s">
        <v>2171</v>
      </c>
    </row>
    <row r="993" spans="1:12" ht="54" customHeight="1">
      <c r="A993" s="1">
        <v>51506</v>
      </c>
      <c r="B993" s="1" t="s">
        <v>1521</v>
      </c>
      <c r="C993" s="9" t="s">
        <v>5315</v>
      </c>
      <c r="D993" s="1" t="s">
        <v>4509</v>
      </c>
      <c r="E993" s="1" t="s">
        <v>2560</v>
      </c>
      <c r="F993" s="1" t="s">
        <v>5316</v>
      </c>
      <c r="G993" s="8" t="s">
        <v>5317</v>
      </c>
      <c r="H993" s="14" t="s">
        <v>5317</v>
      </c>
      <c r="I993" s="25"/>
      <c r="K993" s="1" t="s">
        <v>2087</v>
      </c>
      <c r="L993" s="39" t="s">
        <v>5318</v>
      </c>
    </row>
    <row r="994" spans="1:12" ht="54" customHeight="1">
      <c r="A994" s="1">
        <v>51507</v>
      </c>
      <c r="B994" s="1" t="s">
        <v>1527</v>
      </c>
      <c r="C994" s="1" t="s">
        <v>5319</v>
      </c>
      <c r="D994" s="1" t="s">
        <v>4509</v>
      </c>
      <c r="E994" s="1" t="s">
        <v>2266</v>
      </c>
      <c r="F994" s="1" t="s">
        <v>5320</v>
      </c>
      <c r="G994" s="8" t="s">
        <v>1528</v>
      </c>
      <c r="H994" s="14" t="s">
        <v>1528</v>
      </c>
      <c r="I994" s="25"/>
      <c r="K994" s="1" t="s">
        <v>2087</v>
      </c>
      <c r="L994" s="39" t="s">
        <v>5321</v>
      </c>
    </row>
    <row r="995" spans="1:12" ht="54" customHeight="1">
      <c r="A995" s="1">
        <v>51509</v>
      </c>
      <c r="B995" s="1" t="s">
        <v>5322</v>
      </c>
      <c r="C995" s="1" t="s">
        <v>5323</v>
      </c>
      <c r="D995" s="1" t="s">
        <v>4509</v>
      </c>
      <c r="E995" s="1" t="s">
        <v>2266</v>
      </c>
      <c r="F995" s="1" t="s">
        <v>5324</v>
      </c>
      <c r="G995" s="6" t="s">
        <v>2476</v>
      </c>
      <c r="K995" s="1" t="s">
        <v>2087</v>
      </c>
      <c r="L995" s="39" t="s">
        <v>4086</v>
      </c>
    </row>
    <row r="996" spans="1:12" ht="54" customHeight="1">
      <c r="A996" s="1">
        <v>167</v>
      </c>
      <c r="B996" s="1" t="s">
        <v>5325</v>
      </c>
      <c r="C996" s="1" t="s">
        <v>5326</v>
      </c>
      <c r="D996" s="1" t="s">
        <v>4509</v>
      </c>
      <c r="E996" s="1" t="s">
        <v>2266</v>
      </c>
      <c r="F996" s="1" t="s">
        <v>5327</v>
      </c>
      <c r="G996" s="7" t="s">
        <v>2153</v>
      </c>
    </row>
    <row r="997" spans="1:12" ht="54" customHeight="1">
      <c r="A997" s="1">
        <v>51519</v>
      </c>
      <c r="B997" s="1" t="s">
        <v>5328</v>
      </c>
      <c r="C997" s="1" t="s">
        <v>5329</v>
      </c>
      <c r="D997" s="1" t="s">
        <v>4509</v>
      </c>
      <c r="E997" s="1" t="s">
        <v>2266</v>
      </c>
      <c r="F997" s="1" t="s">
        <v>5330</v>
      </c>
      <c r="G997" s="7" t="s">
        <v>2972</v>
      </c>
      <c r="K997" s="1" t="s">
        <v>2087</v>
      </c>
      <c r="L997" s="39" t="s">
        <v>4086</v>
      </c>
    </row>
    <row r="998" spans="1:12" ht="54" customHeight="1">
      <c r="A998" s="1">
        <v>385</v>
      </c>
      <c r="B998" s="1" t="s">
        <v>5331</v>
      </c>
      <c r="C998" s="1" t="s">
        <v>5332</v>
      </c>
      <c r="D998" s="1" t="s">
        <v>4509</v>
      </c>
      <c r="E998" s="1" t="s">
        <v>2266</v>
      </c>
      <c r="F998" s="1" t="s">
        <v>5333</v>
      </c>
      <c r="G998" s="7" t="s">
        <v>2153</v>
      </c>
      <c r="H998" s="14" t="s">
        <v>2153</v>
      </c>
      <c r="I998" s="25"/>
    </row>
    <row r="999" spans="1:12" ht="54" customHeight="1">
      <c r="A999" s="1">
        <v>843</v>
      </c>
      <c r="B999" s="1" t="s">
        <v>5334</v>
      </c>
      <c r="C999" s="1" t="s">
        <v>5335</v>
      </c>
      <c r="D999" s="1" t="s">
        <v>4509</v>
      </c>
      <c r="E999" s="1" t="s">
        <v>2266</v>
      </c>
      <c r="F999" s="1" t="s">
        <v>5336</v>
      </c>
      <c r="G999" s="7" t="s">
        <v>5337</v>
      </c>
      <c r="H999" s="14" t="s">
        <v>5337</v>
      </c>
      <c r="I999" s="10"/>
    </row>
    <row r="1000" spans="1:12" ht="54" customHeight="1">
      <c r="A1000" s="1">
        <v>118</v>
      </c>
      <c r="B1000" s="1" t="s">
        <v>5338</v>
      </c>
      <c r="C1000" s="1" t="s">
        <v>5339</v>
      </c>
      <c r="D1000" s="1" t="s">
        <v>4509</v>
      </c>
      <c r="E1000" s="1" t="s">
        <v>1753</v>
      </c>
      <c r="F1000" s="1" t="s">
        <v>5340</v>
      </c>
      <c r="G1000" s="7" t="s">
        <v>1530</v>
      </c>
      <c r="H1000" s="22" t="s">
        <v>1530</v>
      </c>
      <c r="J1000" s="1" t="s">
        <v>3587</v>
      </c>
    </row>
    <row r="1001" spans="1:12" ht="54" customHeight="1">
      <c r="A1001" s="1">
        <v>187</v>
      </c>
      <c r="B1001" s="1" t="s">
        <v>5341</v>
      </c>
      <c r="C1001" s="1" t="s">
        <v>5342</v>
      </c>
      <c r="D1001" s="1" t="s">
        <v>4509</v>
      </c>
      <c r="E1001" s="1" t="s">
        <v>1753</v>
      </c>
      <c r="F1001" s="1" t="s">
        <v>5343</v>
      </c>
      <c r="G1001" s="7" t="s">
        <v>87</v>
      </c>
      <c r="H1001" s="22" t="s">
        <v>87</v>
      </c>
    </row>
    <row r="1002" spans="1:12" ht="54" customHeight="1">
      <c r="A1002" s="1">
        <v>228</v>
      </c>
      <c r="B1002" s="1" t="s">
        <v>5344</v>
      </c>
      <c r="C1002" s="1" t="s">
        <v>5345</v>
      </c>
      <c r="D1002" s="1" t="s">
        <v>4509</v>
      </c>
      <c r="E1002" s="1" t="s">
        <v>1753</v>
      </c>
      <c r="F1002" s="1" t="s">
        <v>5346</v>
      </c>
      <c r="G1002" s="7" t="s">
        <v>2297</v>
      </c>
      <c r="H1002" s="22" t="s">
        <v>2297</v>
      </c>
    </row>
    <row r="1003" spans="1:12" ht="54" customHeight="1">
      <c r="A1003" s="1">
        <v>62233</v>
      </c>
      <c r="B1003" s="1" t="s">
        <v>5347</v>
      </c>
      <c r="C1003" s="1" t="s">
        <v>5348</v>
      </c>
      <c r="D1003" s="1" t="s">
        <v>4509</v>
      </c>
      <c r="E1003" s="1" t="s">
        <v>1753</v>
      </c>
      <c r="F1003" s="1" t="s">
        <v>5349</v>
      </c>
      <c r="G1003" s="7" t="s">
        <v>1530</v>
      </c>
      <c r="H1003" s="22" t="s">
        <v>1530</v>
      </c>
      <c r="J1003" s="1" t="s">
        <v>2708</v>
      </c>
    </row>
    <row r="1004" spans="1:12" ht="54" customHeight="1">
      <c r="A1004" s="1">
        <v>256</v>
      </c>
      <c r="B1004" s="1" t="s">
        <v>5350</v>
      </c>
      <c r="C1004" s="1" t="s">
        <v>5351</v>
      </c>
      <c r="D1004" s="1" t="s">
        <v>4509</v>
      </c>
      <c r="E1004" s="1" t="s">
        <v>1753</v>
      </c>
      <c r="F1004" s="1" t="s">
        <v>5352</v>
      </c>
      <c r="G1004" s="7" t="s">
        <v>2297</v>
      </c>
      <c r="H1004" s="7" t="s">
        <v>2297</v>
      </c>
    </row>
    <row r="1005" spans="1:12" ht="54" customHeight="1">
      <c r="A1005" s="1">
        <v>257</v>
      </c>
      <c r="B1005" s="1" t="s">
        <v>5353</v>
      </c>
      <c r="C1005" s="1" t="s">
        <v>5354</v>
      </c>
      <c r="D1005" s="1" t="s">
        <v>4509</v>
      </c>
      <c r="E1005" s="1" t="s">
        <v>1753</v>
      </c>
      <c r="F1005" s="1" t="s">
        <v>5355</v>
      </c>
      <c r="G1005" s="7" t="s">
        <v>2297</v>
      </c>
      <c r="H1005" s="7" t="s">
        <v>2297</v>
      </c>
    </row>
    <row r="1006" spans="1:12" ht="54" customHeight="1">
      <c r="A1006" s="1">
        <v>364</v>
      </c>
      <c r="B1006" s="1" t="s">
        <v>5356</v>
      </c>
      <c r="C1006" s="1" t="s">
        <v>5357</v>
      </c>
      <c r="D1006" s="1" t="s">
        <v>4509</v>
      </c>
      <c r="E1006" s="1" t="s">
        <v>1753</v>
      </c>
      <c r="F1006" s="1" t="s">
        <v>5358</v>
      </c>
      <c r="G1006" s="7" t="s">
        <v>87</v>
      </c>
      <c r="H1006" s="14" t="s">
        <v>87</v>
      </c>
      <c r="I1006" s="25"/>
    </row>
    <row r="1007" spans="1:12" ht="54" customHeight="1">
      <c r="A1007" s="1">
        <v>441</v>
      </c>
      <c r="B1007" s="1" t="s">
        <v>5359</v>
      </c>
      <c r="C1007" s="1" t="s">
        <v>5360</v>
      </c>
      <c r="D1007" s="1" t="s">
        <v>4509</v>
      </c>
      <c r="E1007" s="1" t="s">
        <v>1753</v>
      </c>
      <c r="F1007" s="1" t="s">
        <v>5361</v>
      </c>
      <c r="G1007" s="7" t="s">
        <v>5362</v>
      </c>
    </row>
    <row r="1008" spans="1:12" ht="54" customHeight="1">
      <c r="A1008" s="1">
        <v>68844</v>
      </c>
      <c r="B1008" s="1" t="s">
        <v>5363</v>
      </c>
      <c r="C1008" s="1" t="s">
        <v>5364</v>
      </c>
      <c r="D1008" s="1" t="s">
        <v>4509</v>
      </c>
      <c r="E1008" s="1" t="s">
        <v>1753</v>
      </c>
      <c r="F1008" s="1" t="s">
        <v>5365</v>
      </c>
      <c r="G1008" s="6"/>
      <c r="J1008" s="1" t="s">
        <v>5366</v>
      </c>
    </row>
    <row r="1009" spans="1:13" ht="54" customHeight="1">
      <c r="A1009" s="1">
        <v>479</v>
      </c>
      <c r="B1009" s="1" t="s">
        <v>5367</v>
      </c>
      <c r="C1009" s="1" t="s">
        <v>5368</v>
      </c>
      <c r="D1009" s="1" t="s">
        <v>4509</v>
      </c>
      <c r="E1009" s="1" t="s">
        <v>1753</v>
      </c>
      <c r="F1009" s="1" t="s">
        <v>5369</v>
      </c>
      <c r="G1009" s="7" t="s">
        <v>2297</v>
      </c>
    </row>
    <row r="1010" spans="1:13" ht="54" customHeight="1">
      <c r="A1010" s="1">
        <v>482</v>
      </c>
      <c r="B1010" s="1" t="s">
        <v>5370</v>
      </c>
      <c r="C1010" s="1" t="s">
        <v>5371</v>
      </c>
      <c r="D1010" s="1" t="s">
        <v>4509</v>
      </c>
      <c r="E1010" s="1" t="s">
        <v>1753</v>
      </c>
      <c r="F1010" s="1" t="s">
        <v>5372</v>
      </c>
      <c r="G1010" s="7" t="s">
        <v>5373</v>
      </c>
      <c r="H1010" s="14" t="s">
        <v>5373</v>
      </c>
      <c r="I1010" s="14"/>
      <c r="J1010" s="1" t="s">
        <v>5374</v>
      </c>
    </row>
    <row r="1011" spans="1:13" ht="54" customHeight="1">
      <c r="A1011" s="1">
        <v>51520</v>
      </c>
      <c r="B1011" s="1" t="s">
        <v>5375</v>
      </c>
      <c r="C1011" s="1" t="s">
        <v>5376</v>
      </c>
      <c r="D1011" s="1" t="s">
        <v>4509</v>
      </c>
      <c r="E1011" s="1" t="s">
        <v>1753</v>
      </c>
      <c r="F1011" s="1" t="s">
        <v>5377</v>
      </c>
      <c r="G1011" s="7" t="s">
        <v>102</v>
      </c>
      <c r="J1011" s="1" t="s">
        <v>5378</v>
      </c>
      <c r="K1011" s="1" t="s">
        <v>2087</v>
      </c>
      <c r="L1011" s="39" t="s">
        <v>3694</v>
      </c>
    </row>
    <row r="1012" spans="1:13" ht="54" customHeight="1">
      <c r="A1012" s="1">
        <v>829</v>
      </c>
      <c r="B1012" s="1" t="s">
        <v>5379</v>
      </c>
      <c r="C1012" s="1" t="s">
        <v>5380</v>
      </c>
      <c r="D1012" s="1" t="s">
        <v>4509</v>
      </c>
      <c r="E1012" s="1" t="s">
        <v>1753</v>
      </c>
      <c r="F1012" s="1" t="s">
        <v>5381</v>
      </c>
      <c r="G1012" s="7" t="s">
        <v>2297</v>
      </c>
    </row>
    <row r="1013" spans="1:13" ht="54" customHeight="1">
      <c r="A1013" s="1">
        <v>32</v>
      </c>
      <c r="B1013" s="1" t="s">
        <v>5382</v>
      </c>
      <c r="C1013" s="1" t="s">
        <v>5383</v>
      </c>
      <c r="D1013" s="1" t="s">
        <v>4509</v>
      </c>
      <c r="E1013" s="1" t="s">
        <v>1680</v>
      </c>
      <c r="F1013" s="1" t="s">
        <v>5384</v>
      </c>
      <c r="G1013" s="7" t="s">
        <v>5385</v>
      </c>
      <c r="H1013" s="14" t="s">
        <v>5385</v>
      </c>
      <c r="I1013" s="14"/>
      <c r="J1013" s="1" t="s">
        <v>1703</v>
      </c>
      <c r="K1013" s="1" t="s">
        <v>2137</v>
      </c>
    </row>
    <row r="1014" spans="1:13" ht="54" customHeight="1">
      <c r="A1014" s="1">
        <v>81</v>
      </c>
      <c r="B1014" s="1" t="s">
        <v>5386</v>
      </c>
      <c r="C1014" s="1" t="s">
        <v>5387</v>
      </c>
      <c r="D1014" s="1" t="s">
        <v>4509</v>
      </c>
      <c r="E1014" s="1" t="s">
        <v>1680</v>
      </c>
      <c r="F1014" s="1" t="s">
        <v>5388</v>
      </c>
      <c r="G1014" s="8" t="s">
        <v>5389</v>
      </c>
      <c r="H1014" s="14" t="s">
        <v>5389</v>
      </c>
      <c r="I1014" s="25" t="s">
        <v>20</v>
      </c>
      <c r="K1014" s="1" t="s">
        <v>1682</v>
      </c>
      <c r="L1014" s="39" t="s">
        <v>2344</v>
      </c>
    </row>
    <row r="1015" spans="1:13" ht="54" customHeight="1">
      <c r="A1015" s="1">
        <v>83</v>
      </c>
      <c r="B1015" s="1" t="s">
        <v>5390</v>
      </c>
      <c r="C1015" s="1" t="s">
        <v>5391</v>
      </c>
      <c r="D1015" s="1" t="s">
        <v>4509</v>
      </c>
      <c r="E1015" s="1" t="s">
        <v>1680</v>
      </c>
      <c r="F1015" s="1" t="s">
        <v>5392</v>
      </c>
      <c r="G1015" s="7" t="s">
        <v>3745</v>
      </c>
      <c r="H1015" s="14" t="s">
        <v>3745</v>
      </c>
      <c r="I1015" s="14"/>
      <c r="K1015" s="1" t="s">
        <v>1669</v>
      </c>
      <c r="L1015" s="39" t="s">
        <v>4347</v>
      </c>
    </row>
    <row r="1016" spans="1:13" ht="54" customHeight="1">
      <c r="A1016" s="1">
        <v>121</v>
      </c>
      <c r="B1016" s="1" t="s">
        <v>5393</v>
      </c>
      <c r="C1016" s="1" t="s">
        <v>5394</v>
      </c>
      <c r="D1016" s="1" t="s">
        <v>4509</v>
      </c>
      <c r="E1016" s="1" t="s">
        <v>1680</v>
      </c>
      <c r="F1016" s="1" t="s">
        <v>5395</v>
      </c>
      <c r="G1016" s="7" t="s">
        <v>5396</v>
      </c>
      <c r="H1016" s="14" t="s">
        <v>5396</v>
      </c>
      <c r="I1016" s="10"/>
      <c r="K1016" s="1" t="s">
        <v>2137</v>
      </c>
      <c r="L1016" s="39" t="s">
        <v>4170</v>
      </c>
      <c r="M1016" s="9" t="s">
        <v>5396</v>
      </c>
    </row>
    <row r="1017" spans="1:13" ht="54" customHeight="1">
      <c r="A1017" s="1">
        <v>170</v>
      </c>
      <c r="B1017" s="1" t="s">
        <v>5397</v>
      </c>
      <c r="C1017" s="1" t="s">
        <v>5398</v>
      </c>
      <c r="D1017" s="1" t="s">
        <v>4509</v>
      </c>
      <c r="E1017" s="1" t="s">
        <v>1680</v>
      </c>
      <c r="F1017" s="1" t="s">
        <v>5399</v>
      </c>
      <c r="G1017" s="7" t="s">
        <v>2365</v>
      </c>
      <c r="H1017" s="14" t="s">
        <v>2365</v>
      </c>
      <c r="I1017" s="14" t="s">
        <v>20</v>
      </c>
      <c r="K1017" s="1" t="s">
        <v>5400</v>
      </c>
      <c r="L1017" s="39" t="s">
        <v>2344</v>
      </c>
    </row>
    <row r="1018" spans="1:13" ht="54" customHeight="1">
      <c r="A1018" s="1">
        <v>238</v>
      </c>
      <c r="B1018" s="1" t="s">
        <v>5401</v>
      </c>
      <c r="C1018" s="1" t="s">
        <v>5402</v>
      </c>
      <c r="D1018" s="1" t="s">
        <v>4509</v>
      </c>
      <c r="E1018" s="1" t="s">
        <v>1680</v>
      </c>
      <c r="F1018" s="1" t="s">
        <v>5403</v>
      </c>
      <c r="G1018" s="7" t="s">
        <v>3760</v>
      </c>
      <c r="H1018" s="14" t="s">
        <v>3760</v>
      </c>
      <c r="I1018" s="25"/>
      <c r="K1018" s="1" t="s">
        <v>2137</v>
      </c>
      <c r="L1018" s="39" t="s">
        <v>5404</v>
      </c>
    </row>
    <row r="1019" spans="1:13" ht="54" customHeight="1">
      <c r="A1019" s="1">
        <v>346</v>
      </c>
      <c r="B1019" s="1" t="s">
        <v>5405</v>
      </c>
      <c r="C1019" s="1" t="s">
        <v>5406</v>
      </c>
      <c r="D1019" s="1" t="s">
        <v>4509</v>
      </c>
      <c r="E1019" s="1" t="s">
        <v>1680</v>
      </c>
      <c r="F1019" s="1" t="s">
        <v>5407</v>
      </c>
      <c r="G1019" s="7" t="s">
        <v>2365</v>
      </c>
      <c r="H1019" s="22" t="s">
        <v>2365</v>
      </c>
      <c r="I1019" s="22" t="s">
        <v>20</v>
      </c>
      <c r="K1019" s="1" t="s">
        <v>2137</v>
      </c>
      <c r="L1019" s="39" t="s">
        <v>5404</v>
      </c>
    </row>
    <row r="1020" spans="1:13" ht="54" customHeight="1">
      <c r="A1020" s="1">
        <v>356</v>
      </c>
      <c r="B1020" s="1" t="s">
        <v>5408</v>
      </c>
      <c r="C1020" s="1" t="s">
        <v>5409</v>
      </c>
      <c r="D1020" s="1" t="s">
        <v>4509</v>
      </c>
      <c r="E1020" s="1" t="s">
        <v>1680</v>
      </c>
      <c r="F1020" s="1" t="s">
        <v>5410</v>
      </c>
      <c r="G1020" s="7" t="s">
        <v>25</v>
      </c>
      <c r="H1020" s="14" t="s">
        <v>25</v>
      </c>
      <c r="I1020" s="25" t="s">
        <v>20</v>
      </c>
      <c r="K1020" s="1" t="s">
        <v>1682</v>
      </c>
      <c r="L1020" s="39" t="s">
        <v>2344</v>
      </c>
    </row>
    <row r="1021" spans="1:13" ht="54" customHeight="1">
      <c r="A1021" s="1">
        <v>401</v>
      </c>
      <c r="B1021" s="1" t="s">
        <v>1444</v>
      </c>
      <c r="C1021" s="9" t="s">
        <v>5411</v>
      </c>
      <c r="D1021" s="1" t="s">
        <v>4509</v>
      </c>
      <c r="E1021" s="1" t="s">
        <v>1680</v>
      </c>
      <c r="F1021" s="1" t="s">
        <v>5412</v>
      </c>
      <c r="G1021" s="7" t="s">
        <v>5189</v>
      </c>
      <c r="H1021" s="14" t="s">
        <v>5189</v>
      </c>
      <c r="I1021" s="25"/>
      <c r="K1021" s="1" t="s">
        <v>2137</v>
      </c>
      <c r="L1021" s="39" t="s">
        <v>4170</v>
      </c>
      <c r="M1021" s="9" t="s">
        <v>5189</v>
      </c>
    </row>
    <row r="1022" spans="1:13" ht="54" customHeight="1">
      <c r="A1022" s="1">
        <v>408</v>
      </c>
      <c r="B1022" s="1" t="s">
        <v>5413</v>
      </c>
      <c r="C1022" s="1" t="s">
        <v>5414</v>
      </c>
      <c r="D1022" s="1" t="s">
        <v>4509</v>
      </c>
      <c r="E1022" s="1" t="s">
        <v>1680</v>
      </c>
      <c r="F1022" s="1" t="s">
        <v>5415</v>
      </c>
      <c r="G1022" s="7" t="s">
        <v>2365</v>
      </c>
      <c r="J1022" s="1" t="s">
        <v>5416</v>
      </c>
      <c r="K1022" s="1" t="s">
        <v>1682</v>
      </c>
      <c r="L1022" s="39" t="s">
        <v>2344</v>
      </c>
    </row>
    <row r="1023" spans="1:13" ht="54" customHeight="1">
      <c r="A1023" s="1">
        <v>729</v>
      </c>
      <c r="B1023" s="1" t="s">
        <v>5417</v>
      </c>
      <c r="C1023" s="1" t="s">
        <v>5418</v>
      </c>
      <c r="D1023" s="1" t="s">
        <v>4509</v>
      </c>
      <c r="E1023" s="1" t="s">
        <v>1680</v>
      </c>
      <c r="F1023" s="1" t="s">
        <v>5419</v>
      </c>
      <c r="G1023" s="7" t="s">
        <v>209</v>
      </c>
      <c r="H1023" s="14" t="s">
        <v>209</v>
      </c>
      <c r="I1023" s="25"/>
      <c r="K1023" s="1" t="s">
        <v>1682</v>
      </c>
      <c r="L1023" s="39" t="s">
        <v>2344</v>
      </c>
    </row>
    <row r="1024" spans="1:13" ht="54" customHeight="1">
      <c r="A1024" s="1">
        <v>413</v>
      </c>
      <c r="B1024" s="1" t="s">
        <v>5420</v>
      </c>
      <c r="C1024" s="1" t="s">
        <v>5421</v>
      </c>
      <c r="D1024" s="1" t="s">
        <v>4509</v>
      </c>
      <c r="E1024" s="1" t="s">
        <v>1680</v>
      </c>
      <c r="F1024" s="1" t="s">
        <v>5422</v>
      </c>
      <c r="G1024" s="7" t="s">
        <v>25</v>
      </c>
      <c r="H1024" s="14" t="s">
        <v>25</v>
      </c>
      <c r="I1024" s="25" t="s">
        <v>20</v>
      </c>
      <c r="K1024" s="1" t="s">
        <v>1682</v>
      </c>
      <c r="L1024" s="39" t="s">
        <v>5423</v>
      </c>
      <c r="M1024" s="9" t="s">
        <v>25</v>
      </c>
    </row>
    <row r="1025" spans="1:13" ht="54" customHeight="1">
      <c r="A1025" s="1">
        <v>755</v>
      </c>
      <c r="B1025" s="1" t="s">
        <v>5424</v>
      </c>
      <c r="C1025" s="1" t="s">
        <v>5425</v>
      </c>
      <c r="D1025" s="1" t="s">
        <v>4509</v>
      </c>
      <c r="E1025" s="1" t="s">
        <v>1680</v>
      </c>
      <c r="F1025" s="1" t="s">
        <v>5426</v>
      </c>
      <c r="G1025" s="7" t="s">
        <v>25</v>
      </c>
      <c r="J1025" s="1" t="s">
        <v>3765</v>
      </c>
      <c r="K1025" s="1" t="s">
        <v>1682</v>
      </c>
      <c r="L1025" s="39" t="s">
        <v>1683</v>
      </c>
    </row>
    <row r="1026" spans="1:13" ht="54" customHeight="1">
      <c r="A1026" s="1">
        <v>493</v>
      </c>
      <c r="B1026" s="1" t="s">
        <v>1424</v>
      </c>
      <c r="C1026" s="9" t="s">
        <v>5427</v>
      </c>
      <c r="D1026" s="1" t="s">
        <v>4509</v>
      </c>
      <c r="E1026" s="1" t="s">
        <v>1680</v>
      </c>
      <c r="F1026" s="1" t="s">
        <v>5428</v>
      </c>
      <c r="G1026" s="8" t="s">
        <v>176</v>
      </c>
      <c r="H1026" s="14" t="s">
        <v>176</v>
      </c>
      <c r="I1026" s="25"/>
      <c r="K1026" s="1" t="s">
        <v>1682</v>
      </c>
      <c r="L1026" s="39" t="s">
        <v>2344</v>
      </c>
    </row>
    <row r="1027" spans="1:13" ht="54" customHeight="1">
      <c r="A1027" s="1">
        <v>490</v>
      </c>
      <c r="B1027" s="1" t="s">
        <v>5429</v>
      </c>
      <c r="C1027" s="1" t="s">
        <v>5430</v>
      </c>
      <c r="D1027" s="1" t="s">
        <v>4509</v>
      </c>
      <c r="E1027" s="1" t="s">
        <v>1680</v>
      </c>
      <c r="F1027" s="1" t="s">
        <v>5431</v>
      </c>
      <c r="G1027" s="7" t="s">
        <v>2342</v>
      </c>
      <c r="H1027" s="14" t="s">
        <v>2342</v>
      </c>
      <c r="I1027" s="10" t="s">
        <v>20</v>
      </c>
      <c r="K1027" s="1" t="s">
        <v>1648</v>
      </c>
      <c r="L1027" s="39" t="s">
        <v>2344</v>
      </c>
    </row>
    <row r="1028" spans="1:13" ht="54" customHeight="1">
      <c r="A1028" s="1">
        <v>62789</v>
      </c>
      <c r="B1028" s="1" t="s">
        <v>5432</v>
      </c>
      <c r="C1028" s="1" t="s">
        <v>5433</v>
      </c>
      <c r="D1028" s="1" t="s">
        <v>4509</v>
      </c>
      <c r="E1028" s="1" t="s">
        <v>2541</v>
      </c>
      <c r="F1028" s="1" t="s">
        <v>5434</v>
      </c>
      <c r="G1028" s="14" t="s">
        <v>25</v>
      </c>
      <c r="H1028" s="14" t="s">
        <v>25</v>
      </c>
      <c r="I1028" s="25" t="s">
        <v>20</v>
      </c>
      <c r="K1028" s="1" t="s">
        <v>5400</v>
      </c>
      <c r="L1028" s="39" t="s">
        <v>4170</v>
      </c>
      <c r="M1028" s="9" t="s">
        <v>5435</v>
      </c>
    </row>
    <row r="1029" spans="1:13" ht="54" customHeight="1">
      <c r="A1029" s="1">
        <v>358</v>
      </c>
      <c r="B1029" s="1" t="s">
        <v>5436</v>
      </c>
      <c r="C1029" s="1" t="s">
        <v>5437</v>
      </c>
      <c r="D1029" s="1" t="s">
        <v>4509</v>
      </c>
      <c r="E1029" s="1" t="s">
        <v>2541</v>
      </c>
      <c r="F1029" s="1" t="s">
        <v>5438</v>
      </c>
      <c r="G1029" s="7" t="s">
        <v>25</v>
      </c>
      <c r="H1029" s="22" t="s">
        <v>25</v>
      </c>
      <c r="I1029" s="22" t="s">
        <v>20</v>
      </c>
      <c r="K1029" s="1" t="s">
        <v>5400</v>
      </c>
      <c r="L1029" s="39" t="s">
        <v>4170</v>
      </c>
      <c r="M1029" s="9" t="s">
        <v>5435</v>
      </c>
    </row>
    <row r="1030" spans="1:13" ht="54" customHeight="1">
      <c r="A1030" s="1">
        <v>476</v>
      </c>
      <c r="B1030" s="1" t="s">
        <v>5439</v>
      </c>
      <c r="C1030" s="9" t="s">
        <v>5440</v>
      </c>
      <c r="D1030" s="1" t="s">
        <v>4509</v>
      </c>
      <c r="E1030" s="1" t="s">
        <v>2541</v>
      </c>
      <c r="F1030" s="1" t="s">
        <v>5441</v>
      </c>
      <c r="G1030" s="7" t="s">
        <v>25</v>
      </c>
      <c r="J1030" s="1" t="s">
        <v>2543</v>
      </c>
      <c r="K1030" s="1" t="s">
        <v>1682</v>
      </c>
      <c r="L1030" s="39" t="s">
        <v>1683</v>
      </c>
    </row>
    <row r="1031" spans="1:13" ht="54" customHeight="1">
      <c r="A1031" s="1">
        <v>833</v>
      </c>
      <c r="B1031" s="1" t="s">
        <v>5442</v>
      </c>
      <c r="C1031" s="1" t="s">
        <v>5443</v>
      </c>
      <c r="D1031" s="1" t="s">
        <v>4509</v>
      </c>
      <c r="E1031" s="1" t="s">
        <v>2541</v>
      </c>
      <c r="F1031" s="1" t="s">
        <v>5444</v>
      </c>
      <c r="G1031" s="7" t="s">
        <v>25</v>
      </c>
      <c r="J1031" s="1" t="s">
        <v>5445</v>
      </c>
      <c r="K1031" s="1" t="s">
        <v>1682</v>
      </c>
      <c r="L1031" s="39" t="s">
        <v>1683</v>
      </c>
    </row>
    <row r="1032" spans="1:13" ht="54" customHeight="1">
      <c r="A1032" s="1">
        <v>529</v>
      </c>
      <c r="B1032" s="1" t="s">
        <v>5446</v>
      </c>
      <c r="C1032" s="9" t="s">
        <v>5447</v>
      </c>
      <c r="D1032" s="1" t="s">
        <v>4509</v>
      </c>
      <c r="E1032" s="1" t="s">
        <v>2541</v>
      </c>
      <c r="F1032" s="1" t="s">
        <v>5448</v>
      </c>
      <c r="G1032" s="7" t="s">
        <v>25</v>
      </c>
      <c r="H1032" s="14" t="s">
        <v>25</v>
      </c>
      <c r="I1032" s="10" t="s">
        <v>20</v>
      </c>
      <c r="K1032" s="1" t="s">
        <v>1682</v>
      </c>
      <c r="L1032" s="39" t="s">
        <v>1683</v>
      </c>
    </row>
    <row r="1033" spans="1:13" ht="54" customHeight="1">
      <c r="A1033" s="1">
        <v>86729</v>
      </c>
      <c r="B1033" s="1" t="s">
        <v>5449</v>
      </c>
      <c r="C1033" s="1" t="s">
        <v>5450</v>
      </c>
      <c r="D1033" s="1" t="s">
        <v>4509</v>
      </c>
      <c r="F1033" s="1" t="s">
        <v>5451</v>
      </c>
      <c r="G1033" s="6"/>
      <c r="J1033" s="1" t="s">
        <v>5452</v>
      </c>
    </row>
    <row r="1034" spans="1:13" ht="54" customHeight="1">
      <c r="A1034" s="1">
        <v>72</v>
      </c>
      <c r="B1034" s="1" t="s">
        <v>5453</v>
      </c>
      <c r="C1034" s="1" t="s">
        <v>5454</v>
      </c>
      <c r="D1034" s="1" t="s">
        <v>4509</v>
      </c>
      <c r="F1034" s="1" t="s">
        <v>5455</v>
      </c>
      <c r="G1034" s="8" t="s">
        <v>5456</v>
      </c>
      <c r="H1034" s="14" t="s">
        <v>5456</v>
      </c>
      <c r="I1034" s="10" t="s">
        <v>20</v>
      </c>
    </row>
    <row r="1035" spans="1:13" ht="54" customHeight="1">
      <c r="A1035" s="1">
        <v>157</v>
      </c>
      <c r="B1035" s="1" t="s">
        <v>5457</v>
      </c>
      <c r="C1035" s="1" t="s">
        <v>5458</v>
      </c>
      <c r="D1035" s="1" t="s">
        <v>4509</v>
      </c>
      <c r="F1035" s="1" t="s">
        <v>5459</v>
      </c>
      <c r="G1035" s="7" t="s">
        <v>3321</v>
      </c>
      <c r="H1035" s="14" t="s">
        <v>3321</v>
      </c>
      <c r="I1035" s="24" t="s">
        <v>20</v>
      </c>
      <c r="J1035" s="1" t="s">
        <v>5460</v>
      </c>
      <c r="K1035" s="1" t="s">
        <v>1669</v>
      </c>
      <c r="L1035" s="39" t="s">
        <v>4347</v>
      </c>
    </row>
    <row r="1036" spans="1:13" ht="54" customHeight="1">
      <c r="A1036" s="1">
        <v>92198</v>
      </c>
      <c r="B1036" s="1" t="s">
        <v>5461</v>
      </c>
      <c r="C1036" s="1" t="s">
        <v>5462</v>
      </c>
      <c r="D1036" s="1" t="s">
        <v>4509</v>
      </c>
      <c r="F1036" s="1" t="s">
        <v>5463</v>
      </c>
      <c r="G1036" s="7" t="s">
        <v>5</v>
      </c>
      <c r="H1036" s="14" t="s">
        <v>5</v>
      </c>
      <c r="I1036" s="25" t="s">
        <v>20</v>
      </c>
      <c r="K1036" s="1" t="s">
        <v>1669</v>
      </c>
      <c r="L1036" s="39" t="s">
        <v>1691</v>
      </c>
    </row>
    <row r="1037" spans="1:13" ht="54" customHeight="1">
      <c r="A1037" s="1">
        <v>92199</v>
      </c>
      <c r="B1037" s="1" t="s">
        <v>5464</v>
      </c>
      <c r="C1037" s="1" t="s">
        <v>5465</v>
      </c>
      <c r="D1037" s="1" t="s">
        <v>4509</v>
      </c>
      <c r="F1037" s="1" t="s">
        <v>5466</v>
      </c>
      <c r="G1037" s="7" t="s">
        <v>5</v>
      </c>
      <c r="H1037" s="14" t="s">
        <v>5</v>
      </c>
      <c r="I1037" s="14" t="s">
        <v>20</v>
      </c>
      <c r="K1037" s="1" t="s">
        <v>1669</v>
      </c>
      <c r="L1037" s="39" t="s">
        <v>1691</v>
      </c>
    </row>
    <row r="1038" spans="1:13" ht="54" customHeight="1">
      <c r="A1038" s="1">
        <v>189</v>
      </c>
      <c r="B1038" s="1" t="s">
        <v>5467</v>
      </c>
      <c r="C1038" s="9" t="s">
        <v>5468</v>
      </c>
      <c r="D1038" s="1" t="s">
        <v>5469</v>
      </c>
      <c r="E1038" s="1" t="s">
        <v>2068</v>
      </c>
      <c r="F1038" s="1" t="s">
        <v>5470</v>
      </c>
      <c r="G1038" s="7" t="s">
        <v>5471</v>
      </c>
      <c r="H1038" s="14" t="s">
        <v>5471</v>
      </c>
      <c r="I1038" s="14"/>
      <c r="J1038" s="1" t="s">
        <v>1703</v>
      </c>
      <c r="K1038" s="1" t="s">
        <v>1756</v>
      </c>
      <c r="L1038" s="46" t="s">
        <v>1757</v>
      </c>
    </row>
    <row r="1039" spans="1:13" ht="54" customHeight="1">
      <c r="A1039" s="1">
        <v>143</v>
      </c>
      <c r="B1039" s="1" t="s">
        <v>5472</v>
      </c>
      <c r="C1039" s="1" t="s">
        <v>5473</v>
      </c>
      <c r="D1039" s="1" t="s">
        <v>5469</v>
      </c>
      <c r="E1039" s="1" t="s">
        <v>1657</v>
      </c>
      <c r="F1039" s="1" t="s">
        <v>5474</v>
      </c>
      <c r="G1039" s="7" t="s">
        <v>15</v>
      </c>
      <c r="H1039" s="14" t="s">
        <v>15</v>
      </c>
      <c r="I1039" s="10" t="s">
        <v>20</v>
      </c>
    </row>
    <row r="1040" spans="1:13" ht="54" customHeight="1">
      <c r="A1040" s="1">
        <v>147</v>
      </c>
      <c r="B1040" s="1" t="s">
        <v>5475</v>
      </c>
      <c r="C1040" s="1" t="s">
        <v>5476</v>
      </c>
      <c r="D1040" s="1" t="s">
        <v>5469</v>
      </c>
      <c r="E1040" s="1" t="s">
        <v>1657</v>
      </c>
      <c r="F1040" s="1" t="s">
        <v>5477</v>
      </c>
      <c r="G1040" s="7" t="s">
        <v>15</v>
      </c>
      <c r="H1040" s="14" t="s">
        <v>15</v>
      </c>
      <c r="I1040" s="10" t="s">
        <v>20</v>
      </c>
    </row>
    <row r="1041" spans="1:12" ht="54" customHeight="1">
      <c r="A1041" s="1">
        <v>49757</v>
      </c>
      <c r="B1041" s="1" t="s">
        <v>5478</v>
      </c>
      <c r="C1041" s="1" t="s">
        <v>5479</v>
      </c>
      <c r="D1041" s="1" t="s">
        <v>5469</v>
      </c>
      <c r="E1041" s="1" t="s">
        <v>1657</v>
      </c>
      <c r="F1041" s="1" t="s">
        <v>5480</v>
      </c>
      <c r="G1041" s="7" t="s">
        <v>5481</v>
      </c>
      <c r="J1041" s="1" t="s">
        <v>5482</v>
      </c>
      <c r="K1041" s="1" t="s">
        <v>1648</v>
      </c>
      <c r="L1041" s="39" t="s">
        <v>1717</v>
      </c>
    </row>
    <row r="1042" spans="1:12" ht="54" customHeight="1">
      <c r="A1042" s="1">
        <v>806</v>
      </c>
      <c r="B1042" s="1" t="s">
        <v>5483</v>
      </c>
      <c r="C1042" s="1" t="s">
        <v>5484</v>
      </c>
      <c r="D1042" s="1" t="s">
        <v>5485</v>
      </c>
      <c r="E1042" s="1" t="s">
        <v>1710</v>
      </c>
      <c r="F1042" s="1" t="s">
        <v>5486</v>
      </c>
      <c r="G1042" s="7" t="s">
        <v>1668</v>
      </c>
      <c r="J1042" s="24" t="s">
        <v>5487</v>
      </c>
    </row>
    <row r="1043" spans="1:12" ht="54" customHeight="1">
      <c r="A1043" s="1">
        <v>581</v>
      </c>
      <c r="B1043" s="1" t="s">
        <v>5488</v>
      </c>
      <c r="C1043" s="1" t="s">
        <v>5489</v>
      </c>
      <c r="D1043" s="1" t="s">
        <v>5490</v>
      </c>
      <c r="E1043" s="1" t="s">
        <v>1753</v>
      </c>
      <c r="F1043" s="1" t="s">
        <v>5491</v>
      </c>
      <c r="G1043" s="7" t="s">
        <v>84</v>
      </c>
      <c r="H1043" s="14" t="s">
        <v>84</v>
      </c>
      <c r="I1043" s="14"/>
      <c r="J1043" s="1" t="s">
        <v>1703</v>
      </c>
      <c r="K1043" s="1" t="s">
        <v>1756</v>
      </c>
      <c r="L1043" s="39" t="s">
        <v>1757</v>
      </c>
    </row>
    <row r="1044" spans="1:12" ht="54" customHeight="1">
      <c r="A1044" s="1">
        <v>39449</v>
      </c>
      <c r="B1044" s="1" t="s">
        <v>5492</v>
      </c>
      <c r="C1044" s="1" t="s">
        <v>5493</v>
      </c>
      <c r="D1044" s="1" t="s">
        <v>5490</v>
      </c>
      <c r="E1044" s="1" t="s">
        <v>1753</v>
      </c>
      <c r="F1044" s="1" t="s">
        <v>5494</v>
      </c>
      <c r="G1044" s="7" t="s">
        <v>5495</v>
      </c>
      <c r="H1044" s="22" t="s">
        <v>5495</v>
      </c>
      <c r="K1044" s="1" t="s">
        <v>2506</v>
      </c>
      <c r="L1044" s="39" t="s">
        <v>2087</v>
      </c>
    </row>
    <row r="1045" spans="1:12" ht="54" customHeight="1">
      <c r="A1045" s="1">
        <v>636</v>
      </c>
      <c r="B1045" s="1" t="s">
        <v>5496</v>
      </c>
      <c r="C1045" s="1" t="s">
        <v>5497</v>
      </c>
      <c r="D1045" s="1" t="s">
        <v>5498</v>
      </c>
      <c r="E1045" s="1" t="s">
        <v>2068</v>
      </c>
      <c r="F1045" s="1" t="s">
        <v>5499</v>
      </c>
      <c r="G1045" s="7" t="s">
        <v>15</v>
      </c>
      <c r="H1045" s="14" t="s">
        <v>15</v>
      </c>
      <c r="I1045" s="25" t="s">
        <v>20</v>
      </c>
      <c r="K1045" s="1" t="s">
        <v>1648</v>
      </c>
      <c r="L1045" s="39" t="s">
        <v>1659</v>
      </c>
    </row>
    <row r="1046" spans="1:12" ht="54" customHeight="1">
      <c r="A1046" s="1">
        <v>816</v>
      </c>
      <c r="B1046" s="1" t="s">
        <v>5500</v>
      </c>
      <c r="C1046" s="1" t="s">
        <v>5501</v>
      </c>
      <c r="D1046" s="1" t="s">
        <v>5498</v>
      </c>
      <c r="E1046" s="1" t="s">
        <v>2068</v>
      </c>
      <c r="F1046" s="1" t="s">
        <v>5502</v>
      </c>
      <c r="G1046" s="7" t="s">
        <v>5503</v>
      </c>
      <c r="J1046" s="1" t="s">
        <v>5504</v>
      </c>
      <c r="K1046" s="1" t="s">
        <v>1756</v>
      </c>
      <c r="L1046" s="46" t="s">
        <v>1757</v>
      </c>
    </row>
    <row r="1047" spans="1:12" ht="54" customHeight="1">
      <c r="A1047" s="1">
        <v>76199</v>
      </c>
      <c r="B1047" s="1" t="s">
        <v>5505</v>
      </c>
      <c r="C1047" s="1" t="s">
        <v>5506</v>
      </c>
      <c r="D1047" s="1" t="s">
        <v>5498</v>
      </c>
      <c r="E1047" s="1" t="s">
        <v>4089</v>
      </c>
      <c r="F1047" s="1" t="s">
        <v>5507</v>
      </c>
      <c r="G1047" s="7" t="s">
        <v>2443</v>
      </c>
      <c r="H1047" s="14" t="s">
        <v>2443</v>
      </c>
      <c r="I1047" s="25" t="s">
        <v>20</v>
      </c>
      <c r="K1047" s="1" t="s">
        <v>1648</v>
      </c>
      <c r="L1047" s="39" t="s">
        <v>1717</v>
      </c>
    </row>
    <row r="1048" spans="1:12" ht="54" customHeight="1">
      <c r="A1048" s="1">
        <v>76198</v>
      </c>
      <c r="B1048" s="1" t="s">
        <v>5508</v>
      </c>
      <c r="C1048" s="1" t="s">
        <v>5509</v>
      </c>
      <c r="D1048" s="1" t="s">
        <v>5498</v>
      </c>
      <c r="E1048" s="1" t="s">
        <v>4089</v>
      </c>
      <c r="F1048" s="1" t="s">
        <v>5510</v>
      </c>
      <c r="G1048" s="7" t="s">
        <v>2443</v>
      </c>
      <c r="H1048" s="14" t="s">
        <v>2443</v>
      </c>
      <c r="I1048" s="25" t="s">
        <v>20</v>
      </c>
    </row>
    <row r="1049" spans="1:12" ht="54" customHeight="1">
      <c r="A1049" s="1">
        <v>73429</v>
      </c>
      <c r="B1049" s="1" t="s">
        <v>5511</v>
      </c>
      <c r="C1049" s="1" t="s">
        <v>5512</v>
      </c>
      <c r="D1049" s="1" t="s">
        <v>5498</v>
      </c>
      <c r="E1049" s="1" t="s">
        <v>4089</v>
      </c>
      <c r="F1049" s="1" t="s">
        <v>5513</v>
      </c>
      <c r="G1049" s="7" t="s">
        <v>2443</v>
      </c>
      <c r="H1049" s="14" t="s">
        <v>2443</v>
      </c>
      <c r="I1049" s="10" t="s">
        <v>20</v>
      </c>
      <c r="K1049" s="1" t="s">
        <v>1648</v>
      </c>
      <c r="L1049" s="39" t="s">
        <v>1717</v>
      </c>
    </row>
    <row r="1050" spans="1:12" ht="54" customHeight="1">
      <c r="A1050" s="1">
        <v>741</v>
      </c>
      <c r="B1050" s="1" t="s">
        <v>1422</v>
      </c>
      <c r="C1050" s="9" t="s">
        <v>5514</v>
      </c>
      <c r="D1050" s="1" t="s">
        <v>5515</v>
      </c>
      <c r="E1050" s="1" t="s">
        <v>1657</v>
      </c>
      <c r="F1050" s="1" t="s">
        <v>5516</v>
      </c>
      <c r="G1050" s="8" t="s">
        <v>5517</v>
      </c>
      <c r="H1050" s="7" t="s">
        <v>15</v>
      </c>
      <c r="I1050" s="7" t="s">
        <v>20</v>
      </c>
      <c r="K1050" s="1" t="s">
        <v>1648</v>
      </c>
      <c r="L1050" s="39" t="s">
        <v>1659</v>
      </c>
    </row>
    <row r="1051" spans="1:12" ht="54" customHeight="1">
      <c r="A1051" s="1">
        <v>202</v>
      </c>
      <c r="B1051" s="1" t="s">
        <v>5518</v>
      </c>
      <c r="C1051" s="1" t="s">
        <v>5519</v>
      </c>
      <c r="D1051" s="1" t="s">
        <v>5520</v>
      </c>
      <c r="E1051" s="1" t="s">
        <v>1653</v>
      </c>
      <c r="F1051" s="1" t="s">
        <v>5521</v>
      </c>
      <c r="G1051" s="7" t="s">
        <v>64</v>
      </c>
      <c r="H1051" s="22" t="s">
        <v>64</v>
      </c>
      <c r="I1051" s="22"/>
      <c r="K1051" s="1" t="s">
        <v>1669</v>
      </c>
      <c r="L1051" s="39" t="s">
        <v>1717</v>
      </c>
    </row>
    <row r="1052" spans="1:12" ht="54" customHeight="1">
      <c r="A1052" s="1">
        <v>835</v>
      </c>
      <c r="B1052" s="1" t="s">
        <v>5522</v>
      </c>
      <c r="C1052" s="1" t="s">
        <v>5523</v>
      </c>
      <c r="D1052" s="1" t="s">
        <v>5520</v>
      </c>
      <c r="E1052" s="1" t="s">
        <v>1653</v>
      </c>
      <c r="F1052" s="1" t="s">
        <v>5524</v>
      </c>
      <c r="G1052" s="7" t="s">
        <v>5525</v>
      </c>
      <c r="J1052" s="1" t="s">
        <v>5526</v>
      </c>
      <c r="K1052" s="1" t="s">
        <v>1648</v>
      </c>
      <c r="L1052" s="39" t="s">
        <v>1717</v>
      </c>
    </row>
    <row r="1053" spans="1:12" ht="54" customHeight="1">
      <c r="A1053" s="1">
        <v>68724</v>
      </c>
      <c r="B1053" s="1" t="s">
        <v>5527</v>
      </c>
      <c r="C1053" s="1" t="s">
        <v>5528</v>
      </c>
      <c r="D1053" s="1" t="s">
        <v>5520</v>
      </c>
      <c r="E1053" s="1" t="s">
        <v>1646</v>
      </c>
      <c r="F1053" s="1" t="s">
        <v>5529</v>
      </c>
      <c r="G1053" s="7" t="s">
        <v>5530</v>
      </c>
    </row>
    <row r="1054" spans="1:12" ht="54" customHeight="1">
      <c r="A1054" s="1">
        <v>49728</v>
      </c>
      <c r="B1054" s="1" t="s">
        <v>5531</v>
      </c>
      <c r="C1054" s="1" t="s">
        <v>5532</v>
      </c>
      <c r="D1054" s="1" t="s">
        <v>5520</v>
      </c>
      <c r="E1054" s="1" t="s">
        <v>2072</v>
      </c>
      <c r="F1054" s="1" t="s">
        <v>5533</v>
      </c>
      <c r="H1054" s="7" t="s">
        <v>5534</v>
      </c>
      <c r="I1054" s="7"/>
      <c r="J1054" s="1" t="s">
        <v>5535</v>
      </c>
    </row>
    <row r="1055" spans="1:12" ht="54" customHeight="1">
      <c r="A1055" s="1">
        <v>570</v>
      </c>
      <c r="B1055" s="1" t="s">
        <v>5536</v>
      </c>
      <c r="C1055" s="1" t="s">
        <v>5537</v>
      </c>
      <c r="D1055" s="1" t="s">
        <v>5520</v>
      </c>
      <c r="E1055" s="1" t="s">
        <v>1657</v>
      </c>
      <c r="F1055" s="1" t="s">
        <v>5538</v>
      </c>
      <c r="G1055" s="7" t="s">
        <v>15</v>
      </c>
      <c r="H1055" s="14" t="s">
        <v>15</v>
      </c>
      <c r="I1055" s="14" t="s">
        <v>20</v>
      </c>
      <c r="J1055" s="1" t="s">
        <v>1703</v>
      </c>
    </row>
    <row r="1056" spans="1:12" ht="54" customHeight="1">
      <c r="A1056" s="1">
        <v>49752</v>
      </c>
      <c r="B1056" s="1" t="s">
        <v>5539</v>
      </c>
      <c r="C1056" s="1" t="s">
        <v>5540</v>
      </c>
      <c r="D1056" s="1" t="s">
        <v>5520</v>
      </c>
      <c r="E1056" s="1" t="s">
        <v>1657</v>
      </c>
      <c r="F1056" s="1" t="s">
        <v>5541</v>
      </c>
      <c r="G1056" s="6"/>
    </row>
    <row r="1057" spans="1:12" ht="54" customHeight="1">
      <c r="A1057" s="1">
        <v>49759</v>
      </c>
      <c r="B1057" s="1" t="s">
        <v>5542</v>
      </c>
      <c r="C1057" s="1" t="s">
        <v>5543</v>
      </c>
      <c r="D1057" s="1" t="s">
        <v>5520</v>
      </c>
      <c r="E1057" s="1" t="s">
        <v>1657</v>
      </c>
      <c r="F1057" s="1" t="s">
        <v>5544</v>
      </c>
      <c r="G1057" s="29" t="s">
        <v>15</v>
      </c>
      <c r="J1057" s="1" t="s">
        <v>5545</v>
      </c>
    </row>
    <row r="1058" spans="1:12" ht="54" customHeight="1">
      <c r="A1058" s="1">
        <v>354</v>
      </c>
      <c r="B1058" s="1" t="s">
        <v>5546</v>
      </c>
      <c r="C1058" s="1" t="s">
        <v>5547</v>
      </c>
      <c r="D1058" s="1" t="s">
        <v>5520</v>
      </c>
      <c r="E1058" s="1" t="s">
        <v>1657</v>
      </c>
      <c r="F1058" s="1" t="s">
        <v>5548</v>
      </c>
      <c r="G1058" s="7" t="s">
        <v>15</v>
      </c>
      <c r="J1058" s="1" t="s">
        <v>5549</v>
      </c>
      <c r="K1058" s="1" t="s">
        <v>1756</v>
      </c>
      <c r="L1058" s="39" t="s">
        <v>1757</v>
      </c>
    </row>
    <row r="1059" spans="1:12" ht="54" customHeight="1">
      <c r="A1059" s="1">
        <v>726</v>
      </c>
      <c r="B1059" s="1" t="s">
        <v>5550</v>
      </c>
      <c r="C1059" s="1" t="s">
        <v>5551</v>
      </c>
      <c r="D1059" s="1" t="s">
        <v>5520</v>
      </c>
      <c r="E1059" s="1" t="s">
        <v>1657</v>
      </c>
      <c r="F1059" s="1" t="s">
        <v>5552</v>
      </c>
      <c r="G1059" s="7" t="s">
        <v>15</v>
      </c>
      <c r="H1059" s="14" t="s">
        <v>15</v>
      </c>
      <c r="I1059" s="25" t="s">
        <v>20</v>
      </c>
      <c r="K1059" s="1" t="s">
        <v>1648</v>
      </c>
      <c r="L1059" s="39" t="s">
        <v>1717</v>
      </c>
    </row>
    <row r="1060" spans="1:12" ht="54" customHeight="1">
      <c r="A1060" s="1">
        <v>734</v>
      </c>
      <c r="B1060" s="1" t="s">
        <v>5553</v>
      </c>
      <c r="C1060" s="1" t="s">
        <v>5554</v>
      </c>
      <c r="D1060" s="1" t="s">
        <v>5520</v>
      </c>
      <c r="E1060" s="1" t="s">
        <v>1657</v>
      </c>
      <c r="F1060" s="1" t="s">
        <v>5555</v>
      </c>
      <c r="G1060" s="7" t="s">
        <v>5556</v>
      </c>
      <c r="H1060" s="14" t="s">
        <v>5556</v>
      </c>
      <c r="I1060" s="25"/>
      <c r="K1060" s="1" t="s">
        <v>1756</v>
      </c>
      <c r="L1060" s="39" t="s">
        <v>1757</v>
      </c>
    </row>
    <row r="1061" spans="1:12" ht="54" customHeight="1">
      <c r="A1061" s="1">
        <v>39142</v>
      </c>
      <c r="B1061" s="1" t="s">
        <v>5557</v>
      </c>
      <c r="C1061" s="1" t="s">
        <v>5558</v>
      </c>
      <c r="D1061" s="1" t="s">
        <v>5520</v>
      </c>
      <c r="E1061" s="1" t="s">
        <v>1657</v>
      </c>
      <c r="F1061" s="1" t="s">
        <v>5559</v>
      </c>
      <c r="G1061" s="7" t="s">
        <v>15</v>
      </c>
      <c r="H1061" s="22" t="s">
        <v>15</v>
      </c>
      <c r="I1061" s="22" t="s">
        <v>20</v>
      </c>
      <c r="K1061" s="1" t="s">
        <v>1648</v>
      </c>
      <c r="L1061" s="39" t="s">
        <v>1659</v>
      </c>
    </row>
    <row r="1062" spans="1:12" ht="54" customHeight="1">
      <c r="A1062" s="1">
        <v>39134</v>
      </c>
      <c r="B1062" s="1" t="s">
        <v>5560</v>
      </c>
      <c r="C1062" s="1" t="s">
        <v>5561</v>
      </c>
      <c r="D1062" s="1" t="s">
        <v>5520</v>
      </c>
      <c r="E1062" s="1" t="s">
        <v>1657</v>
      </c>
      <c r="F1062" s="1" t="s">
        <v>5559</v>
      </c>
      <c r="G1062" s="7" t="s">
        <v>15</v>
      </c>
      <c r="H1062" s="22" t="s">
        <v>15</v>
      </c>
      <c r="I1062" s="22" t="s">
        <v>20</v>
      </c>
      <c r="K1062" s="1" t="s">
        <v>1648</v>
      </c>
      <c r="L1062" s="39" t="s">
        <v>1659</v>
      </c>
    </row>
    <row r="1063" spans="1:12" ht="54" customHeight="1">
      <c r="A1063" s="1">
        <v>780</v>
      </c>
      <c r="B1063" s="1" t="s">
        <v>5562</v>
      </c>
      <c r="C1063" s="1" t="s">
        <v>5563</v>
      </c>
      <c r="D1063" s="1" t="s">
        <v>5520</v>
      </c>
      <c r="E1063" s="1" t="s">
        <v>1657</v>
      </c>
      <c r="F1063" s="1" t="s">
        <v>5559</v>
      </c>
      <c r="G1063" s="7" t="s">
        <v>15</v>
      </c>
      <c r="H1063" s="22" t="s">
        <v>15</v>
      </c>
      <c r="I1063" s="22" t="s">
        <v>20</v>
      </c>
      <c r="K1063" s="1" t="s">
        <v>1648</v>
      </c>
      <c r="L1063" s="39" t="s">
        <v>1659</v>
      </c>
    </row>
    <row r="1064" spans="1:12" ht="54" customHeight="1">
      <c r="A1064" s="1">
        <v>487</v>
      </c>
      <c r="B1064" s="1" t="s">
        <v>5564</v>
      </c>
      <c r="C1064" s="1" t="s">
        <v>5565</v>
      </c>
      <c r="D1064" s="1" t="s">
        <v>5520</v>
      </c>
      <c r="E1064" s="1" t="s">
        <v>1657</v>
      </c>
      <c r="F1064" s="1" t="s">
        <v>5566</v>
      </c>
      <c r="G1064" s="7" t="s">
        <v>15</v>
      </c>
      <c r="H1064" s="22" t="s">
        <v>15</v>
      </c>
      <c r="I1064" s="22" t="s">
        <v>20</v>
      </c>
      <c r="K1064" s="1" t="s">
        <v>1648</v>
      </c>
      <c r="L1064" s="39" t="s">
        <v>1659</v>
      </c>
    </row>
    <row r="1065" spans="1:12" ht="54" customHeight="1">
      <c r="A1065" s="1">
        <v>467</v>
      </c>
      <c r="B1065" s="1" t="s">
        <v>5567</v>
      </c>
      <c r="C1065" s="1" t="s">
        <v>5568</v>
      </c>
      <c r="D1065" s="1" t="s">
        <v>5520</v>
      </c>
      <c r="E1065" s="1" t="s">
        <v>1657</v>
      </c>
      <c r="F1065" s="1" t="s">
        <v>5569</v>
      </c>
      <c r="G1065" s="6"/>
    </row>
    <row r="1066" spans="1:12" ht="54" customHeight="1">
      <c r="A1066" s="1">
        <v>830</v>
      </c>
      <c r="B1066" s="1" t="s">
        <v>5570</v>
      </c>
      <c r="C1066" s="1" t="s">
        <v>5571</v>
      </c>
      <c r="D1066" s="1" t="s">
        <v>5520</v>
      </c>
      <c r="E1066" s="1" t="s">
        <v>1657</v>
      </c>
      <c r="F1066" s="1" t="s">
        <v>5572</v>
      </c>
      <c r="G1066" s="7" t="s">
        <v>15</v>
      </c>
      <c r="J1066" s="1" t="s">
        <v>5573</v>
      </c>
      <c r="K1066" s="1" t="s">
        <v>1648</v>
      </c>
      <c r="L1066" s="39" t="s">
        <v>1659</v>
      </c>
    </row>
    <row r="1067" spans="1:12" ht="54" customHeight="1">
      <c r="A1067" s="1">
        <v>76197</v>
      </c>
      <c r="B1067" s="1" t="s">
        <v>5574</v>
      </c>
      <c r="C1067" s="1" t="s">
        <v>5575</v>
      </c>
      <c r="D1067" s="1" t="s">
        <v>5520</v>
      </c>
      <c r="E1067" s="1" t="s">
        <v>4089</v>
      </c>
      <c r="F1067" s="1" t="s">
        <v>5576</v>
      </c>
      <c r="G1067" s="6"/>
    </row>
    <row r="1068" spans="1:12" ht="54" customHeight="1">
      <c r="A1068" s="1">
        <v>73184</v>
      </c>
      <c r="B1068" s="1" t="s">
        <v>5577</v>
      </c>
      <c r="C1068" s="1" t="s">
        <v>5578</v>
      </c>
      <c r="D1068" s="1" t="s">
        <v>5520</v>
      </c>
      <c r="E1068" s="1" t="s">
        <v>4089</v>
      </c>
      <c r="F1068" s="1" t="s">
        <v>5579</v>
      </c>
      <c r="G1068" s="7" t="s">
        <v>2443</v>
      </c>
      <c r="H1068" s="14" t="s">
        <v>2443</v>
      </c>
      <c r="I1068" s="10" t="s">
        <v>20</v>
      </c>
      <c r="J1068" s="1" t="s">
        <v>5580</v>
      </c>
    </row>
    <row r="1069" spans="1:12" ht="54" customHeight="1">
      <c r="A1069" s="1">
        <v>465</v>
      </c>
      <c r="B1069" s="1" t="s">
        <v>5581</v>
      </c>
      <c r="C1069" s="1" t="s">
        <v>5582</v>
      </c>
      <c r="D1069" s="1" t="s">
        <v>5520</v>
      </c>
      <c r="E1069" s="1" t="s">
        <v>1673</v>
      </c>
      <c r="F1069" s="1" t="s">
        <v>5583</v>
      </c>
      <c r="G1069" s="6"/>
    </row>
    <row r="1070" spans="1:12" ht="54" customHeight="1">
      <c r="A1070" s="1">
        <v>295</v>
      </c>
      <c r="B1070" s="1" t="s">
        <v>5584</v>
      </c>
      <c r="C1070" s="1" t="s">
        <v>5585</v>
      </c>
      <c r="D1070" s="1" t="s">
        <v>5520</v>
      </c>
      <c r="E1070" s="1" t="s">
        <v>2266</v>
      </c>
      <c r="F1070" s="1" t="s">
        <v>5586</v>
      </c>
      <c r="G1070" s="7" t="s">
        <v>2595</v>
      </c>
      <c r="K1070" s="1" t="s">
        <v>1756</v>
      </c>
      <c r="L1070" s="39" t="s">
        <v>1757</v>
      </c>
    </row>
    <row r="1071" spans="1:12" ht="54" customHeight="1">
      <c r="A1071" s="1">
        <v>135</v>
      </c>
      <c r="B1071" s="1" t="s">
        <v>5587</v>
      </c>
      <c r="C1071" s="1" t="s">
        <v>5588</v>
      </c>
      <c r="D1071" s="1" t="s">
        <v>5520</v>
      </c>
      <c r="E1071" s="1" t="s">
        <v>1753</v>
      </c>
      <c r="F1071" s="1" t="s">
        <v>5589</v>
      </c>
      <c r="G1071" s="7" t="s">
        <v>84</v>
      </c>
      <c r="H1071" s="14" t="s">
        <v>84</v>
      </c>
      <c r="I1071" s="10"/>
      <c r="K1071" s="1" t="s">
        <v>1756</v>
      </c>
      <c r="L1071" s="39" t="s">
        <v>1757</v>
      </c>
    </row>
    <row r="1072" spans="1:12" ht="54" customHeight="1">
      <c r="A1072" s="1">
        <v>224</v>
      </c>
      <c r="B1072" s="1" t="s">
        <v>5590</v>
      </c>
      <c r="C1072" s="1" t="s">
        <v>5591</v>
      </c>
      <c r="D1072" s="1" t="s">
        <v>5520</v>
      </c>
      <c r="E1072" s="1" t="s">
        <v>1753</v>
      </c>
      <c r="F1072" s="1" t="s">
        <v>5592</v>
      </c>
      <c r="G1072" s="7" t="s">
        <v>5593</v>
      </c>
      <c r="H1072" s="7" t="s">
        <v>5593</v>
      </c>
      <c r="K1072" s="1" t="s">
        <v>1756</v>
      </c>
      <c r="L1072" s="39" t="s">
        <v>1757</v>
      </c>
    </row>
    <row r="1073" spans="1:12" ht="54" customHeight="1">
      <c r="A1073" s="1">
        <v>414</v>
      </c>
      <c r="B1073" s="1" t="s">
        <v>5594</v>
      </c>
      <c r="C1073" s="1" t="s">
        <v>5595</v>
      </c>
      <c r="D1073" s="1" t="s">
        <v>5520</v>
      </c>
      <c r="E1073" s="1" t="s">
        <v>1753</v>
      </c>
      <c r="F1073" s="1" t="s">
        <v>5596</v>
      </c>
      <c r="G1073" s="7" t="s">
        <v>5597</v>
      </c>
      <c r="K1073" s="1" t="s">
        <v>1756</v>
      </c>
      <c r="L1073" s="39" t="s">
        <v>5598</v>
      </c>
    </row>
    <row r="1074" spans="1:12" ht="54" customHeight="1">
      <c r="A1074" s="1">
        <v>568</v>
      </c>
      <c r="B1074" s="1" t="s">
        <v>5599</v>
      </c>
      <c r="C1074" s="1" t="s">
        <v>5600</v>
      </c>
      <c r="D1074" s="1" t="s">
        <v>5520</v>
      </c>
      <c r="E1074" s="1" t="s">
        <v>1680</v>
      </c>
      <c r="F1074" s="1" t="s">
        <v>5601</v>
      </c>
      <c r="G1074" s="7" t="s">
        <v>25</v>
      </c>
      <c r="H1074" s="14" t="s">
        <v>25</v>
      </c>
      <c r="I1074" s="14" t="s">
        <v>20</v>
      </c>
      <c r="J1074" s="1" t="s">
        <v>5602</v>
      </c>
      <c r="K1074" s="1" t="s">
        <v>1682</v>
      </c>
      <c r="L1074" s="39" t="s">
        <v>1683</v>
      </c>
    </row>
    <row r="1075" spans="1:12" ht="54" customHeight="1">
      <c r="A1075" s="1">
        <v>589</v>
      </c>
      <c r="B1075" s="1" t="s">
        <v>5603</v>
      </c>
      <c r="C1075" s="1" t="s">
        <v>5604</v>
      </c>
      <c r="D1075" s="1" t="s">
        <v>5520</v>
      </c>
      <c r="E1075" s="1" t="s">
        <v>1680</v>
      </c>
      <c r="F1075" s="1" t="s">
        <v>5605</v>
      </c>
      <c r="G1075" s="7" t="s">
        <v>5534</v>
      </c>
      <c r="H1075" s="7" t="s">
        <v>5534</v>
      </c>
      <c r="I1075" s="7"/>
      <c r="J1075" s="1" t="s">
        <v>5606</v>
      </c>
      <c r="K1075" s="1" t="s">
        <v>1648</v>
      </c>
      <c r="L1075" s="39" t="s">
        <v>1717</v>
      </c>
    </row>
    <row r="1076" spans="1:12" ht="54" customHeight="1">
      <c r="A1076" s="1">
        <v>172</v>
      </c>
      <c r="B1076" s="1" t="s">
        <v>5607</v>
      </c>
      <c r="C1076" s="1" t="s">
        <v>5608</v>
      </c>
      <c r="D1076" s="1" t="s">
        <v>5520</v>
      </c>
      <c r="E1076" s="1" t="s">
        <v>1680</v>
      </c>
      <c r="F1076" s="1" t="s">
        <v>5609</v>
      </c>
      <c r="G1076" s="7" t="s">
        <v>2365</v>
      </c>
      <c r="H1076" s="7" t="s">
        <v>2365</v>
      </c>
      <c r="K1076" s="1" t="s">
        <v>1682</v>
      </c>
      <c r="L1076" s="39" t="s">
        <v>2383</v>
      </c>
    </row>
    <row r="1077" spans="1:12" ht="54" customHeight="1">
      <c r="A1077" s="1">
        <v>477</v>
      </c>
      <c r="B1077" s="1" t="s">
        <v>5610</v>
      </c>
      <c r="C1077" s="1" t="s">
        <v>5611</v>
      </c>
      <c r="D1077" s="1" t="s">
        <v>5520</v>
      </c>
      <c r="E1077" s="1" t="s">
        <v>1680</v>
      </c>
      <c r="F1077" s="1" t="s">
        <v>5612</v>
      </c>
      <c r="G1077" s="7" t="s">
        <v>3554</v>
      </c>
      <c r="H1077" s="14" t="s">
        <v>3554</v>
      </c>
      <c r="I1077" s="14"/>
      <c r="K1077" s="1" t="s">
        <v>1682</v>
      </c>
      <c r="L1077" s="39" t="s">
        <v>2383</v>
      </c>
    </row>
    <row r="1078" spans="1:12" ht="54" customHeight="1">
      <c r="A1078" s="1">
        <v>331</v>
      </c>
      <c r="B1078" s="1" t="s">
        <v>5613</v>
      </c>
      <c r="C1078" s="1" t="s">
        <v>5614</v>
      </c>
      <c r="D1078" s="1" t="s">
        <v>5520</v>
      </c>
      <c r="E1078" s="1" t="s">
        <v>1680</v>
      </c>
      <c r="F1078" s="1" t="s">
        <v>5615</v>
      </c>
      <c r="G1078" s="7" t="s">
        <v>2365</v>
      </c>
      <c r="H1078" s="14" t="s">
        <v>2365</v>
      </c>
      <c r="I1078" s="25" t="s">
        <v>20</v>
      </c>
      <c r="K1078" s="1" t="s">
        <v>1682</v>
      </c>
      <c r="L1078" s="39" t="s">
        <v>1683</v>
      </c>
    </row>
    <row r="1079" spans="1:12" ht="54" customHeight="1">
      <c r="A1079" s="1">
        <v>49733</v>
      </c>
      <c r="B1079" s="1" t="s">
        <v>5616</v>
      </c>
      <c r="C1079" s="1" t="s">
        <v>5617</v>
      </c>
      <c r="D1079" s="1" t="s">
        <v>5520</v>
      </c>
      <c r="F1079" s="1" t="s">
        <v>5618</v>
      </c>
      <c r="G1079" s="6"/>
    </row>
    <row r="1080" spans="1:12" ht="54" customHeight="1">
      <c r="A1080" s="1">
        <v>49741</v>
      </c>
      <c r="B1080" s="1" t="s">
        <v>5619</v>
      </c>
      <c r="C1080" s="1" t="s">
        <v>5620</v>
      </c>
      <c r="D1080" s="1" t="s">
        <v>5520</v>
      </c>
      <c r="F1080" s="1" t="s">
        <v>5621</v>
      </c>
      <c r="G1080" s="6"/>
      <c r="K1080" s="1" t="s">
        <v>1648</v>
      </c>
      <c r="L1080" s="39" t="s">
        <v>1717</v>
      </c>
    </row>
    <row r="1081" spans="1:12" ht="54" customHeight="1">
      <c r="A1081" s="1">
        <v>49760</v>
      </c>
      <c r="B1081" s="1" t="s">
        <v>5622</v>
      </c>
      <c r="C1081" s="1" t="s">
        <v>5623</v>
      </c>
      <c r="D1081" s="1" t="s">
        <v>5520</v>
      </c>
      <c r="F1081" s="1" t="s">
        <v>5624</v>
      </c>
      <c r="G1081" s="6"/>
    </row>
    <row r="1082" spans="1:12" ht="54" customHeight="1">
      <c r="A1082" s="1">
        <v>49764</v>
      </c>
      <c r="B1082" s="1" t="s">
        <v>5625</v>
      </c>
      <c r="C1082" s="1" t="s">
        <v>5626</v>
      </c>
      <c r="D1082" s="1" t="s">
        <v>5520</v>
      </c>
      <c r="F1082" s="1" t="s">
        <v>5627</v>
      </c>
      <c r="G1082" s="7" t="s">
        <v>25</v>
      </c>
      <c r="J1082" s="1" t="s">
        <v>5628</v>
      </c>
    </row>
    <row r="1083" spans="1:12" ht="54" customHeight="1">
      <c r="A1083" s="1">
        <v>49765</v>
      </c>
      <c r="B1083" s="1" t="s">
        <v>5629</v>
      </c>
      <c r="C1083" s="1" t="s">
        <v>5630</v>
      </c>
      <c r="D1083" s="1" t="s">
        <v>5520</v>
      </c>
      <c r="F1083" s="1" t="s">
        <v>5631</v>
      </c>
      <c r="G1083" s="6"/>
      <c r="K1083" s="1" t="s">
        <v>1648</v>
      </c>
      <c r="L1083" s="39" t="s">
        <v>1717</v>
      </c>
    </row>
    <row r="1084" spans="1:12" ht="54" customHeight="1">
      <c r="A1084" s="1">
        <v>81323</v>
      </c>
      <c r="B1084" s="1" t="s">
        <v>5632</v>
      </c>
      <c r="C1084" s="1" t="s">
        <v>5633</v>
      </c>
      <c r="D1084" s="1" t="s">
        <v>5520</v>
      </c>
      <c r="F1084" s="1" t="s">
        <v>5634</v>
      </c>
      <c r="G1084" s="6"/>
    </row>
    <row r="1085" spans="1:12" ht="54" customHeight="1">
      <c r="A1085" s="1">
        <v>49770</v>
      </c>
      <c r="B1085" s="1" t="s">
        <v>5635</v>
      </c>
      <c r="C1085" s="1" t="s">
        <v>5636</v>
      </c>
      <c r="D1085" s="1" t="s">
        <v>5520</v>
      </c>
      <c r="F1085" s="1" t="s">
        <v>5637</v>
      </c>
      <c r="G1085" s="6"/>
    </row>
    <row r="1086" spans="1:12" ht="54" customHeight="1">
      <c r="A1086" s="1">
        <v>49772</v>
      </c>
      <c r="B1086" s="1" t="s">
        <v>5638</v>
      </c>
      <c r="C1086" s="1" t="s">
        <v>5639</v>
      </c>
      <c r="D1086" s="1" t="s">
        <v>5520</v>
      </c>
      <c r="F1086" s="1" t="s">
        <v>5640</v>
      </c>
      <c r="G1086" s="7" t="s">
        <v>18</v>
      </c>
      <c r="H1086" s="14" t="s">
        <v>18</v>
      </c>
      <c r="I1086" s="25" t="s">
        <v>20</v>
      </c>
    </row>
    <row r="1087" spans="1:12" ht="54" customHeight="1">
      <c r="A1087" s="1">
        <v>49793</v>
      </c>
      <c r="B1087" s="1" t="s">
        <v>5641</v>
      </c>
      <c r="C1087" s="1" t="s">
        <v>5642</v>
      </c>
      <c r="D1087" s="1" t="s">
        <v>5520</v>
      </c>
      <c r="F1087" s="1" t="s">
        <v>5643</v>
      </c>
      <c r="G1087" s="6"/>
      <c r="J1087" s="1" t="s">
        <v>5644</v>
      </c>
    </row>
    <row r="1088" spans="1:12" ht="54" customHeight="1">
      <c r="A1088" s="1">
        <v>98</v>
      </c>
      <c r="B1088" s="1" t="s">
        <v>5645</v>
      </c>
      <c r="C1088" s="1" t="s">
        <v>5646</v>
      </c>
      <c r="E1088" s="1" t="s">
        <v>1653</v>
      </c>
      <c r="F1088" s="1" t="s">
        <v>5647</v>
      </c>
      <c r="G1088" s="6"/>
    </row>
    <row r="1089" spans="1:12" ht="54" customHeight="1">
      <c r="A1089" s="1">
        <v>856</v>
      </c>
      <c r="B1089" s="1" t="s">
        <v>5648</v>
      </c>
      <c r="C1089" s="1" t="s">
        <v>5649</v>
      </c>
      <c r="E1089" s="1" t="s">
        <v>1653</v>
      </c>
      <c r="F1089" s="1" t="s">
        <v>5650</v>
      </c>
      <c r="G1089" s="7" t="s">
        <v>1373</v>
      </c>
      <c r="H1089" s="14" t="s">
        <v>5651</v>
      </c>
      <c r="I1089" s="14" t="s">
        <v>20</v>
      </c>
      <c r="J1089" s="1" t="s">
        <v>5652</v>
      </c>
      <c r="K1089" s="1" t="s">
        <v>1648</v>
      </c>
      <c r="L1089" s="39" t="s">
        <v>1704</v>
      </c>
    </row>
    <row r="1090" spans="1:12" ht="54" customHeight="1">
      <c r="A1090" s="1">
        <v>683</v>
      </c>
      <c r="B1090" s="1" t="s">
        <v>5653</v>
      </c>
      <c r="C1090" s="1" t="s">
        <v>5654</v>
      </c>
      <c r="E1090" s="1" t="s">
        <v>1646</v>
      </c>
      <c r="F1090" s="1" t="s">
        <v>5655</v>
      </c>
      <c r="G1090" s="7" t="s">
        <v>366</v>
      </c>
      <c r="H1090" s="14" t="s">
        <v>366</v>
      </c>
      <c r="I1090" s="10"/>
      <c r="K1090" s="1" t="s">
        <v>1648</v>
      </c>
      <c r="L1090" s="1" t="s">
        <v>1649</v>
      </c>
    </row>
    <row r="1091" spans="1:12" ht="54" customHeight="1">
      <c r="A1091" s="1">
        <v>448</v>
      </c>
      <c r="B1091" s="1" t="s">
        <v>5656</v>
      </c>
      <c r="C1091" s="1" t="s">
        <v>5657</v>
      </c>
      <c r="E1091" s="1" t="s">
        <v>1657</v>
      </c>
      <c r="F1091" s="1" t="s">
        <v>5658</v>
      </c>
      <c r="G1091" s="6"/>
      <c r="K1091" s="1" t="s">
        <v>1648</v>
      </c>
      <c r="L1091" s="39" t="s">
        <v>1659</v>
      </c>
    </row>
  </sheetData>
  <autoFilter ref="F1:F1091" xr:uid="{BCE5414D-152E-1346-B9CC-4DE3FA35C9ED}"/>
  <sortState xmlns:xlrd2="http://schemas.microsoft.com/office/spreadsheetml/2017/richdata2" ref="A2:M1091">
    <sortCondition descending="1" ref="D2:D1091"/>
  </sortState>
  <hyperlinks>
    <hyperlink ref="G805" r:id="rId1" xr:uid="{7277314B-19BA-486B-9112-C815D5F14FF0}"/>
    <hyperlink ref="G573" r:id="rId2" xr:uid="{0C74486F-3090-4EF8-9C22-EF7EBE884412}"/>
    <hyperlink ref="G955" r:id="rId3" xr:uid="{F21FC278-FB99-4535-BA01-A01C3F472EE4}"/>
    <hyperlink ref="G84" r:id="rId4" xr:uid="{99773B31-92CC-4DBC-B5AA-EAA21910CB4B}"/>
    <hyperlink ref="G774" r:id="rId5" xr:uid="{432055F1-4ECD-4746-AE93-240927330CC7}"/>
    <hyperlink ref="G961" r:id="rId6" xr:uid="{DD4EA630-8414-4254-8E32-A62F527DD198}"/>
    <hyperlink ref="G286" r:id="rId7" xr:uid="{07506D35-7B4E-4C08-B0FD-DB3FB0FC16EA}"/>
    <hyperlink ref="G693" r:id="rId8" xr:uid="{88D2558E-12FA-44BF-854F-26A47F56873C}"/>
    <hyperlink ref="G21" r:id="rId9" xr:uid="{42501C11-9466-42A8-9F1A-796E706705E0}"/>
    <hyperlink ref="C682" r:id="rId10" xr:uid="{7E266818-C4DC-44F8-844A-A0AB57791CE0}"/>
    <hyperlink ref="G417" r:id="rId11" xr:uid="{CB56C681-8B89-40AF-ABAD-5D58920CADD9}"/>
    <hyperlink ref="G665" r:id="rId12" xr:uid="{86DC249C-9D8C-45A0-A20D-28DACAB621B4}"/>
    <hyperlink ref="G666" r:id="rId13" xr:uid="{87681F1B-37DA-4CC2-A2EB-78FCB7333678}"/>
    <hyperlink ref="G96" r:id="rId14" xr:uid="{88D41299-4E31-4F36-916A-53A12D8FA44A}"/>
    <hyperlink ref="G97" r:id="rId15" xr:uid="{D3E29CA8-DC7E-411B-98D8-4D7E8691C7DD}"/>
    <hyperlink ref="G98" r:id="rId16" xr:uid="{5B67BD79-FD99-4D73-B8A7-822DB6DB771E}"/>
    <hyperlink ref="G2" r:id="rId17" xr:uid="{0A2DEE4B-DC71-4628-A5A0-ED6947A710CD}"/>
    <hyperlink ref="G419" r:id="rId18" xr:uid="{D481DA99-7DC4-4591-8928-246F6E1740CC}"/>
    <hyperlink ref="C84" r:id="rId19" xr:uid="{110B0F11-0514-4B1A-9105-D1FB2BDA7754}"/>
    <hyperlink ref="G100" r:id="rId20" xr:uid="{AF63D8A0-EE3C-45D2-B769-1415BC2BF2CC}"/>
    <hyperlink ref="G104" r:id="rId21" xr:uid="{8B57A9D0-DC84-40A5-AAB2-3C97297B26F2}"/>
    <hyperlink ref="G668" r:id="rId22" xr:uid="{26BF99F2-DFD3-4170-8B3C-2AC301C66286}"/>
    <hyperlink ref="G422" r:id="rId23" xr:uid="{AF0D4408-CA40-4396-B58E-2D2F1B467A39}"/>
    <hyperlink ref="G669" r:id="rId24" xr:uid="{AEFAB820-CA8A-4375-B351-35508C0521F4}"/>
    <hyperlink ref="G107" r:id="rId25" xr:uid="{750992CE-A333-4147-A202-FEADDF45D5C0}"/>
    <hyperlink ref="G23" r:id="rId26" xr:uid="{13D65B29-B873-4427-947F-16FE6EE79029}"/>
    <hyperlink ref="G934" r:id="rId27" xr:uid="{65F38B7A-BCFF-4664-86DC-EEB0A9CD08BA}"/>
    <hyperlink ref="C23" r:id="rId28" xr:uid="{8E5E2AC2-9AF5-489C-8F54-E0A510D6843D}"/>
    <hyperlink ref="C891" r:id="rId29" xr:uid="{64BBB1B7-EA4B-4E44-967B-F19EA0BEA9E6}"/>
    <hyperlink ref="C275" r:id="rId30" xr:uid="{7B2CC1F0-AEA5-4884-B2BF-DC309BA5C7CA}"/>
    <hyperlink ref="G275" r:id="rId31" xr:uid="{53F3844B-190E-4AB8-851A-85FB51FFEB16}"/>
    <hyperlink ref="G259" r:id="rId32" xr:uid="{3361B49F-C389-455B-9F7B-608559AF8C07}"/>
    <hyperlink ref="C882" r:id="rId33" xr:uid="{741F0121-5077-4B97-BC56-82FDF7352E9A}"/>
    <hyperlink ref="C1026" r:id="rId34" xr:uid="{3D05DCBD-7ABF-4012-85A5-B09CC7534956}"/>
    <hyperlink ref="G1086" r:id="rId35" xr:uid="{49547B80-7456-4D0B-9484-61DDB0525F26}"/>
    <hyperlink ref="C970" r:id="rId36" xr:uid="{AA9B8CB6-5FC7-4A70-9D5B-61563E635D14}"/>
    <hyperlink ref="C876" r:id="rId37" xr:uid="{298CC59C-D4A7-4006-A5E7-B8065B476CFC}"/>
    <hyperlink ref="G876" r:id="rId38" xr:uid="{C5EE4D6B-8902-4057-8172-1915A58EF535}"/>
    <hyperlink ref="G142" r:id="rId39" xr:uid="{B0F77E90-D2AB-437C-AA56-CEE96095A10E}"/>
    <hyperlink ref="G143" r:id="rId40" xr:uid="{F604D2EF-039B-496B-8573-0076433F36EB}"/>
    <hyperlink ref="G144" r:id="rId41" xr:uid="{FCA00E17-2A02-4987-BE90-2F1AABE20A5A}"/>
    <hyperlink ref="G524" r:id="rId42" xr:uid="{42A21B46-8DEB-494E-9393-36D2C43F24CE}"/>
    <hyperlink ref="G527" r:id="rId43" xr:uid="{138877FE-57E1-4C72-9A2E-460D1EFC44E0}"/>
    <hyperlink ref="G170" r:id="rId44" xr:uid="{F4E845F0-2062-4E3D-9B9D-AB3B21C1C9EF}"/>
    <hyperlink ref="G510" r:id="rId45" xr:uid="{EC5B6CB5-1A50-4634-A62A-3A179D36611C}"/>
    <hyperlink ref="G512" r:id="rId46" xr:uid="{97F4E06F-D6B6-455C-BD42-B5AE28DEBC53}"/>
    <hyperlink ref="G300" r:id="rId47" xr:uid="{4078A3B9-7242-414D-9EB9-27320AB89369}"/>
    <hyperlink ref="G657" r:id="rId48" xr:uid="{647E9D31-3B47-41A6-B954-D0CBE8825F3A}"/>
    <hyperlink ref="G720" r:id="rId49" xr:uid="{22D06A6D-E7A0-4E92-B8EA-90359886AC72}"/>
    <hyperlink ref="G656" r:id="rId50" xr:uid="{915335FA-8502-4BDC-B2A7-76861CD99BCB}"/>
    <hyperlink ref="G342" r:id="rId51" xr:uid="{4A893DF4-3EAD-48FF-9057-8E422DF8FD5F}"/>
    <hyperlink ref="G936" r:id="rId52" xr:uid="{3A5923F4-4599-48A1-AE10-4745121747DE}"/>
    <hyperlink ref="G131" r:id="rId53" xr:uid="{DB2A54A9-FFE3-46BB-8DA3-02D47CFDD36C}"/>
    <hyperlink ref="G111" r:id="rId54" xr:uid="{D9E92536-654C-4FFE-9D52-645F3C282161}"/>
    <hyperlink ref="G155" r:id="rId55" xr:uid="{DEAF71A7-A1E2-4BA7-81FC-46184BFE5275}"/>
    <hyperlink ref="G168" r:id="rId56" xr:uid="{014AF64A-D94D-4289-875E-2CD47B4CA52E}"/>
    <hyperlink ref="C875" r:id="rId57" xr:uid="{B8278776-519E-4572-B461-A8D19C84ACDF}"/>
    <hyperlink ref="G172" r:id="rId58" xr:uid="{2AF2038B-088A-4077-871C-04773619F113}"/>
    <hyperlink ref="G174" r:id="rId59" xr:uid="{81B8EF9C-0B39-4737-A5D6-EFBD709BAB77}"/>
    <hyperlink ref="G157" r:id="rId60" xr:uid="{4355D61D-D76C-4862-B446-A2023AC30188}"/>
    <hyperlink ref="G180" r:id="rId61" xr:uid="{4C95009B-564E-4825-827D-4B1616346CCE}"/>
    <hyperlink ref="G156" r:id="rId62" xr:uid="{98CC84A5-F588-4671-BB39-92B16A3AA667}"/>
    <hyperlink ref="G163" r:id="rId63" xr:uid="{98EDE014-1ADC-4DCE-9463-14C2AF152C3F}"/>
    <hyperlink ref="C867" r:id="rId64" xr:uid="{F35BC3A6-DE51-4309-B8C3-D2050EC8EBBE}"/>
    <hyperlink ref="C985" r:id="rId65" xr:uid="{94659C09-F169-4920-AEF6-3CF59B29385F}"/>
    <hyperlink ref="C545" r:id="rId66" xr:uid="{A44185A7-2202-410F-A2AC-035DA85E38FB}"/>
    <hyperlink ref="G545" r:id="rId67" xr:uid="{CA4BD002-CBFB-4AAE-B650-2CA3E8577D11}"/>
    <hyperlink ref="G137" r:id="rId68" xr:uid="{86D5BC40-9579-4E81-85FD-9036C17E06AE}"/>
    <hyperlink ref="C1050" r:id="rId69" xr:uid="{20ECBCE0-6C2D-479F-A338-D90D47C0F18B}"/>
    <hyperlink ref="C948" r:id="rId70" xr:uid="{73871F96-92E6-4681-905C-EB0B1063C45E}"/>
    <hyperlink ref="C857" r:id="rId71" xr:uid="{2C70DFA0-A127-4652-83C3-4B5FBAB1C115}"/>
    <hyperlink ref="G1071" r:id="rId72" xr:uid="{894A80D7-4E46-4B1D-BFC2-A36CA48244F6}"/>
    <hyperlink ref="G857" r:id="rId73" xr:uid="{3C1BB803-D1EB-4ADA-BF56-BE180F6A794F}"/>
    <hyperlink ref="C984" r:id="rId74" xr:uid="{25E673A8-E227-41A1-886E-9497BC5B6949}"/>
    <hyperlink ref="G281" r:id="rId75" xr:uid="{C45E5A04-9936-465F-8FAA-D4D33B35C62F}"/>
    <hyperlink ref="C1021" r:id="rId76" xr:uid="{138F1FA3-CD56-484B-B6FF-8D1FFD1F2832}"/>
    <hyperlink ref="C850" r:id="rId77" xr:uid="{3C6B31FD-88F4-4E03-8A12-CBD42A6249EC}"/>
    <hyperlink ref="G1057" r:id="rId78" xr:uid="{351C44FB-2158-4377-909D-53EAE5B4E672}"/>
    <hyperlink ref="C845" r:id="rId79" xr:uid="{2C491E9F-173E-4322-B4FB-47ECBAAA6291}"/>
    <hyperlink ref="C844" r:id="rId80" xr:uid="{01DE7944-3D6B-41E9-9ADC-FC1A650CB474}"/>
    <hyperlink ref="C842" r:id="rId81" xr:uid="{D66221DF-1E3E-4189-96D6-1A8607D90009}"/>
    <hyperlink ref="C841" r:id="rId82" xr:uid="{7BD542D6-1845-45E1-870E-8F25F3019420}"/>
    <hyperlink ref="C993" r:id="rId83" xr:uid="{619ACBC3-D010-41E2-A8BD-74B0791758E8}"/>
    <hyperlink ref="G993" r:id="rId84" xr:uid="{173E16A3-ECE7-43C2-990A-6412D6A5C93A}"/>
    <hyperlink ref="G446" r:id="rId85" xr:uid="{D89C64E1-06F9-4A07-BF4B-9B98C4185D48}"/>
    <hyperlink ref="G1051" r:id="rId86" xr:uid="{8DFB8CF6-B840-45E0-BAB8-6FA4AEBD9ED3}"/>
    <hyperlink ref="C835" r:id="rId87" xr:uid="{0627DC02-E3B0-449F-8E79-8746608F040E}"/>
    <hyperlink ref="C836" r:id="rId88" xr:uid="{462CF153-F377-4A6F-91E8-19A588610CE4}"/>
    <hyperlink ref="C834" r:id="rId89" xr:uid="{78DEF845-3337-4555-961B-95A570FD931B}"/>
    <hyperlink ref="C831" r:id="rId90" xr:uid="{33910209-C957-4FEA-81B2-469DCD791D36}"/>
    <hyperlink ref="C806" r:id="rId91" xr:uid="{887E6C9D-8941-42B9-9FCF-EBA86427CF6F}"/>
    <hyperlink ref="G112" r:id="rId92" xr:uid="{762F8165-CB28-470A-8641-93A567033CCC}"/>
    <hyperlink ref="G185" r:id="rId93" xr:uid="{3386EE30-B448-4AD4-902E-FB262646DA9B}"/>
    <hyperlink ref="G184" r:id="rId94" xr:uid="{E6474748-ABEF-499A-8E43-C763A5D7162E}"/>
    <hyperlink ref="G186" r:id="rId95" xr:uid="{05E99218-1C02-4081-8996-BF04B2A150EE}"/>
    <hyperlink ref="G718" r:id="rId96" xr:uid="{8443EC53-3EDB-424B-A8AE-FD23139F5023}"/>
    <hyperlink ref="G560" r:id="rId97" xr:uid="{5A2E85DB-5FA3-45CC-B79E-66E0F87031B4}"/>
    <hyperlink ref="G291" r:id="rId98" xr:uid="{7A117EB5-066E-41A0-A36F-14A18E188544}"/>
    <hyperlink ref="G578" r:id="rId99" xr:uid="{81CA6806-00E5-4DB9-BA24-EDCA8378E51E}"/>
    <hyperlink ref="G577" r:id="rId100" xr:uid="{8598B2F7-B19D-4B5C-8BF5-1AE5D3C83F66}"/>
    <hyperlink ref="G575" r:id="rId101" xr:uid="{E1951AEB-6CDD-4039-B8D2-914C3B58573E}"/>
    <hyperlink ref="G574" r:id="rId102" xr:uid="{E4F05936-35B4-478D-8A4D-DCF0EFE4E524}"/>
    <hyperlink ref="G579" r:id="rId103" xr:uid="{4594F922-01B9-488E-BD16-CF26636EFBB3}"/>
    <hyperlink ref="G580" r:id="rId104" xr:uid="{BA99593C-3DEE-4A60-AC33-A5FCC4EC13E1}"/>
    <hyperlink ref="G581" r:id="rId105" xr:uid="{53D0DA34-3539-4D8B-930E-995EB570BC0B}"/>
    <hyperlink ref="G565" r:id="rId106" xr:uid="{941C1DDD-2958-4607-8AAF-E150867039DF}"/>
    <hyperlink ref="G582" r:id="rId107" xr:uid="{9FB7AF5E-D188-47F4-A892-FD4D80F24D13}"/>
    <hyperlink ref="G583" r:id="rId108" xr:uid="{263D6762-D909-465D-921D-7D554BD9036A}"/>
    <hyperlink ref="G1019" r:id="rId109" xr:uid="{EBE4B718-E287-4A50-9F36-2F7863C60FE4}"/>
    <hyperlink ref="G279" r:id="rId110" xr:uid="{2D07CA82-3909-4402-B9DC-26FEB8DF6FA7}"/>
    <hyperlink ref="G584" r:id="rId111" xr:uid="{AE48A47D-224E-4D36-B764-8F7C9533903C}"/>
    <hyperlink ref="G585" r:id="rId112" xr:uid="{2EAE3083-A9BC-40E7-8348-B5319B9C85B2}"/>
    <hyperlink ref="G586" r:id="rId113" xr:uid="{228A9112-D23B-4F2E-913B-1B491AF318B8}"/>
    <hyperlink ref="G588" r:id="rId114" xr:uid="{F9639335-45EC-4F2B-9BCA-6136169082F0}"/>
    <hyperlink ref="G1015" r:id="rId115" xr:uid="{3A1DEF76-DFED-46B1-8C5B-0B0227F45951}"/>
    <hyperlink ref="G939" r:id="rId116" xr:uid="{6052DF96-B619-4BD6-8770-280DD0346ED3}"/>
    <hyperlink ref="G187" r:id="rId117" xr:uid="{8420E186-BD93-4EED-9042-877DBB8E7654}"/>
    <hyperlink ref="G208" r:id="rId118" xr:uid="{1A7B9ECE-3755-4FAA-AACC-2B68A0139780}"/>
    <hyperlink ref="G1040" r:id="rId119" xr:uid="{E88B5079-407A-4157-82C7-F2F314BE931C}"/>
    <hyperlink ref="G126" r:id="rId120" xr:uid="{22C69B00-1692-4164-9229-A6F257E61754}"/>
    <hyperlink ref="G433" r:id="rId121" xr:uid="{29DC0020-B97D-4E4C-9407-A0821A330FFA}"/>
    <hyperlink ref="G933" r:id="rId122" xr:uid="{AF29E342-CAF0-4563-A936-21E48532F1E6}"/>
    <hyperlink ref="G421" r:id="rId123" xr:uid="{6B00FADE-A74B-4EFD-BADD-5F950F071B86}"/>
    <hyperlink ref="G424" r:id="rId124" xr:uid="{C7A8355A-7BCC-4ECD-976B-FB9E4BB4A067}"/>
    <hyperlink ref="G1064" r:id="rId125" xr:uid="{95404DDC-C942-44EC-952B-9BBF92FD9581}"/>
    <hyperlink ref="G235" r:id="rId126" xr:uid="{E7B82916-8415-4D7B-9942-FCCC7B306E21}"/>
    <hyperlink ref="G93" r:id="rId127" xr:uid="{7607759F-4EB4-4ABA-BD61-5BB13970FB45}"/>
    <hyperlink ref="G1038" r:id="rId128" xr:uid="{7F603712-3712-4382-B85F-F9B329DF8240}"/>
    <hyperlink ref="G880" r:id="rId129" xr:uid="{3367B7ED-1479-4A41-84A6-E26B52B668AC}"/>
    <hyperlink ref="G676" r:id="rId130" xr:uid="{DAF39813-B2F1-45EF-A6FD-0387BCD5894B}"/>
    <hyperlink ref="G15" r:id="rId131" xr:uid="{CC7FE0D6-0418-4F9B-8BA4-A57B6D518DF3}"/>
    <hyperlink ref="G34" r:id="rId132" xr:uid="{3AACE5C6-C0E3-483B-8E37-1ECCC2227F27}"/>
    <hyperlink ref="G919" r:id="rId133" xr:uid="{F0D32680-C2F8-434C-A144-2D7D1BDC0A8D}"/>
    <hyperlink ref="G339" r:id="rId134" xr:uid="{7A2FE736-B1A2-4A3B-96E6-EFA6489F61E4}"/>
    <hyperlink ref="G211" r:id="rId135" xr:uid="{E6A91A54-236B-4780-A557-C732058CF829}"/>
    <hyperlink ref="G113" r:id="rId136" xr:uid="{82A2EC13-EC53-44FB-9484-44DC033EC14B}"/>
    <hyperlink ref="G70" r:id="rId137" xr:uid="{1121412F-DE2C-4C9E-8873-7B8BA71B317D}"/>
    <hyperlink ref="G71" r:id="rId138" xr:uid="{15A66281-AEE5-46C6-ACA6-9555BEACBA7D}"/>
    <hyperlink ref="G33" r:id="rId139" xr:uid="{085041E2-19AB-41C5-927C-5320961B7FC9}"/>
    <hyperlink ref="G737" r:id="rId140" xr:uid="{E3ECED31-CCB7-4AD0-BC31-1FC5F3491294}"/>
    <hyperlink ref="G380" r:id="rId141" xr:uid="{3AECCE0B-549A-4666-9472-9E12A358A988}"/>
    <hyperlink ref="G245" r:id="rId142" xr:uid="{6D8D449D-AFA5-4E41-BB17-1E5CE69B2892}"/>
    <hyperlink ref="G213" r:id="rId143" xr:uid="{0C2EBBBB-277C-461D-BBD1-C998FE9D161B}"/>
    <hyperlink ref="G35" r:id="rId144" xr:uid="{76DFE322-AB54-49B5-AFE7-822D2E00CCD5}"/>
    <hyperlink ref="G81" r:id="rId145" xr:uid="{1F902D1F-C85E-4FDE-8915-F708977F7160}"/>
    <hyperlink ref="G169" r:id="rId146" xr:uid="{F6EDAFB0-D038-43EC-AA55-235D0344E5B5}"/>
    <hyperlink ref="G323" r:id="rId147" xr:uid="{30169E38-8CF9-4C25-8163-D6EBB8CF893B}"/>
    <hyperlink ref="G148" r:id="rId148" xr:uid="{476CAA86-48AF-4046-A346-F22E976BA64A}"/>
    <hyperlink ref="G1066" r:id="rId149" xr:uid="{F3503382-612A-4796-BAEE-6ACC21EA8838}"/>
    <hyperlink ref="G149" r:id="rId150" xr:uid="{087CF989-79D1-4089-94E4-375249D851B8}"/>
    <hyperlink ref="G36" r:id="rId151" xr:uid="{6E30E9A7-9AB2-4A60-8F37-C17B51AFBA85}"/>
    <hyperlink ref="G1068" r:id="rId152" xr:uid="{6DAE0A48-7DA9-48F0-9253-2F03EF9D94E0}"/>
    <hyperlink ref="G950" r:id="rId153" xr:uid="{C92D2CC4-953F-48AC-8F43-93CEE6B30B1F}"/>
    <hyperlink ref="G680" r:id="rId154" xr:uid="{1CD5739B-65EF-4CA6-A95A-0415A5875483}"/>
    <hyperlink ref="G654" r:id="rId155" xr:uid="{F0891B36-318D-4C9E-8EA0-13FC489E6DF6}"/>
    <hyperlink ref="G152" r:id="rId156" xr:uid="{8A6D1CF6-E680-4E73-9FBD-D156A29CD845}"/>
    <hyperlink ref="G153" r:id="rId157" xr:uid="{7CA97498-75F2-444C-B057-27AE118AB094}"/>
    <hyperlink ref="G31" r:id="rId158" xr:uid="{D6C9E2B3-9766-4E42-B89D-46CCFF37D0CD}"/>
    <hyperlink ref="G941" r:id="rId159" xr:uid="{6A6704B4-FF35-40E8-8480-E315FA4EFF12}"/>
    <hyperlink ref="G1055" r:id="rId160" xr:uid="{655ED801-2EDB-41E1-831C-14A3DEB055E9}"/>
    <hyperlink ref="G649" r:id="rId161" xr:uid="{EAF1DFD2-638C-4039-BD60-5243E4A7C3FC}"/>
    <hyperlink ref="G673" r:id="rId162" xr:uid="{D8DFFD60-F682-4C04-9943-3F25AD295769}"/>
    <hyperlink ref="G589" r:id="rId163" xr:uid="{7965D69F-DDB4-461D-B45E-301EB868327A}"/>
    <hyperlink ref="G118" r:id="rId164" xr:uid="{A0205285-8EAC-4C09-B795-571ED55BF989}"/>
    <hyperlink ref="G590" r:id="rId165" xr:uid="{537626F0-E390-4601-9ED7-23D48E6488B5}"/>
    <hyperlink ref="G119" r:id="rId166" xr:uid="{82D3CCD2-FE6D-4EC1-B177-4576453A181B}"/>
    <hyperlink ref="G591" r:id="rId167" xr:uid="{10191ECD-D604-42D0-91C2-E896544BABCF}"/>
    <hyperlink ref="G16" r:id="rId168" xr:uid="{E52957A0-5BB0-467C-9A71-AEAF452A786B}"/>
    <hyperlink ref="G425" r:id="rId169" xr:uid="{3EE02B50-233E-46FA-891D-0F5D0652ADC1}"/>
    <hyperlink ref="G1045" r:id="rId170" xr:uid="{36A259BE-CB38-4239-946B-7692A5A08BBB}"/>
    <hyperlink ref="G430" r:id="rId171" xr:uid="{D72B4213-4EE8-4AE1-8533-697649D41EA3}"/>
    <hyperlink ref="G123" r:id="rId172" xr:uid="{21442D4E-F6E7-43AB-B6B9-5612821E7727}"/>
    <hyperlink ref="G426" r:id="rId173" xr:uid="{5F172E32-EB93-406F-B258-69B17C9AFB77}"/>
    <hyperlink ref="G1039" r:id="rId174" xr:uid="{44F03A7D-DDEC-4F88-B449-0BBE00752304}"/>
    <hyperlink ref="G703" r:id="rId175" xr:uid="{E4DBFF30-D9EF-4800-A593-56BDC004A677}"/>
    <hyperlink ref="G124" r:id="rId176" xr:uid="{639313FB-AA58-44DE-A493-9C7CF14CC822}"/>
    <hyperlink ref="G944" r:id="rId177" xr:uid="{739F1D7E-20CB-49CB-8D65-5D822B1B4F28}"/>
    <hyperlink ref="G650" r:id="rId178" xr:uid="{538814BC-16AD-4691-BD47-3796E1B03DFE}"/>
    <hyperlink ref="G130" r:id="rId179" xr:uid="{B48BFF98-A3F0-4BED-AA3D-86594A6CA3E9}"/>
    <hyperlink ref="G435" r:id="rId180" xr:uid="{6D103C25-F1DD-4357-BF0A-023FC238B4CF}"/>
    <hyperlink ref="G769" r:id="rId181" xr:uid="{A10A62FD-CAD9-42F9-886A-49AA029918C2}"/>
    <hyperlink ref="G438" r:id="rId182" xr:uid="{7BAAABB1-2677-47B1-AE0E-7AA119F78A42}"/>
    <hyperlink ref="G114" r:id="rId183" xr:uid="{07CFFB5F-5021-4C24-8D7B-A40716B55E45}"/>
    <hyperlink ref="G115" r:id="rId184" xr:uid="{3C69AFE9-D7BF-4411-B896-DEA736564BB4}"/>
    <hyperlink ref="G37" r:id="rId185" xr:uid="{9C83D2CC-5D88-414C-A998-CEF41F5688A1}"/>
    <hyperlink ref="G14" r:id="rId186" xr:uid="{4B227B0C-FD07-437F-A46A-86DC11D2465C}"/>
    <hyperlink ref="G592" r:id="rId187" xr:uid="{58620380-8B0F-4E51-9F60-235A9383BDEC}"/>
    <hyperlink ref="G252" r:id="rId188" xr:uid="{85BC8E20-FBF6-4258-BBA0-2D14FCB25895}"/>
    <hyperlink ref="G862" r:id="rId189" xr:uid="{2D007A4E-1E66-4DA1-8786-D0D706D6F823}"/>
    <hyperlink ref="G383" r:id="rId190" xr:uid="{2B2B23D9-DF30-4796-A510-8A864737F51E}"/>
    <hyperlink ref="G1089" r:id="rId191" xr:uid="{92960B8F-AFF5-4B49-A3BC-1C90C55D6357}"/>
    <hyperlink ref="G1074" r:id="rId192" xr:uid="{614A30CE-C9DD-4981-ABB8-8F46255F7E2C}"/>
    <hyperlink ref="G773" r:id="rId193" xr:uid="{BEA67797-33E0-4E57-AF2F-D0491EAAD575}"/>
    <hyperlink ref="G301" r:id="rId194" xr:uid="{73BE387A-2210-4DAA-A7D4-CBD3CEB58FA2}"/>
    <hyperlink ref="G321" r:id="rId195" xr:uid="{B10FA246-9400-4C43-8C6F-5AA261695276}"/>
    <hyperlink ref="G801" r:id="rId196" xr:uid="{D0419FD2-7034-4B3B-AD95-603AA1B49AD8}"/>
    <hyperlink ref="G243" r:id="rId197" xr:uid="{0879DF6B-BA95-408E-8F11-28C85848EC01}"/>
    <hyperlink ref="G732" r:id="rId198" xr:uid="{8D15AD35-00ED-454F-80ED-F64A6F3A8C6D}"/>
    <hyperlink ref="G395" r:id="rId199" xr:uid="{768AAF37-049B-43BB-9ECF-A39D7684013C}"/>
    <hyperlink ref="G775" r:id="rId200" xr:uid="{9E05C834-2F85-4975-969F-10CBE6A15429}"/>
    <hyperlink ref="G219" r:id="rId201" xr:uid="{E5AF43BA-1C09-49DA-BC5E-379F0E079337}"/>
    <hyperlink ref="G442" r:id="rId202" xr:uid="{AFE52B5E-D0C1-443F-A60C-60F609BCC942}"/>
    <hyperlink ref="G368" r:id="rId203" xr:uid="{D6915EEE-EA47-4767-8CE8-187979A1BFD5}"/>
    <hyperlink ref="G770" r:id="rId204" xr:uid="{071D6103-EA79-490D-8972-C2649E65DFF4}"/>
    <hyperlink ref="G292" r:id="rId205" xr:uid="{0CE0F289-FF97-4681-B4A5-EA82B24EF74C}"/>
    <hyperlink ref="G772" r:id="rId206" xr:uid="{98AE6C8B-26BF-42B9-8D5D-23550072CD46}"/>
    <hyperlink ref="G563" r:id="rId207" xr:uid="{92B603D1-5FD1-4FBB-838D-1F9AF2AED82C}"/>
    <hyperlink ref="G215" r:id="rId208" xr:uid="{F8D741C3-4D22-4F75-994A-A7CB51D5CB24}"/>
    <hyperlink ref="G1023" r:id="rId209" xr:uid="{881728FE-E241-4920-9387-9F9825990E9D}"/>
    <hyperlink ref="G925" r:id="rId210" xr:uid="{A389FC60-D991-437D-A216-F4396F3E00B2}"/>
    <hyperlink ref="G38" r:id="rId211" xr:uid="{6C3088CD-DFE4-46D0-89EE-72AF734EFEA5}"/>
    <hyperlink ref="G593" r:id="rId212" xr:uid="{5C1973D5-4E97-405B-85CD-88E86F3FC0B9}"/>
    <hyperlink ref="G138" r:id="rId213" xr:uid="{2CC6ADE9-81A3-4A67-959D-360577F92FA4}"/>
    <hyperlink ref="G1059" r:id="rId214" xr:uid="{90A4729C-8C63-4CC8-9651-DA4541039A06}"/>
    <hyperlink ref="G221" r:id="rId215" xr:uid="{0E1311C8-A12A-4D21-8F81-780C12F59652}"/>
    <hyperlink ref="G594" r:id="rId216" xr:uid="{BDAAB511-4144-42DB-9812-27136CC1A655}"/>
    <hyperlink ref="G1048" r:id="rId217" xr:uid="{43FC7DA8-FECB-4493-A65E-6272A8D4639C}"/>
    <hyperlink ref="G140" r:id="rId218" xr:uid="{58BE2FFA-B01C-4D43-B501-B1EC35B16F84}"/>
    <hyperlink ref="G141" r:id="rId219" xr:uid="{ACA00B75-CA27-4465-B805-8B262160AEDB}"/>
    <hyperlink ref="G4" r:id="rId220" xr:uid="{578FC2A9-8102-4B56-B5D0-F7A678F2BB42}"/>
    <hyperlink ref="G32" r:id="rId221" xr:uid="{96241A09-9925-4BD8-AA08-DFDCB082D08B}"/>
    <hyperlink ref="G90" r:id="rId222" xr:uid="{2FCDAA6B-7162-4655-8619-D93923E2730C}"/>
    <hyperlink ref="G427" r:id="rId223" xr:uid="{B7B4651E-7709-4E23-8A8C-4B240F78C94E}"/>
    <hyperlink ref="G447" r:id="rId224" xr:uid="{2495B0D6-812D-43CF-91DB-43BE7222F866}"/>
    <hyperlink ref="G146" r:id="rId225" xr:uid="{018BFD5F-77CC-46C3-8BB2-88CECE1C40C5}"/>
    <hyperlink ref="G29" r:id="rId226" xr:uid="{131C5AC7-F97B-49F0-A412-39AB06998979}"/>
    <hyperlink ref="G505" r:id="rId227" xr:uid="{791E0E22-895A-455C-8549-27585A812062}"/>
    <hyperlink ref="G1061" r:id="rId228" xr:uid="{3A005BDC-6FD2-4099-86A7-12A4CC44DC35}"/>
    <hyperlink ref="G1062" r:id="rId229" xr:uid="{7F894F8D-EB37-48C3-B299-4933E2E9CDAC}"/>
    <hyperlink ref="G196" r:id="rId230" xr:uid="{D269BEEA-CCF8-4E28-AC2F-42879AE08873}"/>
    <hyperlink ref="G1063" r:id="rId231" xr:uid="{3654E29F-E8EB-47AF-AE7B-49702B4D6D10}"/>
    <hyperlink ref="G664" r:id="rId232" xr:uid="{13D6BFD1-88B9-44F7-9896-6F938E1440A4}"/>
    <hyperlink ref="G17" r:id="rId233" xr:uid="{90E70938-CD99-4E33-A257-80800C259112}"/>
    <hyperlink ref="G739" r:id="rId234" xr:uid="{2B001E50-ED8E-400E-BD3A-BA32ABE8D00D}"/>
    <hyperlink ref="G555" r:id="rId235" xr:uid="{302541BC-D37A-4E87-A57C-5985D437B958}"/>
    <hyperlink ref="G551" r:id="rId236" xr:uid="{8699DEF6-5588-4DF4-B916-4884853EC932}"/>
    <hyperlink ref="G150" r:id="rId237" xr:uid="{25D1EAEE-6422-4F8B-885C-ADC765E5F6BA}"/>
    <hyperlink ref="H574" r:id="rId238" xr:uid="{F3AD2205-EBEC-444A-A4F0-3AAD8B55124A}"/>
    <hyperlink ref="G719" r:id="rId239" xr:uid="{41AD0B69-8261-4F08-B20A-78D01CC65089}"/>
    <hyperlink ref="G721" r:id="rId240" xr:uid="{B37E7E5D-0577-46EF-87FB-2610C6F3A2B3}"/>
    <hyperlink ref="G308" r:id="rId241" xr:uid="{CD40A127-D098-497D-8999-294CCBB4C09D}"/>
    <hyperlink ref="G312" r:id="rId242" xr:uid="{F86B381A-6BB0-4332-BDFE-D964246538EE}"/>
    <hyperlink ref="G559" r:id="rId243" xr:uid="{E2E4589F-B63B-4EDB-92FA-6A9FBCE1B73D}"/>
    <hyperlink ref="G346" r:id="rId244" xr:uid="{8E921DEB-4057-4A39-9A87-79E041D1A02B}"/>
    <hyperlink ref="G619" r:id="rId245" xr:uid="{5267F624-3E6B-41D2-861F-B888E63947F4}"/>
    <hyperlink ref="G381" r:id="rId246" xr:uid="{BF3B8007-FCB6-4301-81A4-52DA3694CCAC}"/>
    <hyperlink ref="G398" r:id="rId247" xr:uid="{9F008CAC-DE39-485D-82E4-AE4F19401924}"/>
    <hyperlink ref="H575" r:id="rId248" xr:uid="{2D98E2AF-013B-420E-9407-A206267032F1}"/>
    <hyperlink ref="G722" r:id="rId249" xr:uid="{8C389155-A562-4661-B0AA-BAB7BB9A5DCA}"/>
    <hyperlink ref="G189" r:id="rId250" xr:uid="{EFE13CE2-E1D6-4B3F-8DFC-BECB9B9FDF46}"/>
    <hyperlink ref="G500" r:id="rId251" xr:uid="{CCF241DE-2172-4131-A45F-5A065332CCFC}"/>
    <hyperlink ref="G755" r:id="rId252" xr:uid="{D6CC524C-F7C4-44F9-B82B-48E976EEC505}"/>
    <hyperlink ref="G561" r:id="rId253" xr:uid="{876B8C1D-AAA4-4EEB-9B5A-B355684B56D1}"/>
    <hyperlink ref="G496" r:id="rId254" xr:uid="{BC471C30-5746-4593-B244-DDF84FC19045}"/>
    <hyperlink ref="G1043" r:id="rId255" xr:uid="{9974CF5F-36E1-4569-A83F-E18B18F88AFD}"/>
    <hyperlink ref="H576" r:id="rId256" xr:uid="{70003F74-4A22-438C-B23B-67B866914491}"/>
    <hyperlink ref="H577" r:id="rId257" xr:uid="{28D57BF9-E235-4EFE-A691-34575A502E6B}"/>
    <hyperlink ref="G191" r:id="rId258" xr:uid="{0E1D701B-6961-441F-9162-E8EF967CAC8E}"/>
    <hyperlink ref="G489" r:id="rId259" xr:uid="{8C816292-BFAE-48FB-B896-32A6D937D342}"/>
    <hyperlink ref="G192" r:id="rId260" xr:uid="{4386C901-B271-4085-8D0C-36A4EB2AFBBF}"/>
    <hyperlink ref="G1020" r:id="rId261" xr:uid="{33794465-55EA-4F4A-AB69-F9D99E2032C7}"/>
    <hyperlink ref="G1029" r:id="rId262" xr:uid="{B6B4C329-5014-4153-B91B-7F03D15A8C24}"/>
    <hyperlink ref="G195" r:id="rId263" xr:uid="{E5B68097-A063-4672-B18F-DB9EFDDE1236}"/>
    <hyperlink ref="G9" r:id="rId264" xr:uid="{4720F74D-B3B6-4AE5-B097-9B9FE0BEA21E}"/>
    <hyperlink ref="G1024" r:id="rId265" xr:uid="{9C5456D5-A627-47C7-9CB7-45161B8D2419}"/>
    <hyperlink ref="G675" r:id="rId266" xr:uid="{CF6427B5-C4C4-425D-BAE0-AA312E2B910C}"/>
    <hyperlink ref="G508" r:id="rId267" xr:uid="{64F6BCE9-AD7E-4952-B094-BEB273B2B043}"/>
    <hyperlink ref="G1025" r:id="rId268" xr:uid="{9DDA7D3B-371C-46AA-8CEC-321CB17218C5}"/>
    <hyperlink ref="G566" r:id="rId269" xr:uid="{0D67FAB7-CA93-4CE9-A06F-5E5BB2BA0FD8}"/>
    <hyperlink ref="G89" r:id="rId270" xr:uid="{FBBF606A-916C-4EBE-9C10-36C1B32EDFDB}"/>
    <hyperlink ref="H578" r:id="rId271" xr:uid="{43A49FF6-F124-460A-BDDC-C6715298C06D}"/>
    <hyperlink ref="G663" r:id="rId272" xr:uid="{72D4F800-85A9-45FC-917F-EEC936BB0D5D}"/>
    <hyperlink ref="G30" r:id="rId273" xr:uid="{816DD6D4-2148-4FA0-AF54-F7ADD472D058}"/>
    <hyperlink ref="H579" r:id="rId274" xr:uid="{0A1892B2-B403-4A5F-995B-0510AA5FE66F}"/>
    <hyperlink ref="G88" r:id="rId275" xr:uid="{E8DD208E-7CA2-44FB-8EE0-67A24D5CC87F}"/>
    <hyperlink ref="H580" r:id="rId276" xr:uid="{103164A4-44CD-4387-921B-F5217BE44B88}"/>
    <hyperlink ref="G908" r:id="rId277" xr:uid="{EA14D8CF-5623-416A-A683-2DB86516C3BC}"/>
    <hyperlink ref="G784" r:id="rId278" xr:uid="{EB773112-3DD8-4E93-927C-CBEC1976BFCE}"/>
    <hyperlink ref="G1030" r:id="rId279" xr:uid="{9F460A6C-9058-4C5D-994B-978221F09128}"/>
    <hyperlink ref="G910" r:id="rId280" xr:uid="{9B02B7BE-05BF-4F2F-8D58-83257194D07C}"/>
    <hyperlink ref="G898" r:id="rId281" xr:uid="{D6C07217-1134-4D6C-9FEE-EC095B615B29}"/>
    <hyperlink ref="G785" r:id="rId282" xr:uid="{A8FA47C4-5CFA-49D0-BE12-8C4B2C8F2747}"/>
    <hyperlink ref="G567" r:id="rId283" xr:uid="{2537113A-B58D-4F57-BDCE-67B3504722A5}"/>
    <hyperlink ref="H581" r:id="rId284" xr:uid="{3630BC39-4E73-4C06-9C79-A31F52034DC7}"/>
    <hyperlink ref="G659" r:id="rId285" xr:uid="{F674A60A-9458-42AE-89D1-8FBF02835195}"/>
    <hyperlink ref="G930" r:id="rId286" xr:uid="{CFD23849-8739-42F7-AEEE-F09C69178955}"/>
    <hyperlink ref="G1031" r:id="rId287" xr:uid="{BF39390E-64E4-4501-AA9E-2BCEE54CD82D}"/>
    <hyperlink ref="G1032" r:id="rId288" xr:uid="{EE2AFAE2-2728-497B-86A2-66F0A91F569B}"/>
    <hyperlink ref="G553" r:id="rId289" xr:uid="{8666510B-51F8-4038-8056-BB232583BE8A}"/>
    <hyperlink ref="G568" r:id="rId290" xr:uid="{A60C6A6A-C01B-4551-965F-77486D1450FC}"/>
    <hyperlink ref="G689" r:id="rId291" xr:uid="{D04F64C5-282B-4551-96AE-F7021C91EB77}"/>
    <hyperlink ref="G311" r:id="rId292" xr:uid="{8025A9A3-F946-45D8-A9FD-4A55E264C176}"/>
    <hyperlink ref="G343" r:id="rId293" xr:uid="{87F7555F-CC19-4C4E-9E55-F514F814EA40}"/>
    <hyperlink ref="G362" r:id="rId294" xr:uid="{1CF0640A-B887-4E83-9AD7-2824AA8D9D47}"/>
    <hyperlink ref="G366" r:id="rId295" xr:uid="{1985DE87-94B5-4C75-8786-2A2711DEDDCB}"/>
    <hyperlink ref="G636" r:id="rId296" xr:uid="{EFA433E3-45A3-4F66-AF38-E06941F3951E}"/>
    <hyperlink ref="G367" r:id="rId297" xr:uid="{329B4E36-5F0B-4101-8A92-CDAF8E235738}"/>
    <hyperlink ref="G198" r:id="rId298" xr:uid="{113F25E5-D466-4B65-82C0-25FE6DB08703}"/>
    <hyperlink ref="G837" r:id="rId299" xr:uid="{42DAD731-5834-41B9-9F90-68C77E8330C7}"/>
    <hyperlink ref="G377" r:id="rId300" xr:uid="{098BFFB7-3959-40E1-8A20-608F11A5072B}"/>
    <hyperlink ref="G273" r:id="rId301" xr:uid="{9098A82D-0C92-41B5-8463-070B481F03E4}"/>
    <hyperlink ref="H582" r:id="rId302" xr:uid="{7B53E0D4-56B3-46B1-A2ED-2A0DA1115613}"/>
    <hyperlink ref="G717" r:id="rId303" xr:uid="{4167E71C-37E6-4F58-808C-D9880D6E8263}"/>
    <hyperlink ref="G897" r:id="rId304" xr:uid="{20FB41E8-A024-43ED-932A-6632E2732DCB}"/>
    <hyperlink ref="G317" r:id="rId305" xr:uid="{D4D3C3C4-1C08-4B3B-A8B4-D61B457A9764}"/>
    <hyperlink ref="G896" r:id="rId306" xr:uid="{646A69BC-0070-4F0C-8E80-B491951EE4E1}"/>
    <hyperlink ref="G397" r:id="rId307" xr:uid="{F0AB9088-A897-4863-91E3-22834CEB1ACC}"/>
    <hyperlink ref="G895" r:id="rId308" xr:uid="{73DE5C14-6AA1-41D3-885B-43EC99AD3991}"/>
    <hyperlink ref="G436" r:id="rId309" xr:uid="{79AC4C91-75A1-410A-8BD8-89C3794BB4D3}"/>
    <hyperlink ref="G25" r:id="rId310" xr:uid="{E1742378-AEED-4FE2-A354-8D049CDD6E61}"/>
    <hyperlink ref="H339" r:id="rId311" xr:uid="{A4D32E96-188B-4D30-A7FA-6D164342F4CD}"/>
    <hyperlink ref="G354" r:id="rId312" xr:uid="{2CEB5325-487E-4D50-866B-451522351F8F}"/>
    <hyperlink ref="G999" r:id="rId313" xr:uid="{8170AD37-2E30-43C7-936C-088E5B62E32A}"/>
    <hyperlink ref="G355" r:id="rId314" xr:uid="{66AF1841-DFCB-46F0-AA24-960DE16311D3}"/>
    <hyperlink ref="H583" r:id="rId315" xr:uid="{1B980C31-E7B0-424A-AB88-D7BAB7A9D476}"/>
    <hyperlink ref="G614" r:id="rId316" xr:uid="{0B1C5197-CDAE-4360-B81C-10EAD4608EDA}"/>
    <hyperlink ref="G13" r:id="rId317" xr:uid="{F4576EB2-E6E0-429E-9329-9A734840E4CB}"/>
    <hyperlink ref="G951" r:id="rId318" xr:uid="{AFB90D25-8284-4105-B367-56D260BD0AB8}"/>
    <hyperlink ref="G1036" r:id="rId319" xr:uid="{4532D323-58D2-48CB-B0B7-361102138FA0}"/>
    <hyperlink ref="G1037" r:id="rId320" xr:uid="{097B1F01-9041-4C64-A58C-97BB9FFAA94D}"/>
    <hyperlink ref="H584" r:id="rId321" xr:uid="{7FB1390C-B087-4210-A4D5-342D41D7CA1B}"/>
    <hyperlink ref="G10" r:id="rId322" xr:uid="{D043BF96-8423-4518-962E-9BC49248591D}"/>
    <hyperlink ref="G11" r:id="rId323" xr:uid="{EE25EB83-2AD5-473A-B691-5F2122A04C6A}"/>
    <hyperlink ref="G12" r:id="rId324" xr:uid="{82A1A319-98F9-4008-92AE-27605C7D9E36}"/>
    <hyperlink ref="G564" r:id="rId325" xr:uid="{18CE61AF-F1DD-45BA-8127-AACE49A81C34}"/>
    <hyperlink ref="G1027" r:id="rId326" xr:uid="{087FFDE6-E930-4D9E-82DD-65E276CDC1F1}"/>
    <hyperlink ref="G1018" r:id="rId327" xr:uid="{4B02DD5D-7BF6-4E57-A1B5-52F00C3E3DB8}"/>
    <hyperlink ref="G554" r:id="rId328" xr:uid="{BF9FB561-48EC-4D79-9B13-29A89ED80C86}"/>
    <hyperlink ref="G1078" r:id="rId329" xr:uid="{980164EA-96D5-47DD-B97F-D51F2BD33A7F}"/>
    <hyperlink ref="G763" r:id="rId330" xr:uid="{1BC3221B-E57F-4033-8E8A-95BB0D1EE7DF}"/>
    <hyperlink ref="G865" r:id="rId331" xr:uid="{843B9DA1-0E06-47CF-A700-AC99E3FC5D95}"/>
    <hyperlink ref="G109" r:id="rId332" xr:uid="{F00C3742-E8C9-428A-A3E5-6D5CEDADF36E}"/>
    <hyperlink ref="G1049" r:id="rId333" xr:uid="{31782DB6-C6D3-444B-8E90-9FD9A723BCFA}"/>
    <hyperlink ref="G869" r:id="rId334" xr:uid="{B70CBCDB-B257-4454-8F20-2DFE6B41D373}"/>
    <hyperlink ref="G625" r:id="rId335" xr:uid="{740F6406-93D4-4C20-AF5C-62593B6F8AE1}"/>
    <hyperlink ref="G872" r:id="rId336" xr:uid="{7F8CB251-9793-45C0-85D0-A414C0A4EF57}"/>
    <hyperlink ref="G260" r:id="rId337" xr:uid="{B3531067-7D13-4052-B037-6500340B4EF6}"/>
    <hyperlink ref="G236" r:id="rId338" xr:uid="{ACD75769-19AB-42B3-B47C-E07218B76C1D}"/>
    <hyperlink ref="G879" r:id="rId339" xr:uid="{EE6BAEBF-67AD-469D-966D-D9642554ADFA}"/>
    <hyperlink ref="G262" r:id="rId340" xr:uid="{B6B64C39-57BC-4407-9BD2-83DF20B3E75B}"/>
    <hyperlink ref="G396" r:id="rId341" xr:uid="{3ACA7206-EB3D-41E9-AA0C-225629BADEB4}"/>
    <hyperlink ref="H585" r:id="rId342" xr:uid="{078AB8A5-438F-4CF6-AF7B-B0A70181F1DC}"/>
    <hyperlink ref="G893" r:id="rId343" xr:uid="{45FC0E9B-ACE7-4C2A-9994-66C268AC6118}"/>
    <hyperlink ref="H586" r:id="rId344" xr:uid="{CB7EA7A6-344D-4A56-988D-697443A9A542}"/>
    <hyperlink ref="G681" r:id="rId345" xr:uid="{87C3BEF2-87A7-4992-B349-FE8832104E28}"/>
    <hyperlink ref="G282" r:id="rId346" xr:uid="{EC1BD796-7F4F-4316-B748-59F3738DF5E7}"/>
    <hyperlink ref="H587" r:id="rId347" xr:uid="{50D251E3-93F2-41E9-8D6A-BDABE1F06A60}"/>
    <hyperlink ref="G742" r:id="rId348" xr:uid="{19EEEFD3-B7E9-4EE5-8ACC-AF1221253D36}"/>
    <hyperlink ref="G285" r:id="rId349" xr:uid="{660197D1-A9B5-4871-99F6-C16A44AECD85}"/>
    <hyperlink ref="H588" r:id="rId350" xr:uid="{28AB8883-EF63-4725-80EE-A7B98E5196A6}"/>
    <hyperlink ref="G287" r:id="rId351" xr:uid="{A48E2D37-52AB-4911-8875-0CF7BFAFA74F}"/>
    <hyperlink ref="H939" r:id="rId352" xr:uid="{E02B7580-6D29-4DE8-8C83-B171CB223453}"/>
    <hyperlink ref="H436" r:id="rId353" xr:uid="{5B0DADE9-0666-49F3-979A-EF9F81DFEF5B}"/>
    <hyperlink ref="H346" r:id="rId354" xr:uid="{621480DE-DF11-41FE-80A2-7CF2E3E1F2A8}"/>
    <hyperlink ref="H438" r:id="rId355" xr:uid="{7C98E647-A0D5-45B5-A1A4-AD34C28F9EB1}"/>
    <hyperlink ref="C1038" r:id="rId356" xr:uid="{2DF0DA77-6492-46AA-9B98-2B6EF1EF1374}"/>
    <hyperlink ref="H554" r:id="rId357" xr:uid="{0C0E08E7-BB60-43A7-9098-3F51452228E9}"/>
    <hyperlink ref="H500" r:id="rId358" xr:uid="{7DF0E1B9-2874-463B-A4DF-7517FF38AD39}"/>
    <hyperlink ref="H93" r:id="rId359" xr:uid="{4BA18F1D-CC9F-4B56-B197-9365B68EF082}"/>
    <hyperlink ref="H180" r:id="rId360" xr:uid="{F3E03936-DFD9-46F7-A62D-90071E10C5F7}"/>
    <hyperlink ref="G1076" r:id="rId361" xr:uid="{8DDAD3E3-3819-42CA-9664-E54DCF8A189F}"/>
    <hyperlink ref="G188" r:id="rId362" xr:uid="{2D2EB362-5BA0-467F-8153-66BB7562586A}"/>
    <hyperlink ref="H739" r:id="rId363" xr:uid="{96317E52-4D13-4F39-A40C-FB8FC67D9B96}"/>
    <hyperlink ref="G830" r:id="rId364" xr:uid="{7FEB320E-F006-4762-BA85-AF055E9456C4}"/>
    <hyperlink ref="G658" r:id="rId365" xr:uid="{0E65AE30-7FF8-43BD-AF5D-02B7846B8D95}"/>
    <hyperlink ref="G1082" r:id="rId366" xr:uid="{11831A79-C20E-41DC-A18A-A9B82FB56A0D}"/>
    <hyperlink ref="H830" r:id="rId367" xr:uid="{4E599859-F65F-4CEC-B3A2-AE3C2BC89271}"/>
    <hyperlink ref="H1038" r:id="rId368" xr:uid="{BC5FEDB1-6017-4124-A477-45984E27A3C0}"/>
    <hyperlink ref="G894" r:id="rId369" xr:uid="{14B974E4-E06E-4635-9F37-278DBC7596F0}"/>
    <hyperlink ref="G190" r:id="rId370" xr:uid="{552B068E-9E59-44BE-9A60-821332C1F518}"/>
    <hyperlink ref="G831" r:id="rId371" xr:uid="{21D49E61-FEED-4A49-9276-94F3E0BCEB8F}"/>
    <hyperlink ref="H831" r:id="rId372" xr:uid="{1412B6A6-4EAC-4E3D-AB8B-8F670D258FAC}"/>
    <hyperlink ref="G193" r:id="rId373" xr:uid="{68A58D51-896A-419C-9D56-40142368E15B}"/>
    <hyperlink ref="H107" r:id="rId374" xr:uid="{F9847478-10EE-4B65-B262-5EC013D42B51}"/>
    <hyperlink ref="G882" r:id="rId375" xr:uid="{85B5F9D7-BDB3-4B2D-9930-3AD877CDC797}"/>
    <hyperlink ref="H34" r:id="rId376" xr:uid="{41BB9CF6-1331-49E4-9E5B-313169A62E51}"/>
    <hyperlink ref="G234" r:id="rId377" xr:uid="{BBD0B280-F334-4D48-A69C-D05D9E157736}"/>
    <hyperlink ref="H336" r:id="rId378" xr:uid="{332A4C09-119F-4A7E-936C-858B53B42DBA}"/>
    <hyperlink ref="H113" r:id="rId379" xr:uid="{6D7E4B79-987E-49EC-B696-30E4B2EECCF1}"/>
    <hyperlink ref="G892" r:id="rId380" xr:uid="{58118EC3-0BD7-43D6-BF8A-254A2CD1AEB8}"/>
    <hyperlink ref="H342" r:id="rId381" xr:uid="{0B844553-6A95-49EB-A3CF-489647C46712}"/>
    <hyperlink ref="H343" r:id="rId382" xr:uid="{242FDF50-8CA7-4D9E-B108-AD318C598476}"/>
    <hyperlink ref="G637" r:id="rId383" xr:uid="{77055B91-B7E6-4224-9D11-498EC80B8F89}"/>
    <hyperlink ref="G108" r:id="rId384" xr:uid="{BCDA0882-BE0C-4D09-B1EB-5ECA816B63A2}"/>
    <hyperlink ref="G888" r:id="rId385" xr:uid="{16A1FAF9-0F0B-4AA7-8AE5-1B75E355147E}"/>
    <hyperlink ref="G885" r:id="rId386" xr:uid="{3338305D-F372-4566-8690-31705B82D86D}"/>
    <hyperlink ref="G266" r:id="rId387" xr:uid="{828662E7-568B-4198-A7EE-A43604937ACA}"/>
    <hyperlink ref="G937" r:id="rId388" xr:uid="{761E52A7-EA59-4558-9EB4-FAD4CFFE2182}"/>
    <hyperlink ref="G635" r:id="rId389" xr:uid="{D3753D44-1D60-492A-9851-9B45266F91DA}"/>
    <hyperlink ref="G827" r:id="rId390" xr:uid="{AB3E2D71-0998-4FB9-B7FF-D31D2C6DEB47}"/>
    <hyperlink ref="H827" r:id="rId391" xr:uid="{B1DC3DA3-04CF-4554-A58A-1A00FBA42436}"/>
    <hyperlink ref="G647" r:id="rId392" xr:uid="{4C29AFF6-CAC3-491D-9519-31EE64D28419}"/>
    <hyperlink ref="G928" r:id="rId393" xr:uid="{4F3F8C10-42A0-40CB-BA9D-807E65653082}"/>
    <hyperlink ref="H354" r:id="rId394" xr:uid="{2B1E7B3A-B606-48E2-A7D9-10FF3F384690}"/>
    <hyperlink ref="H355" r:id="rId395" xr:uid="{064BCDF4-BD2B-49A4-9B57-9B56EDC8059D}"/>
    <hyperlink ref="H614" r:id="rId396" xr:uid="{60AEF4F5-C65F-4BE3-ADD9-FA02CB9C7357}"/>
    <hyperlink ref="G634" r:id="rId397" xr:uid="{462DD5A0-EAEC-4E06-AC3D-C0319FDC8D8E}"/>
    <hyperlink ref="G890" r:id="rId398" xr:uid="{CB071D1A-F140-41C0-8479-4428CF977256}"/>
    <hyperlink ref="G197" r:id="rId399" xr:uid="{9C0C73AA-422F-480D-B7C3-9B11A6A45E7C}"/>
    <hyperlink ref="G106" r:id="rId400" xr:uid="{6096FC4A-577C-49F8-A772-DFF536DB61E7}"/>
    <hyperlink ref="G646" r:id="rId401" xr:uid="{116A5B39-F850-4D33-95E6-09DE242DDC0E}"/>
    <hyperlink ref="G883" r:id="rId402" xr:uid="{666877D5-4204-465F-A038-16DBA83FDFA5}"/>
    <hyperlink ref="H33" r:id="rId403" xr:uid="{9BB6B1F3-30B2-4370-8109-E91B88CDEE82}"/>
    <hyperlink ref="H398" r:id="rId404" xr:uid="{1CF5678F-4CA0-434B-8277-EAF7F6B458FF}"/>
    <hyperlink ref="H2" r:id="rId405" xr:uid="{70A526BC-B374-4A2B-B7B4-E79367B0CE19}"/>
    <hyperlink ref="H13" r:id="rId406" xr:uid="{41432F1F-D908-433B-8506-1BF597B96B8C}"/>
    <hyperlink ref="G832" r:id="rId407" xr:uid="{FB72535F-B49A-4F05-A460-76E0CCC91606}"/>
    <hyperlink ref="H397" r:id="rId408" xr:uid="{45F20E65-F8BB-42BC-BC5C-3C7E79C4F9B2}"/>
    <hyperlink ref="H396" r:id="rId409" xr:uid="{4F160414-3FCF-4DF7-9CB2-7FCE40CE2161}"/>
    <hyperlink ref="H832" r:id="rId410" xr:uid="{8053A74D-48EA-47D3-9305-E824B342A467}"/>
    <hyperlink ref="G633" r:id="rId411" xr:uid="{07A439DB-B29B-48C5-A95D-3CF0DD8328E3}"/>
    <hyperlink ref="G1026" r:id="rId412" xr:uid="{AFC24A92-5300-4075-9DE9-A61A824BB598}"/>
    <hyperlink ref="H951" r:id="rId413" xr:uid="{6EFF8322-8E3D-46EE-943F-65384A1049BC}"/>
    <hyperlink ref="H1026" r:id="rId414" xr:uid="{2B40F776-92B4-45F1-99AE-D7333D689B49}"/>
    <hyperlink ref="H419" r:id="rId415" xr:uid="{1777E4EF-D2FD-4A8C-AAB8-E0BB130B3BCD}"/>
    <hyperlink ref="G632" r:id="rId416" xr:uid="{AEC57C40-6E41-4765-A2BE-9955E79F7530}"/>
    <hyperlink ref="G1011" r:id="rId417" xr:uid="{E42DEBD8-2C75-4C8F-A060-2163D6998168}"/>
    <hyperlink ref="H211" r:id="rId418" xr:uid="{2D7A3D02-8673-4DB5-BF92-F712F9879066}"/>
    <hyperlink ref="H1078" r:id="rId419" xr:uid="{0062CD97-D520-4664-87CF-14372E1CC790}"/>
    <hyperlink ref="G881" r:id="rId420" xr:uid="{D296FF3F-F0F4-47B3-99D3-6D170B20379C}"/>
    <hyperlink ref="G878" r:id="rId421" xr:uid="{C4A74AEF-8880-4D20-8966-8E5B872FB732}"/>
    <hyperlink ref="H362" r:id="rId422" xr:uid="{5B896234-0372-48F8-9BD0-96610BCB32C5}"/>
    <hyperlink ref="H252" r:id="rId423" xr:uid="{EB30816F-145E-4092-8200-E5DB39FB8016}"/>
    <hyperlink ref="H632" r:id="rId424" xr:uid="{8B3FAFBD-B319-43D0-99CD-AE4E7C2E503F}"/>
    <hyperlink ref="G877" r:id="rId425" xr:uid="{83A36295-4802-4AA0-90F5-ACEB41A0FEFF}"/>
    <hyperlink ref="H168" r:id="rId426" xr:uid="{4B4F8206-DA08-4B3E-80E8-0A44C147054A}"/>
    <hyperlink ref="H933" r:id="rId427" xr:uid="{6BD10845-E02C-4FB7-9898-8D6A63044CBD}"/>
    <hyperlink ref="H934" r:id="rId428" xr:uid="{12289088-0C32-41CE-9313-E96819E2B550}"/>
    <hyperlink ref="H395" r:id="rId429" xr:uid="{393B75BB-829F-4272-B7E0-1E11930BA2DF}"/>
    <hyperlink ref="G399" r:id="rId430" xr:uid="{172A4196-213A-4A5A-9E23-8AAFB97D92A3}"/>
    <hyperlink ref="G572" r:id="rId431" xr:uid="{485357E7-DA6A-4903-98EF-CDC1667B3295}"/>
    <hyperlink ref="G82" r:id="rId432" xr:uid="{B1DA3C7E-71F9-4165-8D75-BB326078C5F6}"/>
    <hyperlink ref="H262" r:id="rId433" xr:uid="{A1C73C60-0C78-45A1-BDB9-2AEA46BF45C6}"/>
    <hyperlink ref="G702" r:id="rId434" xr:uid="{BAD0CCFB-7ADD-4C4D-B1A1-CB4CE564D690}"/>
    <hyperlink ref="G120" r:id="rId435" xr:uid="{4D06DC5D-3AEB-410E-9967-CA604C58DB72}"/>
    <hyperlink ref="G631" r:id="rId436" xr:uid="{893E2773-70D8-4794-AABE-E9D81B797453}"/>
    <hyperlink ref="G110" r:id="rId437" xr:uid="{CD3238DC-1104-4C09-A14F-8694DCE10886}"/>
    <hyperlink ref="G95" r:id="rId438" xr:uid="{3AAAE9D4-D292-4B54-9597-87C5CB2DC697}"/>
    <hyperlink ref="G133" r:id="rId439" xr:uid="{E5944153-32A1-40A6-AE77-666C8DF15AFF}"/>
    <hyperlink ref="H565" r:id="rId440" xr:uid="{C9E14112-EBDC-45E7-8FE8-5E949AADB52C}"/>
    <hyperlink ref="G57" r:id="rId441" xr:uid="{2C2BD8CA-3228-456A-9275-2EAF3E4ACE03}"/>
    <hyperlink ref="G630" r:id="rId442" xr:uid="{EFB64229-645E-40FC-BA01-F2C1300CAA68}"/>
    <hyperlink ref="G99" r:id="rId443" xr:uid="{CE29B5E0-3065-45FD-A965-98E839E1142D}"/>
    <hyperlink ref="H215" r:id="rId444" xr:uid="{B9908443-E563-42DC-9126-51E9FED8B2BE}"/>
    <hyperlink ref="G238" r:id="rId445" xr:uid="{3FF82D13-3F27-4CC4-9CF7-94F1386B066E}"/>
    <hyperlink ref="G102" r:id="rId446" xr:uid="{46ADC431-ADDF-4558-8FCB-71DD0D4A393D}"/>
    <hyperlink ref="G103" r:id="rId447" xr:uid="{15900653-8B00-494D-BB6B-E236F217E8D3}"/>
    <hyperlink ref="G199" r:id="rId448" xr:uid="{2BEE3B08-F18C-451D-BA69-E36264B42730}"/>
    <hyperlink ref="G214" r:id="rId449" xr:uid="{0A395BA2-1B6C-4234-9B41-0352B4B2AF17}"/>
    <hyperlink ref="G105" r:id="rId450" xr:uid="{EB85E681-BD61-490B-B01F-18026A5F5F3C}"/>
    <hyperlink ref="G706" r:id="rId451" xr:uid="{75FD5FC6-D92C-4A72-A1D3-B4AEEBF5CB8A}"/>
    <hyperlink ref="G667" r:id="rId452" xr:uid="{8DE2D1FB-6201-41E8-882F-9396AB86A12E}"/>
    <hyperlink ref="G628" r:id="rId453" xr:uid="{4910904B-E673-47CB-8DE4-6C562E4CDA87}"/>
    <hyperlink ref="G1010" r:id="rId454" xr:uid="{3F10B131-9032-4B70-A4FE-9B5D9EC9FC58}"/>
    <hyperlink ref="G80" r:id="rId455" xr:uid="{2AEDB346-EADA-44FA-A6F8-A732C9A0F755}"/>
    <hyperlink ref="H199" r:id="rId456" xr:uid="{DC09C03B-F1BB-4768-BCC3-9474BE2753BF}"/>
    <hyperlink ref="G874" r:id="rId457" xr:uid="{E608421D-8767-4A79-8230-424F00250ACC}"/>
    <hyperlink ref="H365" r:id="rId458" xr:uid="{B4B82339-82FA-46F0-80CD-6EA5A6782035}"/>
    <hyperlink ref="G627" r:id="rId459" xr:uid="{F82A0DE1-B1FA-447F-A42A-6C71B3BED516}"/>
    <hyperlink ref="G960" r:id="rId460" xr:uid="{CECB2DA6-8E56-4126-8A52-0A58EDF61AA4}"/>
    <hyperlink ref="G970" r:id="rId461" xr:uid="{CDA9F953-4236-433D-93B6-B1B25D94D2B1}"/>
    <hyperlink ref="H442" r:id="rId462" xr:uid="{36B3D737-7041-4955-B60C-07D7F1402AA6}"/>
    <hyperlink ref="G873" r:id="rId463" xr:uid="{3BAA5EA0-A4DE-44EC-950A-AA04148DA1FF}"/>
    <hyperlink ref="H1019" r:id="rId464" xr:uid="{D916034D-2CC7-4356-9B32-84D02A39F312}"/>
    <hyperlink ref="H366" r:id="rId465" xr:uid="{8D5DCE9E-6186-4785-AE94-2BBFAEFB6F52}"/>
    <hyperlink ref="G723" r:id="rId466" xr:uid="{1E8A603B-9C7B-46FE-9609-65C46B67903A}"/>
    <hyperlink ref="H114" r:id="rId467" xr:uid="{FE34F175-B81E-4D83-A403-E0B80099649A}"/>
    <hyperlink ref="G871" r:id="rId468" xr:uid="{223E2F72-3246-4E53-99F0-0E25D7A2787B}"/>
    <hyperlink ref="H723" r:id="rId469" xr:uid="{4798D3C9-451D-4E24-A63F-2A1AF597EFFF}"/>
    <hyperlink ref="G931" r:id="rId470" xr:uid="{DCCFEEBC-D991-4017-970F-CC8477C4DB4F}"/>
    <hyperlink ref="G443" r:id="rId471" xr:uid="{D799A586-9C3A-46CF-A0AA-09A070B383A7}"/>
    <hyperlink ref="H443" r:id="rId472" xr:uid="{CEF6EA86-40B6-4925-BEA8-2ED60A980034}"/>
    <hyperlink ref="H879" r:id="rId473" xr:uid="{6BAC4DD9-D1D1-41E3-A1C5-634DEC8D486C}"/>
    <hyperlink ref="G868" r:id="rId474" xr:uid="{9543DA22-0361-47A6-8B29-C75E9606221B}"/>
    <hyperlink ref="H192" r:id="rId475" xr:uid="{51880588-9444-4CDD-9C9C-4A0446DA153C}"/>
    <hyperlink ref="G79" r:id="rId476" xr:uid="{C8EBA2F0-6BBD-455E-A045-909E5A11DCFE}"/>
    <hyperlink ref="G1042" r:id="rId477" xr:uid="{778CBF26-E3FA-4CE8-BA9E-81E4CB509783}"/>
    <hyperlink ref="H214" r:id="rId478" xr:uid="{217C7CB5-3EA3-4E77-9A8F-2DAB946197D0}"/>
    <hyperlink ref="H35" r:id="rId479" xr:uid="{CCEBD315-02BA-4A93-9E29-BC9E33B523EA}"/>
    <hyperlink ref="H238" r:id="rId480" xr:uid="{16BE0F80-EF0A-4500-B35F-4032F044EC34}"/>
    <hyperlink ref="G864" r:id="rId481" xr:uid="{816FC6E4-E4F9-431A-81D7-641289B80DBD}"/>
    <hyperlink ref="G571" r:id="rId482" xr:uid="{DC9633CA-0691-4F13-A5A5-89620BBD2C41}"/>
    <hyperlink ref="G624" r:id="rId483" xr:uid="{F34C0070-16DA-4EE6-A945-D6AA0EB4E219}"/>
    <hyperlink ref="G78" r:id="rId484" xr:uid="{3A3515FD-E72F-4893-8EAF-FA33606A14A8}"/>
    <hyperlink ref="H1020" r:id="rId485" xr:uid="{CF802831-CB78-4BF3-9849-95A67624A689}"/>
    <hyperlink ref="G382" r:id="rId486" xr:uid="{0D59B7B6-E17A-44F3-A996-4E976606D41B}"/>
    <hyperlink ref="H1028" r:id="rId487" xr:uid="{EADE79BB-D08C-49BB-9B77-6874A8A9F11E}"/>
    <hyperlink ref="H169" r:id="rId488" xr:uid="{A5C110D9-197F-43AE-A723-6910588B506D}"/>
    <hyperlink ref="H1029" r:id="rId489" xr:uid="{BEC07857-B7E9-4F6B-863D-93F46662BC1A}"/>
    <hyperlink ref="G293" r:id="rId490" xr:uid="{BC55E6BF-4859-410B-89B2-2F79AE190923}"/>
    <hyperlink ref="H1010" r:id="rId491" xr:uid="{CAF31F23-1E72-4255-BE97-AF283076E1AF}"/>
    <hyperlink ref="H111" r:id="rId492" xr:uid="{9505C76B-1371-4CC0-89C2-9EE764ABCFC6}"/>
    <hyperlink ref="H755" r:id="rId493" xr:uid="{EB58784D-A1FD-433B-B361-6AFEFF9250F8}"/>
    <hyperlink ref="H367" r:id="rId494" xr:uid="{F43D26FF-76B6-4F98-98D1-75681BABA985}"/>
    <hyperlink ref="G834" r:id="rId495" xr:uid="{D26AB29D-CB25-42B6-AF3D-CEBF8102D61A}"/>
    <hyperlink ref="G626" r:id="rId496" xr:uid="{9DD26644-B995-408B-BD1D-C1C2D12344F6}"/>
    <hyperlink ref="H834" r:id="rId497" xr:uid="{6E56ED2F-B9B7-4A61-8AEF-B81A5DBB3165}"/>
    <hyperlink ref="G836" r:id="rId498" xr:uid="{D4308ADF-19AF-4CCD-AF69-BFA1E95BE55F}"/>
    <hyperlink ref="G77" r:id="rId499" xr:uid="{86EF17EF-0137-4AA8-A5FB-270FAB83B944}"/>
    <hyperlink ref="G870" r:id="rId500" xr:uid="{BD28298A-7B18-4FF2-97F8-28D27EF84F4F}"/>
    <hyperlink ref="H836" r:id="rId501" xr:uid="{E806528D-A5FC-48A8-83F5-087A1693B9B8}"/>
    <hyperlink ref="H878" r:id="rId502" xr:uid="{3BE197D7-6E8F-49C3-AFEA-EB4B669241DD}"/>
    <hyperlink ref="H17" r:id="rId503" xr:uid="{9BD5306E-7B30-44F7-A6CF-9141FE1F0A25}"/>
    <hyperlink ref="G20" r:id="rId504" xr:uid="{AEDDBA8A-F2BB-4B13-B7AA-1F4E7AE7A61D}"/>
    <hyperlink ref="G948" r:id="rId505" xr:uid="{789E6038-8EB4-42A0-BE63-42E1BBE2F4D1}"/>
    <hyperlink ref="G1007" r:id="rId506" xr:uid="{C80D9160-50A7-4F21-883D-22BC216CE5FE}"/>
    <hyperlink ref="G648" r:id="rId507" xr:uid="{7C5D12FF-5F46-4F04-9F7C-BE6FE9BC3DE7}"/>
    <hyperlink ref="G158" r:id="rId508" xr:uid="{C548B502-AB62-41A7-B04C-83C9A4296DB4}"/>
    <hyperlink ref="G859" r:id="rId509" xr:uid="{941404D9-475B-45F7-A6E5-6F8333CC097C}"/>
    <hyperlink ref="G858" r:id="rId510" xr:uid="{7E860B73-0ED8-4FC5-BE0B-BB932ED611E6}"/>
    <hyperlink ref="G622" r:id="rId511" xr:uid="{AD6C2503-3D6B-4BBC-8EAF-B219B91DA8C7}"/>
    <hyperlink ref="G390" r:id="rId512" xr:uid="{E439D08C-0183-45DC-9400-7CB5FF16B11D}"/>
    <hyperlink ref="G76" r:id="rId513" xr:uid="{9F39F3B0-12AA-47A1-849F-1FD52B1F277F}"/>
    <hyperlink ref="H837" r:id="rId514" xr:uid="{B61E250F-767E-447A-8FDF-826A01F15A9F}"/>
    <hyperlink ref="G866" r:id="rId515" xr:uid="{39DEEB7A-AD0A-4BEC-8B60-A6DAE17A5D54}"/>
    <hyperlink ref="H993" r:id="rId516" xr:uid="{AF665A86-4401-41C2-AA14-67D0CE57D0F1}"/>
    <hyperlink ref="G841" r:id="rId517" xr:uid="{939B16EE-F8C2-4450-AC3D-2EB650913E56}"/>
    <hyperlink ref="H841" r:id="rId518" xr:uid="{1F09CACA-9BAB-4E7A-8AC1-8B1DAE8103C6}"/>
    <hyperlink ref="G621" r:id="rId519" xr:uid="{564EF5AF-2CC6-46C8-86BC-740A898B1CEC}"/>
    <hyperlink ref="G842" r:id="rId520" xr:uid="{0D590275-91B0-4720-974B-72E6C762DC19}"/>
    <hyperlink ref="H842" r:id="rId521" xr:uid="{86881286-C9F1-497C-8BD3-32963DAC9F98}"/>
    <hyperlink ref="G752" r:id="rId522" xr:uid="{08E0C693-67CF-4A62-B30B-CB8EF5F86640}"/>
    <hyperlink ref="G75" r:id="rId523" xr:uid="{D951A7F7-C38A-4DE4-A24E-6E4F57125FA6}"/>
    <hyperlink ref="G965" r:id="rId524" xr:uid="{0EA4C9D8-8BC6-48B9-BD02-5CDD33630C6C}"/>
    <hyperlink ref="G389" r:id="rId525" xr:uid="{0AFC8A91-265A-4180-A369-7B720D7EC0DA}"/>
    <hyperlink ref="H965" r:id="rId526" xr:uid="{C5C1D1E6-3673-4EDD-955A-38A04470655A}"/>
    <hyperlink ref="G844" r:id="rId527" xr:uid="{8D4B85F4-34FB-4778-A465-F58C5A5A12C1}"/>
    <hyperlink ref="H844" r:id="rId528" xr:uid="{33636D15-0E00-45D4-B46F-CE09BE6049A3}"/>
    <hyperlink ref="G620" r:id="rId529" xr:uid="{82C1C1EF-FB97-4F0E-8435-B08D6209DF43}"/>
    <hyperlink ref="G845" r:id="rId530" xr:uid="{3EE34739-61D4-4B80-99C6-C8EDA85B43D1}"/>
    <hyperlink ref="G388" r:id="rId531" xr:uid="{255FCC9B-3631-4DFE-BD18-C75AEAB5C743}"/>
    <hyperlink ref="H845" r:id="rId532" xr:uid="{3C6B79B0-ACF0-4D89-9598-EBF3D3E10F86}"/>
    <hyperlink ref="H36" r:id="rId533" xr:uid="{2E9CF693-11F0-4527-B12E-EE0080AADF18}"/>
    <hyperlink ref="G854" r:id="rId534" xr:uid="{FD98A912-2A5B-412E-B0D2-2F967C82D18D}"/>
    <hyperlink ref="H137" r:id="rId535" xr:uid="{8D0EE6C5-396A-4712-8F6A-DA4DF189D944}"/>
    <hyperlink ref="G963" r:id="rId536" xr:uid="{98DCCC40-D2FF-4110-B116-115CF73220F1}"/>
    <hyperlink ref="H1086" r:id="rId537" xr:uid="{357B7EA2-B895-49EA-8AD1-9FFE4AB1873D}"/>
    <hyperlink ref="G1021" r:id="rId538" xr:uid="{B6BB1016-9295-4F7C-A433-204A1E6500BA}"/>
    <hyperlink ref="H654" r:id="rId539" xr:uid="{857EA069-6F28-4A4A-A038-59232A68FC92}"/>
    <hyperlink ref="G956" r:id="rId540" xr:uid="{D46014EF-7AAB-4448-8414-CB568EFACA07}"/>
    <hyperlink ref="G953" r:id="rId541" xr:uid="{FE37DBB6-5627-4D1E-9548-8CF102E87530}"/>
    <hyperlink ref="H155" r:id="rId542" xr:uid="{E3581C02-AAB8-4339-B6A2-FFEDE2A8C4B3}"/>
    <hyperlink ref="H368" r:id="rId543" xr:uid="{3E81E3F7-B0FE-47FD-9E44-BBD6F529B6DA}"/>
    <hyperlink ref="H70" r:id="rId544" xr:uid="{68359B15-30D7-4D9A-82B7-7E6870410A65}"/>
    <hyperlink ref="H1036" r:id="rId545" xr:uid="{626830AB-7B01-4EBC-92F1-AA4082F19107}"/>
    <hyperlink ref="H138" r:id="rId546" xr:uid="{450E362F-6D2D-40B5-8F81-C6940D994926}"/>
    <hyperlink ref="H71" r:id="rId547" xr:uid="{349EF18A-A90A-460A-B4A3-58E9B88E6567}"/>
    <hyperlink ref="H195" r:id="rId548" xr:uid="{BEA92546-934B-4287-B846-DE4591396F35}"/>
    <hyperlink ref="H100" r:id="rId549" xr:uid="{123BF5D3-40DB-43A2-B981-3954E39B444C}"/>
    <hyperlink ref="G618" r:id="rId550" xr:uid="{514B6DC4-E9C6-438C-8B41-47E0A8FB502B}"/>
    <hyperlink ref="H589" r:id="rId551" xr:uid="{93069089-B53B-4921-80C2-17F52E6D5073}"/>
    <hyperlink ref="G984" r:id="rId552" xr:uid="{353D96FC-E7DA-4487-BEFE-62124A0068A0}"/>
    <hyperlink ref="H984" r:id="rId553" xr:uid="{857DD8C3-04C5-441F-8FD5-F360FB955AA7}"/>
    <hyperlink ref="H9" r:id="rId554" xr:uid="{E2A61225-A8D5-4066-BFD6-1C42322A0248}"/>
    <hyperlink ref="G73" r:id="rId555" xr:uid="{51E9DCA1-F81B-428B-BBFB-EEF6516050BF}"/>
    <hyperlink ref="G74" r:id="rId556" xr:uid="{AEF188A1-6D88-4D24-B9D6-DF4EA4D3E471}"/>
    <hyperlink ref="H285" r:id="rId557" xr:uid="{76BF49D5-9B5D-4DE2-AB85-6EB57BBB551C}"/>
    <hyperlink ref="H857" r:id="rId558" xr:uid="{B9B9866D-FC6E-4291-9C9D-C9941F611E58}"/>
    <hyperlink ref="G412" r:id="rId559" xr:uid="{3B8FF279-1C26-4A27-9742-772C4F797156}"/>
    <hyperlink ref="H287" r:id="rId560" xr:uid="{942A0F82-71EE-4C28-AAB4-135BFB452452}"/>
    <hyperlink ref="H76" r:id="rId561" xr:uid="{C2DB3F5F-EB62-4BDE-BBC9-C8A571772D72}"/>
    <hyperlink ref="H622" r:id="rId562" xr:uid="{18A3E3C9-5F64-4C78-9D9F-DFD8A728DDB6}"/>
    <hyperlink ref="H858" r:id="rId563" xr:uid="{41332A25-122E-4D3C-B70E-5633D3A7E858}"/>
    <hyperlink ref="G638" r:id="rId564" xr:uid="{ACD0F945-9E77-49CB-9DA0-FE37FBD37E31}"/>
    <hyperlink ref="H1059" r:id="rId565" xr:uid="{5CB6302B-1FBC-4503-AE2D-8F1FFB4BF3CA}"/>
    <hyperlink ref="H859" r:id="rId566" xr:uid="{97F73B12-ABA0-443B-9363-4185DF49B3AF}"/>
    <hyperlink ref="H1023" r:id="rId567" xr:uid="{F79AD3BD-6D24-4E50-BEE7-C7EFB6D1FCB4}"/>
    <hyperlink ref="H925" r:id="rId568" xr:uid="{F1CB17B7-D0BD-4CA6-ABF6-A6A609583C21}"/>
    <hyperlink ref="G72" r:id="rId569" xr:uid="{BC76293A-1535-46C1-A89A-2223FFD2A483}"/>
    <hyperlink ref="H590" r:id="rId570" xr:uid="{015D2C0E-B2D2-41E9-A41F-100CAFBD94EE}"/>
    <hyperlink ref="G423" r:id="rId571" xr:uid="{A48D0434-5CC4-484D-AA70-6976A0E91F53}"/>
    <hyperlink ref="G617" r:id="rId572" xr:uid="{8045D061-C62E-4C8F-A28C-D00066E3E282}"/>
    <hyperlink ref="H648" r:id="rId573" xr:uid="{7775AADF-0E31-450D-8870-85DBBF5848BE}"/>
    <hyperlink ref="H680" r:id="rId574" xr:uid="{2704EA08-E9A4-48A0-BBC5-C47396A6E9B5}"/>
    <hyperlink ref="H102" r:id="rId575" xr:uid="{11B0B624-0F77-4ADE-935E-468F08F0D3D6}"/>
    <hyperlink ref="G194" r:id="rId576" xr:uid="{D55EEAC0-9F2F-4E03-AD92-0A0B96A3CC0A}"/>
    <hyperlink ref="H221" r:id="rId577" xr:uid="{C9A5D3F6-205B-452C-9354-EFC044BC5235}"/>
    <hyperlink ref="G849" r:id="rId578" xr:uid="{F5E9E7E5-A8D0-4F3A-B0B8-780D15478143}"/>
    <hyperlink ref="H1024" r:id="rId579" xr:uid="{E599FE32-ACA9-413F-AF46-5DE58B4EADE5}"/>
    <hyperlink ref="H948" r:id="rId580" xr:uid="{9F698C7C-65BC-4541-9DD2-8B4D6D192D9A}"/>
    <hyperlink ref="G139" r:id="rId581" xr:uid="{74C0F24F-1297-483D-A54D-9B98DDF06F25}"/>
    <hyperlink ref="H139" r:id="rId582" xr:uid="{852171B6-19C4-43A8-8C85-946ADBF51A39}"/>
    <hyperlink ref="H1048" r:id="rId583" xr:uid="{0BFEB764-29A4-457C-8107-29A5847C80CB}"/>
    <hyperlink ref="H103" r:id="rId584" xr:uid="{F44D6EB2-7DE7-4C7F-85A8-ABBEC8A708EE}"/>
    <hyperlink ref="G616" r:id="rId585" xr:uid="{67D1969E-D569-41D4-8F42-350C87BAB403}"/>
    <hyperlink ref="H140" r:id="rId586" xr:uid="{722DD853-275F-47D4-A618-E515A97CD035}"/>
    <hyperlink ref="H141" r:id="rId587" xr:uid="{4AB90A15-21CF-4454-8ADC-F7D7877E70EA}"/>
    <hyperlink ref="G503" r:id="rId588" xr:uid="{13B9AD97-A5F0-48BD-9BC8-B80FB2256D74}"/>
    <hyperlink ref="H4" r:id="rId589" xr:uid="{D3213A46-7546-435E-AB4F-928E35764683}"/>
    <hyperlink ref="H142" r:id="rId590" xr:uid="{28219890-BDB2-4286-ADC2-56FEDF5CDD77}"/>
    <hyperlink ref="H143" r:id="rId591" xr:uid="{324AD06D-D778-4044-8439-5E73A4C3DC74}"/>
    <hyperlink ref="H32" r:id="rId592" xr:uid="{994EE406-BE1C-4865-BC3A-4368D11B57E1}"/>
    <hyperlink ref="H144" r:id="rId593" xr:uid="{4DBB7931-8F75-41A9-8497-8D58427A1153}"/>
    <hyperlink ref="H1050" r:id="rId594" xr:uid="{8602DF3B-1AB2-440C-BCA7-A14221098BDD}"/>
    <hyperlink ref="G1050" r:id="rId595" xr:uid="{DFCBC16D-3AA9-4115-AA14-EE21EE07EB5F}"/>
    <hyperlink ref="H591" r:id="rId596" xr:uid="{4D24645F-1783-49B7-8EA9-998E3CE40C16}"/>
    <hyperlink ref="H20" r:id="rId597" xr:uid="{69EB2654-0BC5-46A0-AE75-E5EC49F93D78}"/>
    <hyperlink ref="H104" r:id="rId598" xr:uid="{00FD62DF-1C1B-4200-8E49-887D54FA1B87}"/>
    <hyperlink ref="H105" r:id="rId599" xr:uid="{0E62C24D-9517-451D-ADFC-CAB7D1C51CD5}"/>
    <hyperlink ref="H706" r:id="rId600" xr:uid="{97E9E73E-7470-47FD-94AD-4BAE715D9E5A}"/>
    <hyperlink ref="G379" r:id="rId601" xr:uid="{E722A4D8-192E-4496-88E7-A8ECDB2820CE}"/>
    <hyperlink ref="H675" r:id="rId602" xr:uid="{E8895B1E-F347-4E94-A813-FC35A0B14AA0}"/>
    <hyperlink ref="G846" r:id="rId603" xr:uid="{3C5DA089-174C-4E71-ACBD-57972A758DA9}"/>
    <hyperlink ref="G615" r:id="rId604" xr:uid="{0EC7D846-9E79-4BC1-9E83-95147DD0A465}"/>
    <hyperlink ref="H16" r:id="rId605" xr:uid="{C3825A25-0AC1-4CE2-BCE6-9E8120C6DC51}"/>
    <hyperlink ref="H446" r:id="rId606" xr:uid="{A1EBE286-3AF5-49D3-A121-64D695B06D53}"/>
    <hyperlink ref="G494" r:id="rId607" xr:uid="{B3B23551-0B19-441D-87D4-80ACCD077A8A}"/>
    <hyperlink ref="H667" r:id="rId608" xr:uid="{C24C3E79-5FFA-4D79-8945-688E0A6911D6}"/>
    <hyperlink ref="G843" r:id="rId609" xr:uid="{E8D81334-650A-49A2-B14F-94C206A96E84}"/>
    <hyperlink ref="G378" r:id="rId610" xr:uid="{ADE5EDC1-4ADA-45CA-8A65-625F38D0C9BA}"/>
    <hyperlink ref="H120" r:id="rId611" xr:uid="{E1EFBC12-AC96-45E7-812E-DB40D6B5E0E3}"/>
    <hyperlink ref="G376" r:id="rId612" xr:uid="{18687FAB-80F2-4942-B445-926BD7E2D97C}"/>
    <hyperlink ref="H425" r:id="rId613" xr:uid="{2839609B-6800-4DE7-978C-45E8E30D2D21}"/>
    <hyperlink ref="H718" r:id="rId614" xr:uid="{51E6763D-74B2-4842-9CDB-127F77889F5B}"/>
    <hyperlink ref="G839" r:id="rId615" xr:uid="{B6453690-B4C6-43B9-8AB0-169FDF7764FB}"/>
    <hyperlink ref="G375" r:id="rId616" xr:uid="{79020EA6-BF12-40A0-A13E-20FDF6A3817F}"/>
    <hyperlink ref="G838" r:id="rId617" xr:uid="{01DDF1D4-928B-48AE-ADBA-F1FD0A6E7CE4}"/>
    <hyperlink ref="H433" r:id="rId618" xr:uid="{1F51DDDB-A5AC-49CC-90B7-D3522482AA6E}"/>
    <hyperlink ref="G136" r:id="rId619" xr:uid="{8181548E-7C9A-47D4-B991-9D4EA06FD7A0}"/>
    <hyperlink ref="H174" r:id="rId620" xr:uid="{32255DE3-BB21-4B35-A8E6-E5615A14BE55}"/>
    <hyperlink ref="G374" r:id="rId621" xr:uid="{5A3EF542-D855-432E-95BC-3BDF771565AC}"/>
    <hyperlink ref="H665" r:id="rId622" xr:uid="{C05BEE39-450E-4466-A20C-A42395454758}"/>
    <hyperlink ref="H12" r:id="rId623" xr:uid="{7E92E8D0-A2A4-4075-8094-B5149EEBF7C4}"/>
    <hyperlink ref="H157" r:id="rId624" xr:uid="{C9CD5EA3-2AE2-405A-BA49-9C5DA3BEA532}"/>
    <hyperlink ref="H666" r:id="rId625" xr:uid="{6A7DF3A1-FB9C-4519-9BB7-88D977BF008A}"/>
    <hyperlink ref="G806" r:id="rId626" xr:uid="{BCFCCED8-C3DA-4BF2-9824-7A328289EF52}"/>
    <hyperlink ref="G182" r:id="rId627" xr:uid="{76ED086D-0DD7-4F2C-93AF-A43C2BC087D0}"/>
    <hyperlink ref="H769" r:id="rId628" xr:uid="{9CBCC313-FBE1-4934-95AB-05C4AC02D5E9}"/>
    <hyperlink ref="H806" r:id="rId629" xr:uid="{17644BAF-5CE9-481C-82D1-110B0B11A84D}"/>
    <hyperlink ref="G69" r:id="rId630" xr:uid="{EC298493-5B2A-4A6D-9705-8E84B1D18BDF}"/>
    <hyperlink ref="G861" r:id="rId631" xr:uid="{F7B4FA91-9CB2-4869-8229-4723E25118B7}"/>
    <hyperlink ref="H722" r:id="rId632" xr:uid="{2732A169-2808-4DA2-9CCF-7EEDAB83618F}"/>
    <hyperlink ref="G1058" r:id="rId633" xr:uid="{3B9865B4-868C-416F-BD2E-84E12297E81C}"/>
    <hyperlink ref="G833" r:id="rId634" xr:uid="{39F70BDC-F60B-441B-A3BB-BDE69FFFE790}"/>
    <hyperlink ref="H37" r:id="rId635" xr:uid="{D944E99E-2E04-4F2E-A18D-8F31C9E0A131}"/>
    <hyperlink ref="G257" r:id="rId636" xr:uid="{D43D9205-FF6D-4117-B1A5-C75335112683}"/>
    <hyperlink ref="G68" r:id="rId637" xr:uid="{4201F667-A857-48F3-B85B-85AFC722DDB8}"/>
    <hyperlink ref="H96" r:id="rId638" xr:uid="{469DE186-C6CB-42D3-9451-D371A3EBB76D}"/>
    <hyperlink ref="H944" r:id="rId639" xr:uid="{82161757-1E0E-4E62-B383-8A5371BE30ED}"/>
    <hyperlink ref="H14" r:id="rId640" xr:uid="{DD3A1516-2DC7-4594-B6F0-F4360414091F}"/>
    <hyperlink ref="H650" r:id="rId641" xr:uid="{89D94A7B-0D4F-4421-A887-EAEBAE77CC42}"/>
    <hyperlink ref="H189" r:id="rId642" xr:uid="{03E610B1-78DB-4AC5-AF98-ABDCDA557891}"/>
    <hyperlink ref="H592" r:id="rId643" xr:uid="{82EF5FA4-B601-41A9-B9FE-685B604ADDF5}"/>
    <hyperlink ref="G691" r:id="rId644" xr:uid="{8AAF1BF1-3D5E-47A3-AEAB-E767707B6E86}"/>
    <hyperlink ref="H131" r:id="rId645" xr:uid="{489329A1-09DC-4998-9D74-D601D96CEF60}"/>
    <hyperlink ref="H435" r:id="rId646" xr:uid="{29612623-3C2B-477E-96E2-D01B371EE6F8}"/>
    <hyperlink ref="H97" r:id="rId647" xr:uid="{96177C84-3F12-4D2F-AF47-3E5745BA7A02}"/>
    <hyperlink ref="G751" r:id="rId648" xr:uid="{6CAA971E-5D27-4269-9159-4A26706C47F7}"/>
    <hyperlink ref="H658" r:id="rId649" xr:uid="{C23162B6-2A25-42B7-85FC-81AB9CAC688A}"/>
    <hyperlink ref="G992" r:id="rId650" xr:uid="{DF3306CC-8A99-499B-8AFD-C3D5C7465458}"/>
    <hyperlink ref="H992" r:id="rId651" xr:uid="{43D319B9-7874-4B25-A3EB-85809856431A}"/>
    <hyperlink ref="H1051" r:id="rId652" xr:uid="{4918F546-AB15-498B-94B1-10D4C8FE2DB0}"/>
    <hyperlink ref="G229" r:id="rId653" xr:uid="{1B73BCBE-68B7-4A94-B039-4A196FC72751}"/>
    <hyperlink ref="H133" r:id="rId654" xr:uid="{9F691B0D-586F-44FC-B7C0-10CE92ED93DF}"/>
    <hyperlink ref="G812" r:id="rId655" xr:uid="{4E163AA3-005B-48ED-8EA2-46D5F0B77FB5}"/>
    <hyperlink ref="H812" r:id="rId656" xr:uid="{81F2EA16-D168-4037-924F-DDF45193FB35}"/>
    <hyperlink ref="G255" r:id="rId657" xr:uid="{4CBCC17C-3408-4D01-B342-6BA0B870D40C}"/>
    <hyperlink ref="H1074" r:id="rId658" xr:uid="{0F24FE54-8363-4A35-A3E1-4ACBE006E2E9}"/>
    <hyperlink ref="G365" r:id="rId659" xr:uid="{A1E0CFDD-24E1-4D3A-9EA1-E662F90C42FC}"/>
    <hyperlink ref="G1047" r:id="rId660" xr:uid="{7AC8F2B0-3638-44B7-AF06-046C6DFD3BB8}"/>
    <hyperlink ref="G1060" r:id="rId661" xr:uid="{57D85F4B-74A8-4182-B6FE-46CD1B6D8063}"/>
    <hyperlink ref="G738" r:id="rId662" xr:uid="{120DEA47-F427-426E-9DD4-3BCA3AE455D5}"/>
    <hyperlink ref="G980" r:id="rId663" xr:uid="{D81DBD47-A28C-43D0-866A-A4371C023904}"/>
    <hyperlink ref="G67" r:id="rId664" xr:uid="{6452C44C-5897-4F3D-A612-20FB6A5D744A}"/>
    <hyperlink ref="H980" r:id="rId665" xr:uid="{656F9CCB-7826-440C-97CC-06890C054A12}"/>
    <hyperlink ref="G981" r:id="rId666" xr:uid="{5357FD41-280C-40DF-8BB3-0608AFF45B0F}"/>
    <hyperlink ref="G623" r:id="rId667" xr:uid="{64B7C83B-C30A-4056-B4DA-CC4029943805}"/>
    <hyperlink ref="H981" r:id="rId668" xr:uid="{640F8BEC-453C-4E37-87A3-1884FF12ECB9}"/>
    <hyperlink ref="H98" r:id="rId669" xr:uid="{C0014812-1359-48F7-BCB5-74A6495E9467}"/>
    <hyperlink ref="H1018" r:id="rId670" xr:uid="{28893B0E-3E6D-4E39-A2DF-8D8E20C5B8D0}"/>
    <hyperlink ref="G694" r:id="rId671" xr:uid="{ADCC090B-1449-4B64-97E4-1FE21B058CB9}"/>
    <hyperlink ref="H694" r:id="rId672" xr:uid="{69C10AD0-47B4-41C9-805C-1D9697848970}"/>
    <hyperlink ref="G101" r:id="rId673" xr:uid="{B31AA374-C6E4-480E-8605-CA05DB448805}"/>
    <hyperlink ref="H919" r:id="rId674" xr:uid="{ADA88C51-E8F6-4164-BD79-613DC0660F27}"/>
    <hyperlink ref="G66" r:id="rId675" xr:uid="{F74DCC7E-0D72-4F79-AB01-2E4075E39B70}"/>
    <hyperlink ref="G445" r:id="rId676" xr:uid="{579A25CE-4C39-44C6-85EE-74F245A2A311}"/>
    <hyperlink ref="G65" r:id="rId677" xr:uid="{59D50207-D51F-410C-ABA8-522934DF4DA3}"/>
    <hyperlink ref="G160" r:id="rId678" xr:uid="{470229BB-7453-40C0-8A78-0E2B43375B11}"/>
    <hyperlink ref="G613" r:id="rId679" xr:uid="{5CD53397-8439-47BC-BA89-33587376178C}"/>
    <hyperlink ref="G372" r:id="rId680" xr:uid="{E5A09990-EB44-45CA-BF13-0F0ED0BC21FB}"/>
    <hyperlink ref="G612" r:id="rId681" xr:uid="{D2A3FA05-A5B2-478E-8821-4026B564231A}"/>
    <hyperlink ref="G371" r:id="rId682" xr:uid="{15364465-D636-458F-973A-E34AD6137B94}"/>
    <hyperlink ref="G962" r:id="rId683" xr:uid="{502216D8-8E1C-43FE-979C-7B2C6F52293C}"/>
    <hyperlink ref="H57" r:id="rId684" xr:uid="{94123997-61AD-40A0-8B97-057F7E8A0A1A}"/>
    <hyperlink ref="G64" r:id="rId685" xr:uid="{0CE500BA-F1AF-4668-AC8A-05C3CC786C99}"/>
    <hyperlink ref="G444" r:id="rId686" xr:uid="{95A271DF-4BAF-4380-AD99-591DE2BB8CC5}"/>
    <hyperlink ref="G63" r:id="rId687" xr:uid="{7F034360-9E37-4A73-865B-2C6687082871}"/>
    <hyperlink ref="G370" r:id="rId688" xr:uid="{F25250C1-5FC7-426C-9D1A-6BD3F3CFBD88}"/>
    <hyperlink ref="G62" r:id="rId689" xr:uid="{04C9063B-9A29-43AB-9AE6-6A2932D72388}"/>
    <hyperlink ref="G947" r:id="rId690" xr:uid="{36A27B4D-0B4D-4AC4-87CE-86C8CCC38B00}"/>
    <hyperlink ref="G41" r:id="rId691" xr:uid="{BD2D843F-836F-42CC-93F1-25B1B39BD946}"/>
    <hyperlink ref="G967" r:id="rId692" xr:uid="{2A0D35D4-4F77-4E84-8D78-850DA935C768}"/>
    <hyperlink ref="H31" r:id="rId693" xr:uid="{5F19416F-46B2-464D-829F-7341125F8A2D}"/>
    <hyperlink ref="G1022" r:id="rId694" xr:uid="{A6625CAE-68BA-49CB-BF7B-6E5C33942267}"/>
    <hyperlink ref="G452" r:id="rId695" xr:uid="{4069D2EC-57EA-4502-9D0F-4A75D8887AD1}"/>
    <hyperlink ref="G700" r:id="rId696" xr:uid="{99065501-88A8-45A3-A01F-5B3887C18690}"/>
    <hyperlink ref="G826" r:id="rId697" xr:uid="{D17247CE-6691-4A88-9F52-A6B34223D969}"/>
    <hyperlink ref="G677" r:id="rId698" xr:uid="{DB5BBA80-262A-45C5-8447-D6B91BA56E61}"/>
    <hyperlink ref="G544" r:id="rId699" xr:uid="{22CAAF18-63CD-4E83-8847-4D528C3BAAF4}"/>
    <hyperlink ref="G437" r:id="rId700" xr:uid="{F04E0E09-537B-4DB5-ACCB-399E4062E858}"/>
    <hyperlink ref="G369" r:id="rId701" xr:uid="{100B80C0-9431-436C-9F7D-D184EDCB98BD}"/>
    <hyperlink ref="G272" r:id="rId702" xr:uid="{3AAC53ED-AB3F-4D9C-BB6B-759083BD0CBE}"/>
    <hyperlink ref="G61" r:id="rId703" xr:uid="{CDDF8DF5-85C0-4E8B-A4AB-ACD4DBB58E41}"/>
    <hyperlink ref="G210" r:id="rId704" xr:uid="{6F57FE8C-4072-40ED-933C-70CBEAB49EDB}"/>
    <hyperlink ref="G643" r:id="rId705" xr:uid="{281E37CF-D23C-49D0-A967-BC7D81C2D175}"/>
    <hyperlink ref="G745" r:id="rId706" xr:uid="{95909759-664A-400E-AFFC-1D91496CA1CA}"/>
    <hyperlink ref="G341" r:id="rId707" xr:uid="{A913B0AD-61F6-4875-8E86-20E142EC3531}"/>
    <hyperlink ref="H941" r:id="rId708" xr:uid="{0C954A85-F503-49DC-8BEB-586F9EA3BC32}"/>
    <hyperlink ref="G730" r:id="rId709" xr:uid="{2BF5BFB7-9CD9-4057-9CFB-5D7A7FE18DAF}"/>
    <hyperlink ref="G972" r:id="rId710" xr:uid="{BDE3E4F2-B2D1-4A42-B3CC-7E252AC47CA7}"/>
    <hyperlink ref="G59" r:id="rId711" xr:uid="{AB9F837F-E1AC-4F5E-88F7-7E3FE6A3EE7C}"/>
    <hyperlink ref="G942" r:id="rId712" xr:uid="{2576A92A-7F5E-4376-881D-B3EA83F6905D}"/>
    <hyperlink ref="G58" r:id="rId713" xr:uid="{C46B394D-DC3F-4840-9587-272984F7D443}"/>
    <hyperlink ref="G780" r:id="rId714" xr:uid="{D5327F97-BEEA-4D33-AB6F-A230F775BFCC}"/>
    <hyperlink ref="G741" r:id="rId715" xr:uid="{74841F1D-54AD-47B5-9BE6-76891A65FEBC}"/>
    <hyperlink ref="G611" r:id="rId716" xr:uid="{96DA0394-2162-450D-B219-8D7A63617400}"/>
    <hyperlink ref="G488" r:id="rId717" xr:uid="{7BD7EE55-2D1B-491E-8076-30C0F87F0757}"/>
    <hyperlink ref="G855" r:id="rId718" xr:uid="{074B8AFE-4903-4D5A-8CB1-3110AC2F9A0D}"/>
    <hyperlink ref="G823" r:id="rId719" xr:uid="{15B0D7C2-F619-4498-A0D0-FC4AE45355EA}"/>
    <hyperlink ref="H1055" r:id="rId720" xr:uid="{18C34024-F5BF-4C0C-B8B4-D77C61C8EC99}"/>
    <hyperlink ref="G822" r:id="rId721" xr:uid="{987F921B-64F4-420C-AE4A-8C80ED76DD57}"/>
    <hyperlink ref="G852" r:id="rId722" xr:uid="{BA3A095B-8BD6-418F-96F4-8F1842F9B09C}"/>
    <hyperlink ref="G610" r:id="rId723" xr:uid="{180CF7A8-10B8-453E-BA25-3427618CB400}"/>
    <hyperlink ref="G254" r:id="rId724" xr:uid="{A5468E2F-F1A7-463D-8FC5-797186C69D42}"/>
    <hyperlink ref="G820" r:id="rId725" xr:uid="{DBB06B66-67C8-4071-8992-62E972501825}"/>
    <hyperlink ref="G923" r:id="rId726" xr:uid="{BB75CA1A-4A05-4EBE-991F-BC4AFB442FA9}"/>
    <hyperlink ref="H219" r:id="rId727" xr:uid="{622CDC35-374C-42C0-B509-6D4A1AED9241}"/>
    <hyperlink ref="G609" r:id="rId728" xr:uid="{F4E169DC-9DA2-4F39-A506-FFCD2AACACA9}"/>
    <hyperlink ref="H770" r:id="rId729" xr:uid="{79645895-9C1A-4DBB-91B3-36A7B435E13E}"/>
    <hyperlink ref="G334" r:id="rId730" xr:uid="{14B78707-5CFB-4E87-A409-671A84C51CD1}"/>
    <hyperlink ref="G851" r:id="rId731" xr:uid="{98B7E5D7-10C2-43A5-95D8-AB4C3246CAD8}"/>
    <hyperlink ref="G56" r:id="rId732" xr:uid="{DD2D6A1B-E79D-4F6C-B70C-B94A53D8FE9F}"/>
    <hyperlink ref="G607" r:id="rId733" xr:uid="{98A58DE7-BD12-497E-9A8F-0EFEC82738EF}"/>
    <hyperlink ref="G998" r:id="rId734" xr:uid="{45DE6B6D-9670-4299-9C17-C906CA042EB5}"/>
    <hyperlink ref="G55" r:id="rId735" xr:uid="{0F6EF418-3069-41C0-8D72-994E84C4D72A}"/>
    <hyperlink ref="G922" r:id="rId736" xr:uid="{6618D1BA-CFDA-407E-8DC7-EBA833E5100F}"/>
    <hyperlink ref="G253" r:id="rId737" xr:uid="{3752DCA0-C962-42AE-9C92-8CBCCD14F3D0}"/>
    <hyperlink ref="G815" r:id="rId738" xr:uid="{19187FB7-04EA-4B12-A165-AA218BE51540}"/>
    <hyperlink ref="G606" r:id="rId739" xr:uid="{E495BD32-A03C-4B1C-976E-53A199D7375D}"/>
    <hyperlink ref="G655" r:id="rId740" xr:uid="{1176DFE8-D682-4960-8B04-551BB26C7584}"/>
    <hyperlink ref="G605" r:id="rId741" xr:uid="{8B947A01-AF8C-4A38-8554-ACF738CF9D0D}"/>
    <hyperlink ref="H772" r:id="rId742" xr:uid="{8E851F4C-8155-472E-8D26-9F80F835B753}"/>
    <hyperlink ref="G814" r:id="rId743" xr:uid="{714F00DC-891B-4D43-94C1-451BEF85C49A}"/>
    <hyperlink ref="G736" r:id="rId744" xr:uid="{9E949871-42A0-4141-9456-9F3A456E4C85}"/>
    <hyperlink ref="G840" r:id="rId745" xr:uid="{772F6E09-6A23-481C-842D-68B1DB55B2D0}"/>
    <hyperlink ref="H62" r:id="rId746" xr:uid="{F87E641C-A9F1-4C0F-A51C-5843B5888DA9}"/>
    <hyperlink ref="H63" r:id="rId747" xr:uid="{633B42E7-13B9-49C2-AF4D-DDD7E5089593}"/>
    <hyperlink ref="H64" r:id="rId748" xr:uid="{01F7F0DC-DA12-4190-B6CB-499ACA29C053}"/>
    <hyperlink ref="G813" r:id="rId749" xr:uid="{1CF96CD3-3775-4057-A5E5-6A9B32962E36}"/>
    <hyperlink ref="H612" r:id="rId750" xr:uid="{7447CC2B-B703-401D-9F02-5EE4D8B0418E}"/>
    <hyperlink ref="H613" r:id="rId751" xr:uid="{E60B5678-D9FE-429C-B6D5-6F0BB6F10F0E}"/>
    <hyperlink ref="G906" r:id="rId752" xr:uid="{FA463630-610E-4E45-BCC0-53C1B599C9FA}"/>
    <hyperlink ref="G604" r:id="rId753" xr:uid="{ABF0F5EF-62E5-4DB3-8723-FFD76055612B}"/>
    <hyperlink ref="H906" r:id="rId754" xr:uid="{616CDF2C-6AE4-421F-8D61-F37CEABCD75E}"/>
    <hyperlink ref="G54" r:id="rId755" xr:uid="{98438192-1254-43A5-B5D3-C002D94559DC}"/>
    <hyperlink ref="G811" r:id="rId756" xr:uid="{2FA7C3DF-8346-4387-836A-42D860DE4EAC}"/>
    <hyperlink ref="G921" r:id="rId757" xr:uid="{CDB1E25B-608D-4507-BB8B-4AA3E8955BBB}"/>
    <hyperlink ref="H65" r:id="rId758" xr:uid="{9F143356-3F22-49E7-967F-E4DDD67033D6}"/>
    <hyperlink ref="G810" r:id="rId759" xr:uid="{1C08A004-9487-4E28-B5C1-96BE49C9610C}"/>
    <hyperlink ref="H66" r:id="rId760" xr:uid="{6381BCE5-8621-4BEC-9A8B-601192ED4BDE}"/>
    <hyperlink ref="H962" r:id="rId761" xr:uid="{8BDECE21-6ED4-473B-BF2E-62376B4B4CEF}"/>
    <hyperlink ref="H67" r:id="rId762" xr:uid="{29E608B7-EF7B-472C-B103-118D5D5107E7}"/>
    <hyperlink ref="G809" r:id="rId763" xr:uid="{3404F50A-C8C4-44F0-A763-7CD30B800116}"/>
    <hyperlink ref="G918" r:id="rId764" xr:uid="{0DF3978A-8E5D-4F0F-9268-28037B89E14A}"/>
    <hyperlink ref="H68" r:id="rId765" xr:uid="{70D0DAD5-0845-4B39-B1CB-650EBD7F0169}"/>
    <hyperlink ref="H833" r:id="rId766" xr:uid="{4DD5C5EC-AB67-46D4-BE1A-222684DD60C1}"/>
    <hyperlink ref="G53" r:id="rId767" xr:uid="{F38D9ABC-333F-4202-A6ED-7B331FA84C47}"/>
    <hyperlink ref="G1006" r:id="rId768" xr:uid="{9FA83B56-C4C5-47AB-B5F3-F3BAFD95AC0D}"/>
    <hyperlink ref="C579" r:id="rId769" xr:uid="{BF11B56F-7331-45C9-B584-D62109AF7EBA}"/>
    <hyperlink ref="H69" r:id="rId770" xr:uid="{7443A82C-B433-4F79-9FBD-84943BA9D7AA}"/>
    <hyperlink ref="H182" r:id="rId771" xr:uid="{80075DC2-D37F-476D-A8E2-71C24ECF84B2}"/>
    <hyperlink ref="G52" r:id="rId772" xr:uid="{6839A72C-504F-45B4-9D95-19D48315DC58}"/>
    <hyperlink ref="H1006" r:id="rId773" xr:uid="{0372BE79-D60C-424B-B63F-986C98538742}"/>
    <hyperlink ref="G51" r:id="rId774" xr:uid="{25B2EF19-C760-402E-851A-C222D520E583}"/>
    <hyperlink ref="G502" r:id="rId775" xr:uid="{D6D93FFD-FBB3-44DE-93B3-F38793607A5F}"/>
    <hyperlink ref="C168" r:id="rId776" xr:uid="{DAA55848-1B5B-4A16-8183-D8BE7944700D}"/>
    <hyperlink ref="H502" r:id="rId777" xr:uid="{E7FBFCE6-AB41-4820-9A01-C9DE467B2CDF}"/>
    <hyperlink ref="G1017" r:id="rId778" xr:uid="{9F782FA6-22E0-4846-A31A-44C4CE97727D}"/>
    <hyperlink ref="G603" r:id="rId779" xr:uid="{05F97E52-C16C-420B-94A8-6BBBC390D7BD}"/>
    <hyperlink ref="G415" r:id="rId780" xr:uid="{55B0C831-1EE2-4E41-B95A-2651AA023E91}"/>
    <hyperlink ref="G117" r:id="rId781" xr:uid="{D9EE0733-C662-407F-9D91-6B802E69B6A4}"/>
    <hyperlink ref="G206" r:id="rId782" xr:uid="{25757854-F577-421D-8C15-4E654166119A}"/>
    <hyperlink ref="G363" r:id="rId783" xr:uid="{A7ABAF66-15ED-476F-90D7-10879F67F27E}"/>
    <hyperlink ref="G361" r:id="rId784" xr:uid="{21EDF65C-4994-45D6-B324-673A1AF22026}"/>
    <hyperlink ref="G917" r:id="rId785" xr:uid="{EB36621B-35FD-4B7A-9641-DBD3DAE14D1C}"/>
    <hyperlink ref="H838" r:id="rId786" xr:uid="{23107EF7-CC7C-4FC9-B8FB-7883582DD64F}"/>
    <hyperlink ref="H136" r:id="rId787" xr:uid="{6A17B234-4C51-43A6-B5E1-4E869020787D}"/>
    <hyperlink ref="G360" r:id="rId788" xr:uid="{C800A768-E6D3-4598-ABA5-821552A4B4F0}"/>
    <hyperlink ref="G18" r:id="rId789" xr:uid="{DB0712E2-2A1F-4511-8A6D-4623B5CA0BA7}"/>
    <hyperlink ref="H839" r:id="rId790" xr:uid="{6D7E3C63-3ADD-4650-AB15-AFCE4ABFC81F}"/>
    <hyperlink ref="G318" r:id="rId791" xr:uid="{0E11D2FC-21AA-40B7-A236-A2ADAD032BF5}"/>
    <hyperlink ref="H840" r:id="rId792" xr:uid="{5A1362B3-A1A8-4D7A-860A-1C349B26B91E}"/>
    <hyperlink ref="C574" r:id="rId793" xr:uid="{21089569-2136-4836-8EC1-0F355185C337}"/>
    <hyperlink ref="G247" r:id="rId794" xr:uid="{0150139F-D201-453E-AA99-ED46DE49E7E1}"/>
    <hyperlink ref="H38" r:id="rId795" xr:uid="{83678B4A-6A13-4309-BAC3-1F0F79F97C2D}"/>
    <hyperlink ref="G49" r:id="rId796" xr:uid="{FF0C6065-9CAE-4B66-A56E-8B8C37094D00}"/>
    <hyperlink ref="H615" r:id="rId797" xr:uid="{F08BE837-9DFB-4A22-A252-CE4899A704FC}"/>
    <hyperlink ref="H846" r:id="rId798" xr:uid="{49A96C56-C51C-4F86-8929-6B8DB9039CFF}"/>
    <hyperlink ref="G602" r:id="rId799" xr:uid="{4E513F57-6656-4F39-BA23-242A7EAFA28C}"/>
    <hyperlink ref="H849" r:id="rId800" xr:uid="{C0A7B800-D226-4389-8676-3D71D83658A7}"/>
    <hyperlink ref="G44" r:id="rId801" xr:uid="{E73F318A-5C07-4A9F-A85D-F9C74614C864}"/>
    <hyperlink ref="G601" r:id="rId802" xr:uid="{72D3BD60-6B71-4C08-8DD0-DE80B478CD04}"/>
    <hyperlink ref="H253" r:id="rId803" xr:uid="{9DC9ED83-F73A-4B78-8906-0301352A3633}"/>
    <hyperlink ref="C576" r:id="rId804" xr:uid="{8A0DB7CA-D2FB-45FB-82C1-08C1D65F911F}"/>
    <hyperlink ref="G441" r:id="rId805" xr:uid="{45B40E23-92FD-4618-A679-7A83364C5884}"/>
    <hyperlink ref="H922" r:id="rId806" xr:uid="{0F70A44A-9812-4580-BB8B-565EEC7386A1}"/>
    <hyperlink ref="H998" r:id="rId807" xr:uid="{09FA79D3-DAD6-4184-A9F1-4D602819FE45}"/>
    <hyperlink ref="G850" r:id="rId808" xr:uid="{E58E3793-8D82-470C-9244-A2C6257E71B0}"/>
    <hyperlink ref="G799" r:id="rId809" xr:uid="{3ED1AAB4-38FF-4D86-A31A-644512952FD4}"/>
    <hyperlink ref="H850" r:id="rId810" xr:uid="{39B4B979-249B-4E1D-9948-979E875FFA58}"/>
    <hyperlink ref="H194" r:id="rId811" xr:uid="{748BF580-185C-433A-BD2B-4BDFA662F535}"/>
    <hyperlink ref="G798" r:id="rId812" xr:uid="{2E123058-ACDD-4B14-9FE6-016A65821F99}"/>
    <hyperlink ref="H617" r:id="rId813" xr:uid="{AF685B50-757A-4E39-B28B-53C88A52B480}"/>
    <hyperlink ref="H72" r:id="rId814" xr:uid="{FF8F6C03-5BE8-48F9-81B7-6247088D2ED9}"/>
    <hyperlink ref="H638" r:id="rId815" xr:uid="{353C36FC-0056-4B40-A50B-8C2658D17DE5}"/>
    <hyperlink ref="H170" r:id="rId816" xr:uid="{B741CC12-3AE3-4D88-A6D3-7F1AC4A040E0}"/>
    <hyperlink ref="H851" r:id="rId817" xr:uid="{12360866-0731-4C5F-A7CC-E6B4112A9FEA}"/>
    <hyperlink ref="G765" r:id="rId818" xr:uid="{89DE878A-878D-44C3-8C99-F069F5C24B02}"/>
    <hyperlink ref="H73" r:id="rId819" xr:uid="{501342AC-AFA9-4AAE-8930-374A0BA72756}"/>
    <hyperlink ref="H74" r:id="rId820" xr:uid="{AD0305A2-726E-4285-B505-79AE3DBBB70D}"/>
    <hyperlink ref="G47" r:id="rId821" xr:uid="{8768FA88-13CD-4CB8-8693-615DB8E4D784}"/>
    <hyperlink ref="H618" r:id="rId822" xr:uid="{7DAD4B07-1049-4950-A30B-12643E253E44}"/>
    <hyperlink ref="G797" r:id="rId823" xr:uid="{86A5CD79-6DAB-42CB-9D90-6D46CF372785}"/>
    <hyperlink ref="G796" r:id="rId824" xr:uid="{B2C26236-B528-4D07-9F43-E858982F8B99}"/>
    <hyperlink ref="G316" r:id="rId825" xr:uid="{AEA6FBCC-B206-4C55-AED4-2A95B51247EA}"/>
    <hyperlink ref="G358" r:id="rId826" xr:uid="{08B142EE-9B3A-4E96-A6EC-4D329F0DA73A}"/>
    <hyperlink ref="G795" r:id="rId827" xr:uid="{38E654D8-EDA1-4EF6-AD63-ABFEE013E31F}"/>
    <hyperlink ref="G1090" r:id="rId828" xr:uid="{09D0C339-DD3A-427A-81BA-1C31A4DE3A42}"/>
    <hyperlink ref="H923" r:id="rId829" xr:uid="{C41EC76B-1CD1-4003-971C-523BDA54CFE7}"/>
    <hyperlink ref="H594" r:id="rId830" xr:uid="{4B9AB332-58BC-498F-A5C8-78D3AA8F3421}"/>
    <hyperlink ref="G539" r:id="rId831" xr:uid="{BB14FF53-A85D-4B84-B8CA-2C7F5A7236DB}"/>
    <hyperlink ref="H156" r:id="rId832" xr:uid="{F1022DE5-4E75-44DC-A5E1-91A29419B4C1}"/>
    <hyperlink ref="G794" r:id="rId833" xr:uid="{82CA9F00-EECC-4051-A27C-9401C1AA0371}"/>
    <hyperlink ref="H619" r:id="rId834" xr:uid="{C44582D3-E68C-4E30-B465-8547D230E415}"/>
    <hyperlink ref="H1021" r:id="rId835" xr:uid="{0D900336-9C74-42EC-AA7D-EA27DB7398EA}"/>
    <hyperlink ref="G357" r:id="rId836" xr:uid="{7F43F2DF-7928-413F-9879-55FA01EB039B}"/>
    <hyperlink ref="H956" r:id="rId837" xr:uid="{46F47C78-8DF3-4913-9779-2887D60DFFD1}"/>
    <hyperlink ref="G251" r:id="rId838" xr:uid="{4E1DB73E-B867-4D0E-A376-E005EC85026F}"/>
    <hyperlink ref="G793" r:id="rId839" xr:uid="{B28C896E-BE61-439A-AB20-8B8482CD6647}"/>
    <hyperlink ref="G411" r:id="rId840" xr:uid="{61A8DD90-8F50-43AE-8003-3614AA3C8724}"/>
    <hyperlink ref="G6" r:id="rId841" xr:uid="{91339B48-2241-4427-8290-8E6305203E63}"/>
    <hyperlink ref="G134" r:id="rId842" xr:uid="{D6E2EE96-1FF2-4C75-8B8F-1B920D93F602}"/>
    <hyperlink ref="G792" r:id="rId843" xr:uid="{45140567-D5F0-4698-B0EF-762C778027B3}"/>
    <hyperlink ref="H254" r:id="rId844" xr:uid="{E24F8843-837C-43ED-A169-2A9215741694}"/>
    <hyperlink ref="G356" r:id="rId845" xr:uid="{1B24F2BA-14C8-4F6A-AC31-B616374ED1EF}"/>
    <hyperlink ref="H852" r:id="rId846" xr:uid="{B7D93A4B-1196-4858-84F3-767313397D5A}"/>
    <hyperlink ref="G600" r:id="rId847" xr:uid="{21A3ED84-8FA7-4767-AC89-ADA8245E7182}"/>
    <hyperlink ref="G451" r:id="rId848" xr:uid="{14FF57B9-349B-4C10-8BCD-433A45A04EE3}"/>
    <hyperlink ref="H854" r:id="rId849" xr:uid="{CE70A32E-12EE-490C-9137-28D4840F74F7}"/>
    <hyperlink ref="H620" r:id="rId850" xr:uid="{68C4F0D7-53B4-4AA9-AE9C-590F4F331E41}"/>
    <hyperlink ref="H855" r:id="rId851" xr:uid="{F18369D8-2A5D-4E92-90CC-B9957BBBBFB6}"/>
    <hyperlink ref="G440" r:id="rId852" xr:uid="{CB108861-3013-4A19-BC4E-D9DA030873B9}"/>
    <hyperlink ref="G598" r:id="rId853" xr:uid="{9CA5B234-EF26-4728-97D9-06137DF5A1B3}"/>
    <hyperlink ref="H741" r:id="rId854" xr:uid="{17E92E47-B1F0-421A-98A4-15551458B44A}"/>
    <hyperlink ref="H75" r:id="rId855" xr:uid="{467EDCF7-08CE-4685-B0B5-9B3337AFEFF1}"/>
    <hyperlink ref="G562" r:id="rId856" xr:uid="{3ED53025-2F49-43F4-B210-1FF621D7D2FD}"/>
    <hyperlink ref="G791" r:id="rId857" xr:uid="{07EBFB26-1443-4C80-95AF-84B3C3AA9C25}"/>
    <hyperlink ref="G829" r:id="rId858" xr:uid="{39E9922E-3101-4D8E-8A41-5B357F8497D1}"/>
    <hyperlink ref="G790" r:id="rId859" xr:uid="{CA69ACE9-9892-444D-83BD-5309D6A1792F}"/>
    <hyperlink ref="G828" r:id="rId860" xr:uid="{D3EDB1D6-23AF-47AA-955E-ADDC6D366702}"/>
    <hyperlink ref="G788" r:id="rId861" xr:uid="{AB31D12D-2A63-43EF-A500-835ABAD9975D}"/>
    <hyperlink ref="G353" r:id="rId862" xr:uid="{8CD92949-39EE-45D6-B9CD-A5698B3FB51F}"/>
    <hyperlink ref="H90" r:id="rId863" xr:uid="{AE5C7C9F-F7B2-457F-A241-DAEE953B67BD}"/>
    <hyperlink ref="G761" r:id="rId864" xr:uid="{7324F83C-D0FB-4C18-ACB6-A1705A9008AF}"/>
    <hyperlink ref="G789" r:id="rId865" xr:uid="{6AE11AD9-2329-47AA-9BA3-0FF2BF975923}"/>
    <hyperlink ref="G46" r:id="rId866" xr:uid="{6CF94822-2C3F-46E9-AB46-E3D3B934A895}"/>
    <hyperlink ref="G597" r:id="rId867" xr:uid="{CEAAA3F3-2FF9-490C-B340-6C4B329AF9EE}"/>
    <hyperlink ref="G28" r:id="rId868" xr:uid="{61D5D9CB-4AC5-41EE-AAD5-78DA4FF1EEC2}"/>
    <hyperlink ref="G596" r:id="rId869" xr:uid="{E75D44E3-7785-49EB-AED2-F4BC8EBFDE58}"/>
    <hyperlink ref="G45" r:id="rId870" xr:uid="{782FDD83-DDCF-4F0C-A31E-D159C97BA568}"/>
    <hyperlink ref="G305" r:id="rId871" xr:uid="{B692C8AD-96BC-46EB-9A50-2B410A113606}"/>
    <hyperlink ref="G304" r:id="rId872" xr:uid="{1AD3A9C4-59DD-4E73-BAD7-B2B9C1C02E2B}"/>
    <hyperlink ref="G352" r:id="rId873" xr:uid="{9A62E0C9-5F14-4504-B121-15F942CC2619}"/>
    <hyperlink ref="G915" r:id="rId874" xr:uid="{3874E882-BCB0-47FC-9F0A-5C9D04A126D8}"/>
    <hyperlink ref="H1043" r:id="rId875" xr:uid="{C363E522-C7FD-478D-8B11-0046490479B2}"/>
    <hyperlink ref="G914" r:id="rId876" xr:uid="{39A594A6-584C-404C-BD35-346923EDCB62}"/>
    <hyperlink ref="G222" r:id="rId877" xr:uid="{FFE1884C-23F3-4FD3-9941-C8EDA1660AAF}"/>
    <hyperlink ref="H737" r:id="rId878" xr:uid="{4FD78853-4F3B-4D79-9896-C28E08FA4406}"/>
    <hyperlink ref="G913" r:id="rId879" xr:uid="{12E997F3-EDC7-4D46-B3EF-5F8F0AA485DA}"/>
    <hyperlink ref="H621" r:id="rId880" xr:uid="{9EE12C4B-062B-4489-8FEE-4AF327AAECAB}"/>
    <hyperlink ref="H730" r:id="rId881" xr:uid="{A175551F-ABDC-4A7C-8FBA-2E3E1208B1F2}"/>
    <hyperlink ref="H955" r:id="rId882" xr:uid="{236A32E7-BAD1-4C5A-95D0-E3C5F70D469B}"/>
    <hyperlink ref="G786" r:id="rId883" xr:uid="{A9343AFA-7358-4989-B72F-1A4D72044980}"/>
    <hyperlink ref="H967" r:id="rId884" xr:uid="{D8052787-7568-4D08-BB89-5A6464E42C13}"/>
    <hyperlink ref="G1044" r:id="rId885" xr:uid="{9BB77FF0-E9EC-40DD-8690-F377ECD01F11}"/>
    <hyperlink ref="G351" r:id="rId886" xr:uid="{51028DC8-3B39-4FBD-9E3D-C0066FF1186B}"/>
    <hyperlink ref="H272" r:id="rId887" xr:uid="{030DCE9A-555C-4734-B1C4-2885996CD0B9}"/>
    <hyperlink ref="G912" r:id="rId888" xr:uid="{76522CA9-C115-4722-BD95-65CDF0DFC3C6}"/>
    <hyperlink ref="G350" r:id="rId889" location=".Ug01XT-p3x4" xr:uid="{36462A27-7B1F-4325-A26D-0FAA7994C94F}"/>
    <hyperlink ref="G642" r:id="rId890" xr:uid="{E8A99B2B-223C-4D22-A801-C0FCA858D248}"/>
    <hyperlink ref="G349" r:id="rId891" xr:uid="{B5B80C08-EB58-4630-9217-C95864F26F35}"/>
    <hyperlink ref="G641" r:id="rId892" xr:uid="{C340DEEF-0053-49F2-A72D-5FEB9B708EBF}"/>
    <hyperlink ref="G982" r:id="rId893" xr:uid="{D8847A98-8713-4372-9BD3-C8671415C928}"/>
    <hyperlink ref="G40" r:id="rId894" xr:uid="{E63427B2-C232-4766-B8E8-9849109FB3E2}"/>
    <hyperlink ref="G907" r:id="rId895" xr:uid="{7A709BA9-A062-4105-9068-D12EF84097BD}"/>
    <hyperlink ref="G348" r:id="rId896" xr:uid="{50DE289D-7AD9-40F0-ADE1-E474AD189512}"/>
    <hyperlink ref="H40" r:id="rId897" xr:uid="{4C108935-F883-4210-969B-A9D1B33C63D7}"/>
    <hyperlink ref="G535" r:id="rId898" xr:uid="{51B24FE6-1223-407F-8719-30A8554B7B18}"/>
    <hyperlink ref="G639" r:id="rId899" xr:uid="{6614458B-9F2A-4A34-8BAD-F8CA85A72DE9}"/>
    <hyperlink ref="G347" r:id="rId900" xr:uid="{4C702988-9C95-4097-B230-3813A53E310C}"/>
    <hyperlink ref="H676" r:id="rId901" xr:uid="{A53ACD97-A800-4E79-A008-4D72CF78EC6F}"/>
    <hyperlink ref="G783" r:id="rId902" xr:uid="{39A5F450-5316-491F-B027-DCDB366DBDC4}"/>
    <hyperlink ref="G640" r:id="rId903" xr:uid="{6F0BBC9D-01DF-4191-A17F-24C212FC88CA}"/>
    <hyperlink ref="G767" r:id="rId904" xr:uid="{A2D2EADC-064D-4D47-A588-9E3FEC228013}"/>
    <hyperlink ref="G782" r:id="rId905" xr:uid="{2C31768A-A438-4002-86CE-A30161CE3F2C}"/>
    <hyperlink ref="G932" r:id="rId906" xr:uid="{504788FD-CF28-4ADA-9EE0-86F48C427EE2}"/>
    <hyperlink ref="H932" r:id="rId907" xr:uid="{5A4671F1-6FD0-4806-AE53-6A988581BD2E}"/>
    <hyperlink ref="C242" r:id="rId908" xr:uid="{647CE0E3-3672-403E-A4D5-3FED934FF0C7}"/>
    <hyperlink ref="G595" r:id="rId909" xr:uid="{90D8D3B6-755C-4019-A099-0748F70C5E19}"/>
    <hyperlink ref="G171" r:id="rId910" xr:uid="{E5A250B9-17E6-4B5A-AA4C-F1A5304F1DFB}"/>
    <hyperlink ref="C1032" r:id="rId911" xr:uid="{C3C9ED1B-63D2-4B03-A713-C84C1D1A94DD}"/>
    <hyperlink ref="H773" r:id="rId912" xr:uid="{E37A1E36-76E4-45F2-B481-4BEA66CB9E13}"/>
    <hyperlink ref="C89" r:id="rId913" xr:uid="{BD3C3456-8AD9-4FFE-B94E-B98030A56B51}"/>
    <hyperlink ref="G135" r:id="rId914" xr:uid="{DF850462-8F6C-48E8-9CB3-2AD45D836029}"/>
    <hyperlink ref="G43" r:id="rId915" xr:uid="{DE265910-B108-4C05-850F-63EFC30D1FD6}"/>
    <hyperlink ref="G534" r:id="rId916" xr:uid="{A9805A27-AFA9-4491-B9E4-9736711E5ACF}"/>
    <hyperlink ref="G244" r:id="rId917" xr:uid="{2585E2B2-6A49-4221-87ED-BDE05B86F048}"/>
    <hyperlink ref="G779" r:id="rId918" xr:uid="{C0929D7E-71F6-4920-9BB5-3F477C28BA59}"/>
    <hyperlink ref="G570" r:id="rId919" xr:uid="{A759344F-AEC1-4571-9158-A4FA29C72E60}"/>
    <hyperlink ref="G340" r:id="rId920" xr:uid="{E9BD15B2-B031-4A6D-9EF7-111575211DD5}"/>
    <hyperlink ref="H745" r:id="rId921" xr:uid="{E2908749-D09A-4870-AF19-7D26C07A1793}"/>
    <hyperlink ref="H544" r:id="rId922" xr:uid="{DBCDF811-8F79-4B7A-9D89-1E3681573BE5}"/>
    <hyperlink ref="G337" r:id="rId923" xr:uid="{FB88AFD3-C7F0-40CE-88FC-08FCFCD5B4A2}"/>
    <hyperlink ref="H947" r:id="rId924" xr:uid="{F62C2964-99DC-4E01-A2FC-27F0DF9A98AC}"/>
    <hyperlink ref="H444" r:id="rId925" xr:uid="{BD8E75B4-90A0-47D9-A811-6F122C410420}"/>
    <hyperlink ref="G336" r:id="rId926" xr:uid="{C4AF58A6-3B36-4258-A2DB-7AAE69B6D64C}"/>
    <hyperlink ref="H371" r:id="rId927" xr:uid="{C35426FF-1F7D-466B-9739-434AB1BF6F94}"/>
    <hyperlink ref="H372" r:id="rId928" xr:uid="{8A73E8AD-E7A0-4CC7-9839-CDFC15AFDAAD}"/>
    <hyperlink ref="G249" r:id="rId929" xr:uid="{E71EC010-390E-42A2-A620-174615E96C62}"/>
    <hyperlink ref="G678" r:id="rId930" xr:uid="{48978C17-0083-47CB-89D8-537479A04FA2}"/>
    <hyperlink ref="G39" r:id="rId931" xr:uid="{B10ABD13-C759-4570-BD98-6C09D94A3AED}"/>
    <hyperlink ref="G128" r:id="rId932" xr:uid="{62AADF48-C11D-4684-BE01-C0082CA26486}"/>
    <hyperlink ref="G335" r:id="rId933" xr:uid="{8965B1AB-E200-473C-89DD-71B8472FD785}"/>
    <hyperlink ref="G498" r:id="rId934" xr:uid="{0B7A2EA3-C9E2-471B-8880-6A680A5FB202}"/>
    <hyperlink ref="G825" r:id="rId935" xr:uid="{69BB6FBA-6386-40B2-B1EA-F7BB5B63D88F}"/>
    <hyperlink ref="G1077" r:id="rId936" xr:uid="{645B385E-7195-49F0-8EFA-4E66C01A95DB}"/>
    <hyperlink ref="G250" r:id="rId937" xr:uid="{08389930-8791-4D47-8773-AD5C41115A8A}"/>
    <hyperlink ref="G920" r:id="rId938" xr:uid="{82334C76-9D07-4343-9F56-5309CDF85E45}"/>
    <hyperlink ref="H115" r:id="rId939" xr:uid="{DB77D879-A147-47CD-AC17-24826D163B77}"/>
    <hyperlink ref="G824" r:id="rId940" xr:uid="{D4362FB8-4BFB-41E1-924B-FC4761065ADA}"/>
    <hyperlink ref="G271" r:id="rId941" xr:uid="{8A2964E1-4AD9-4EBB-A875-CEA7267EA59F}"/>
    <hyperlink ref="G587" r:id="rId942" xr:uid="{B43BB29C-FB72-4CCD-8532-076EBAD1B2C0}"/>
    <hyperlink ref="G821" r:id="rId943" xr:uid="{85130C7A-149A-4734-8FE4-B0466AE08B1D}"/>
    <hyperlink ref="G576" r:id="rId944" xr:uid="{93D27520-6367-45E0-8F57-4671BF346112}"/>
    <hyperlink ref="G333" r:id="rId945" xr:uid="{4476AF71-A218-4D33-8C4F-E3DEA27CE9A6}"/>
    <hyperlink ref="H623" r:id="rId946" xr:uid="{9132B9C9-D86A-4E51-9427-0113848F02FF}"/>
    <hyperlink ref="H738" r:id="rId947" xr:uid="{0CF96AE4-0189-4714-9F00-466EB07EBA4E}"/>
    <hyperlink ref="H1060" r:id="rId948" xr:uid="{018F4F5E-DD1E-4B81-80E0-E28B379C3170}"/>
    <hyperlink ref="G817" r:id="rId949" xr:uid="{82734307-8757-4CE9-8F29-CB785072EE17}"/>
    <hyperlink ref="G816" r:id="rId950" xr:uid="{471B07EA-0927-4B98-8046-9DEB1F5914F1}"/>
    <hyperlink ref="G988" r:id="rId951" xr:uid="{0EBEAF93-B470-4596-9288-534E7EE37C81}"/>
    <hyperlink ref="G332" r:id="rId952" xr:uid="{6A9C2833-556C-4B74-BFEA-7EB6CC69793A}"/>
    <hyperlink ref="G531" r:id="rId953" xr:uid="{02FD3DE1-1A7A-4F38-B91A-EB861CC20204}"/>
    <hyperlink ref="G708" r:id="rId954" xr:uid="{1DCBFEEF-336B-4B0E-B9F7-96BC5F5C7986}"/>
    <hyperlink ref="G952" r:id="rId955" xr:uid="{46151EBC-557B-46C2-A27C-D67EBF12D84D}"/>
    <hyperlink ref="G22" r:id="rId956" xr:uid="{1CD32EFF-621D-4AF9-A3CC-91C0A77C1DAA}"/>
    <hyperlink ref="G328" r:id="rId957" xr:uid="{EB83A6CB-FAAB-4EB4-A370-611C2A4848B3}"/>
    <hyperlink ref="H1047" r:id="rId958" xr:uid="{F99EA9DB-AADE-4A78-8E2A-56DCDE11F835}"/>
    <hyperlink ref="H229" r:id="rId959" xr:uid="{91A49D6C-1299-4FBE-82DD-E2D55529C28A}"/>
    <hyperlink ref="G1070" r:id="rId960" xr:uid="{9B66506C-3D86-4491-A2E1-E381DBDF0BB4}"/>
    <hyperlink ref="H751" r:id="rId961" xr:uid="{B9ABEE99-A015-491F-A1D9-20136B7A6F29}"/>
    <hyperlink ref="H691" r:id="rId962" xr:uid="{A0C0D304-708A-4FD6-ADCB-5D5F6BC2D768}"/>
    <hyperlink ref="G327" r:id="rId963" xr:uid="{719FB843-B24F-474B-9AA3-18993310D6AC}"/>
    <hyperlink ref="G326" r:id="rId964" xr:uid="{C45E0ABA-450D-4661-977F-F749361ED085}"/>
    <hyperlink ref="H452" r:id="rId965" xr:uid="{D68AAF5B-DA67-4F13-9BA5-882E4EE42351}"/>
    <hyperlink ref="H257" r:id="rId966" xr:uid="{C2D5BCA0-7195-4C9D-AE6A-A491F06ABC92}"/>
    <hyperlink ref="G807" r:id="rId967" xr:uid="{DACE67D4-6858-4FBD-9E0C-87F359CDD53B}"/>
    <hyperlink ref="G997" r:id="rId968" xr:uid="{502AB79F-AF05-4F59-8FCB-E301F370FA96}"/>
    <hyperlink ref="G325" r:id="rId969" xr:uid="{CF5F0055-21B9-4C4A-9DAF-1DCFF702DF7A}"/>
    <hyperlink ref="G324" r:id="rId970" xr:uid="{B210E612-D84A-4C85-8E2B-5F2D9815F558}"/>
    <hyperlink ref="G740" r:id="rId971" xr:uid="{9265653D-A8ED-4E8E-B4C8-7245EC7474D7}"/>
    <hyperlink ref="G1035" r:id="rId972" xr:uid="{33CFFA63-554E-4530-BFAF-D1E48065BD33}"/>
    <hyperlink ref="G283" r:id="rId973" xr:uid="{AE49FFF6-44C6-446B-8F51-AB5101F9A3FA}"/>
    <hyperlink ref="G322" r:id="rId974" xr:uid="{013F9087-191A-4396-BCAB-5B81DD4D4440}"/>
    <hyperlink ref="G902" r:id="rId975" xr:uid="{499747DF-D81C-4200-9619-4F5AA8749456}"/>
    <hyperlink ref="G320" r:id="rId976" xr:uid="{39F77BB3-6BB0-4A0C-9452-9745EA49C17A}"/>
    <hyperlink ref="G522" r:id="rId977" xr:uid="{8D7B33DA-72D1-475B-9265-B168397A06D0}"/>
    <hyperlink ref="G521" r:id="rId978" xr:uid="{FC22F560-6C23-4F0E-92D0-3C3978202799}"/>
    <hyperlink ref="G246" r:id="rId979" xr:uid="{BB53E71D-A0D1-4442-836A-FB9F854C6714}"/>
    <hyperlink ref="G448" r:id="rId980" xr:uid="{222199EE-AD6F-4720-B1F4-56254FBAD32F}"/>
    <hyperlink ref="G1016" r:id="rId981" xr:uid="{AB2C2261-5F39-4EA2-AB60-5BB28CD6BE13}"/>
    <hyperlink ref="G315" r:id="rId982" xr:uid="{7B9F2570-76E5-4382-92BF-397EB53C4D90}"/>
    <hyperlink ref="G744" r:id="rId983" xr:uid="{50FE664F-04DE-4D73-8986-32D6EB8830D8}"/>
    <hyperlink ref="G754" r:id="rId984" xr:uid="{F203AFFC-F5F8-4D45-A5CA-5BFE645C75A6}"/>
    <hyperlink ref="G935" r:id="rId985" xr:uid="{E6C5C14E-3E6D-4547-9FAC-FB1B7855DB6C}"/>
    <hyperlink ref="G558" r:id="rId986" xr:uid="{E45FBE57-59D1-4D8A-AA28-D4185211FA2A}"/>
    <hyperlink ref="H375" r:id="rId987" xr:uid="{00C65F7E-C0D0-4DC7-8CBF-CDAD75925E63}"/>
    <hyperlink ref="H376" r:id="rId988" xr:uid="{29CDB85F-0798-4EBD-923F-76135F9C9239}"/>
    <hyperlink ref="H377" r:id="rId989" xr:uid="{B9CFA255-7D6D-4FB4-B1D1-66096352A9F2}"/>
    <hyperlink ref="G734" r:id="rId990" xr:uid="{C3AAC738-ED6D-4890-883A-414638C5DE19}"/>
    <hyperlink ref="H862" r:id="rId991" xr:uid="{81B638E8-3C1E-41AD-BE59-41288F5E3467}"/>
    <hyperlink ref="H545" r:id="rId992" xr:uid="{642430DA-B7D4-4DE2-88D1-1B915371597A}"/>
    <hyperlink ref="H77" r:id="rId993" xr:uid="{BC8E8EB7-1FB5-4E0E-88D2-28FDF88326ED}"/>
    <hyperlink ref="H423" r:id="rId994" xr:uid="{A061BA03-CB0B-42C9-9EEE-9DB77D422F7E}"/>
    <hyperlink ref="H383" r:id="rId995" xr:uid="{DEFE623E-AE95-4D30-97C7-3B7FF6DCEC8B}"/>
    <hyperlink ref="H78" r:id="rId996" xr:uid="{4B27E536-D5FC-428A-9196-69387C857FAA}"/>
    <hyperlink ref="G429" r:id="rId997" xr:uid="{65FA037B-4D25-49D3-BEA7-3A10CD30EF0D}"/>
    <hyperlink ref="G762" r:id="rId998" xr:uid="{081BC796-5D6D-4F00-B843-06F4ECE875CF}"/>
    <hyperlink ref="G497" r:id="rId999" xr:uid="{EC3AD9FA-23A3-4E0F-95F4-1ED8D0932C06}"/>
    <hyperlink ref="G307" r:id="rId1000" xr:uid="{0044709E-BCEC-46A5-A292-9214498B01C8}"/>
    <hyperlink ref="G306" r:id="rId1001" xr:uid="{6D04B825-B641-4158-BC64-0498CE03A343}"/>
    <hyperlink ref="G516" r:id="rId1002" xr:uid="{F5A05827-44DD-4F18-97EF-12699E8F297E}"/>
    <hyperlink ref="G900" r:id="rId1003" xr:uid="{D4170627-055E-4E88-A29C-7393EDDAFD3A}"/>
    <hyperlink ref="G280" r:id="rId1004" xr:uid="{2A9907EB-9D9E-43E2-84DD-4346FE2E5B4F}"/>
    <hyperlink ref="G904" r:id="rId1005" xr:uid="{8C06CCFF-3B26-4D4E-92F1-8D380A96FA95}"/>
    <hyperlink ref="G296" r:id="rId1006" xr:uid="{B51EE7D9-8BEC-4C0C-A5C2-538F006A3F9D}"/>
    <hyperlink ref="G776" r:id="rId1007" xr:uid="{D58BA449-0B32-412B-9FBD-154A56D6F4FF}"/>
    <hyperlink ref="H41" r:id="rId1008" xr:uid="{B1E8BD00-D3B5-458E-AFDE-B01A355542B7}"/>
    <hyperlink ref="H774" r:id="rId1009" xr:uid="{9F00435F-3F3E-4755-9774-4090A3B8FD07}"/>
    <hyperlink ref="G428" r:id="rId1010" xr:uid="{3346356B-33E6-4A2E-ABBB-3DA38DE3749C}"/>
    <hyperlink ref="H428" r:id="rId1011" xr:uid="{F310B764-9D16-4A96-A7EC-BEF30E89394E}"/>
    <hyperlink ref="H700" r:id="rId1012" xr:uid="{7B385121-C54C-459B-83AE-93E92E78C194}"/>
    <hyperlink ref="H677" r:id="rId1013" xr:uid="{D3AFF2ED-8451-4435-8EA5-925A9C5C1BA2}"/>
    <hyperlink ref="G116" r:id="rId1014" xr:uid="{1BF5CDF5-84E2-4D98-8C88-1FB84BD36344}"/>
    <hyperlink ref="H116" r:id="rId1015" xr:uid="{47316A29-418C-4453-ABBB-BB3F532C4D17}"/>
    <hyperlink ref="H243" r:id="rId1016" xr:uid="{03F9CD15-FD72-4AE8-808F-DDF2BA828011}"/>
    <hyperlink ref="H732" r:id="rId1017" xr:uid="{4B18D8C7-FF34-4AC1-9D05-94CABC858C9E}"/>
    <hyperlink ref="H775" r:id="rId1018" xr:uid="{305B35A8-D5B4-487C-A0CA-AAABB532AC0C}"/>
    <hyperlink ref="G954" r:id="rId1019" xr:uid="{8A77F79F-C2BF-47DF-9D36-675A8B2375EA}"/>
    <hyperlink ref="H779" r:id="rId1020" xr:uid="{ED9B1695-7339-4E5D-B91B-430818A75BBF}"/>
    <hyperlink ref="H942" r:id="rId1021" xr:uid="{2B69DD55-EF5A-48BC-B578-12A8F93FC20E}"/>
    <hyperlink ref="H780" r:id="rId1022" xr:uid="{614B3A90-446D-44F3-A309-10ACA8F6BD3D}"/>
    <hyperlink ref="G556" r:id="rId1023" xr:uid="{B02FC09E-D8C5-48AD-8B78-F6029F6F02AF}"/>
    <hyperlink ref="H556" r:id="rId1024" xr:uid="{0EAD4C55-3C61-4E25-A7DB-F0F0CAD8FD62}"/>
    <hyperlink ref="H296" r:id="rId1025" xr:uid="{9AE84977-5D00-466C-9062-CA4B7A71EC95}"/>
    <hyperlink ref="H297" r:id="rId1026" xr:uid="{0038D958-498E-4DD1-949D-5CDE0EF5E066}"/>
    <hyperlink ref="H415" r:id="rId1027" xr:uid="{72062E44-0CD2-48DE-AE19-851710668C53}"/>
    <hyperlink ref="H496" r:id="rId1028" xr:uid="{342505AD-E24A-475D-BEE8-86B9D51AB871}"/>
    <hyperlink ref="H117" r:id="rId1029" xr:uid="{C03FA60B-50B3-4950-8C9D-7729E883C9B4}"/>
    <hyperlink ref="H42" r:id="rId1030" xr:uid="{72D7FF91-62B4-440A-B48C-3060F6786468}"/>
    <hyperlink ref="H43" r:id="rId1031" xr:uid="{CD93A650-815A-4DF8-A73B-A2D58139DF39}"/>
    <hyperlink ref="G958" r:id="rId1032" xr:uid="{C1B514D3-BD6E-40AA-B19C-B3E1D598FC68}"/>
    <hyperlink ref="H958" r:id="rId1033" xr:uid="{61D1AFB0-DBAD-4D70-B32F-DC158431B67B}"/>
    <hyperlink ref="H171" r:id="rId1034" xr:uid="{90DE5D3A-9A73-4FF6-8B2B-760ABA504E7B}"/>
    <hyperlink ref="H595" r:id="rId1035" xr:uid="{59868FF5-04BB-43CA-B17B-5D25D31DEE3A}"/>
    <hyperlink ref="H300" r:id="rId1036" xr:uid="{D05203E7-28EC-4315-AAF7-7F6B6680CFB9}"/>
    <hyperlink ref="H782" r:id="rId1037" xr:uid="{3A45DFCB-3A1D-462D-A911-75A5E81176CD}"/>
    <hyperlink ref="H639" r:id="rId1038" xr:uid="{87AA6219-DFCE-40A8-9134-6BFB2AF7B063}"/>
    <hyperlink ref="H783" r:id="rId1039" xr:uid="{2C5612AB-D7CF-4490-B3D1-BF1D1C223571}"/>
    <hyperlink ref="H640" r:id="rId1040" xr:uid="{C1E1E427-DBE3-45E2-95A0-2E046A61DE5C}"/>
    <hyperlink ref="H907" r:id="rId1041" xr:uid="{EE0FA145-EA26-4E1D-88AA-FA0AAA305D10}"/>
    <hyperlink ref="H641" r:id="rId1042" xr:uid="{A548E033-51F6-41CA-8C4A-1AFBF627A546}"/>
    <hyperlink ref="G994" r:id="rId1043" xr:uid="{22F661D9-5971-4BAA-96D8-3F0AACEAFD45}"/>
    <hyperlink ref="H994" r:id="rId1044" xr:uid="{D37320D7-B6B2-4643-A01F-72E9D6BA7818}"/>
    <hyperlink ref="H908" r:id="rId1045" xr:uid="{C4793677-6CC3-44CD-9A79-DB56A063D420}"/>
    <hyperlink ref="G909" r:id="rId1046" xr:uid="{68DDE045-6B57-41FA-9412-CAEFF645F392}"/>
    <hyperlink ref="H909" r:id="rId1047" xr:uid="{262C34F4-6AB7-43BC-B382-13573021B865}"/>
    <hyperlink ref="H784" r:id="rId1048" xr:uid="{49924E79-1B83-4AC2-AF86-B1AACB81A10C}"/>
    <hyperlink ref="H912" r:id="rId1049" xr:uid="{8860B80D-0430-453D-BACB-A4FAFBF5B4E3}"/>
    <hyperlink ref="H786" r:id="rId1050" xr:uid="{FABD02C1-B953-42CA-9946-2815563F18D0}"/>
    <hyperlink ref="H913" r:id="rId1051" xr:uid="{2D7781E0-3245-46C3-9FCA-B87A12D40F27}"/>
    <hyperlink ref="H693" r:id="rId1052" xr:uid="{1390056C-6609-4B54-8C45-0B25F7FC4848}"/>
    <hyperlink ref="H915" r:id="rId1053" xr:uid="{C11DB1C2-126E-4FA9-AE7E-51DA627F4130}"/>
    <hyperlink ref="G787" r:id="rId1054" xr:uid="{545D66B0-F016-4EBB-BBA0-19020EBF7F10}"/>
    <hyperlink ref="H787" r:id="rId1055" xr:uid="{3E701FE7-173E-4F41-B5B7-C0CF035BEF4E}"/>
    <hyperlink ref="H44" r:id="rId1056" xr:uid="{2B9CF1A4-84EA-4DDD-89C0-388BF1818470}"/>
    <hyperlink ref="H301" r:id="rId1057" xr:uid="{7FF10745-89EA-43C0-809A-6CF87E51BD16}"/>
    <hyperlink ref="H185" r:id="rId1058" xr:uid="{8CA3F212-C014-4BD7-811C-5FF5C1BE3C44}"/>
    <hyperlink ref="H186" r:id="rId1059" xr:uid="{D2FBEDBD-EAEE-4550-A976-210D75DFE77C}"/>
    <hyperlink ref="H6" r:id="rId1060" xr:uid="{083E0F31-DE49-4DF6-ABFD-C8E2E96A6F44}"/>
    <hyperlink ref="G1034" r:id="rId1061" xr:uid="{915FBBE1-DDF9-454F-B76B-B67A13C8E145}"/>
    <hyperlink ref="H1034" r:id="rId1062" xr:uid="{69461228-9C5F-4AE7-92AB-D77C237CA814}"/>
    <hyperlink ref="H702" r:id="rId1063" xr:uid="{E4B9C71C-4C21-4532-97FC-335871062ABF}"/>
    <hyperlink ref="H788" r:id="rId1064" xr:uid="{F7C9A3BE-330B-4C24-A756-4262E909AD7D}"/>
    <hyperlink ref="H45" r:id="rId1065" xr:uid="{C03B6083-7D93-47BA-AF1E-91D630B8CEB0}"/>
    <hyperlink ref="H596" r:id="rId1066" xr:uid="{0DE5C1A4-C835-4FA3-84B7-B64E044BD108}"/>
    <hyperlink ref="H10" r:id="rId1067" xr:uid="{7DA037DB-3B81-429F-B8EF-B0FDB07415AF}"/>
    <hyperlink ref="H900" r:id="rId1068" xr:uid="{EB11CCCB-3EEB-40D1-A922-6E8B4E33ED47}"/>
    <hyperlink ref="H28" r:id="rId1069" xr:uid="{964011C5-7F50-49F4-941A-02D0A9E2C09B}"/>
    <hyperlink ref="H46" r:id="rId1070" xr:uid="{8ACFE7C1-26EA-4DF5-B4EA-4F9B02139641}"/>
    <hyperlink ref="G1014" r:id="rId1071" xr:uid="{4171CF6D-FF5E-4158-811F-798DE1DE7E99}"/>
    <hyperlink ref="H1014" r:id="rId1072" xr:uid="{F78FF9A0-F4C7-4864-A891-10F801048990}"/>
    <hyperlink ref="H597" r:id="rId1073" xr:uid="{D7C48498-D09E-48B5-8402-CFDF2C4AEAA0}"/>
    <hyperlink ref="H789" r:id="rId1074" xr:uid="{3D083673-B43E-4434-BA23-B7B0655903EB}"/>
    <hyperlink ref="H110" r:id="rId1075" xr:uid="{7DA19C7F-BE39-46D0-8F84-B3252F4B8F34}"/>
    <hyperlink ref="H282" r:id="rId1076" xr:uid="{93A21EE4-5697-4743-B40D-9C4095DE9824}"/>
    <hyperlink ref="H416" r:id="rId1077" xr:uid="{414DDF72-8E2D-47DC-8BC2-58AED07B7A88}"/>
    <hyperlink ref="H790" r:id="rId1078" xr:uid="{03A6DE1F-787F-4676-8E87-28B7216BBCA0}"/>
    <hyperlink ref="H791" r:id="rId1079" xr:uid="{8F2C4A33-F311-4299-9625-52EF16D07D28}"/>
    <hyperlink ref="H598" r:id="rId1080" xr:uid="{6E77478B-B1E0-4EE7-A4B0-76F2A9DE6037}"/>
    <hyperlink ref="H1045" r:id="rId1081" xr:uid="{444225F4-DE98-433F-BF91-26B1409CDAA2}"/>
    <hyperlink ref="H600" r:id="rId1082" xr:uid="{A85EE891-882F-4F36-886A-64ED4A9FDA28}"/>
    <hyperlink ref="H21" r:id="rId1083" xr:uid="{5D9516EB-0D12-4E3A-80B2-F08D37DA546F}"/>
    <hyperlink ref="H749" r:id="rId1084" xr:uid="{A39910D6-AF2E-447B-A761-5318E02923B7}"/>
    <hyperlink ref="H792" r:id="rId1085" xr:uid="{98455350-6C0C-4719-B050-06BC4EF218C9}"/>
    <hyperlink ref="H245" r:id="rId1086" xr:uid="{5EC54C1B-18F3-4AAF-A957-221558309792}"/>
    <hyperlink ref="H793" r:id="rId1087" xr:uid="{AEFD19AD-4292-4B8D-B7DD-6F375F4F5694}"/>
    <hyperlink ref="H794" r:id="rId1088" xr:uid="{A7E27732-3F39-4524-8862-CD5EA60899DC}"/>
    <hyperlink ref="H719" r:id="rId1089" xr:uid="{DD96B312-7BF2-4053-BCC4-508A64BFEFE1}"/>
    <hyperlink ref="H720" r:id="rId1090" xr:uid="{CE5ABB5E-5D91-4230-9C15-9C7EBB397910}"/>
    <hyperlink ref="H657" r:id="rId1091" xr:uid="{E0C0FDC5-76A8-4942-97D4-A792E36CB473}"/>
    <hyperlink ref="H795" r:id="rId1092" xr:uid="{E7F79EAE-8CB9-4754-BA33-6AF7261BCA46}"/>
    <hyperlink ref="H123" r:id="rId1093" xr:uid="{EC46ECA2-3299-4490-B6E8-E649B065B79F}"/>
    <hyperlink ref="H798" r:id="rId1094" xr:uid="{ADA1F497-5AE9-4966-B987-572B54CCF31A}"/>
    <hyperlink ref="H799" r:id="rId1095" xr:uid="{DFDDBCB1-562C-4FDC-9C45-BF64A39374B2}"/>
    <hyperlink ref="H673" r:id="rId1096" xr:uid="{08F2C103-4158-4349-BEA6-12677DA92DA4}"/>
    <hyperlink ref="G1075" r:id="rId1097" xr:uid="{886879F2-369B-44F7-ACE4-5FB23529843B}"/>
    <hyperlink ref="H1054" r:id="rId1098" xr:uid="{4EFA60C1-26F1-403B-8F9B-2B5F08A57F6A}"/>
    <hyperlink ref="H1075" r:id="rId1099" xr:uid="{DB2C2A57-0491-474D-A10C-BE7D9263A609}"/>
    <hyperlink ref="G463" r:id="rId1100" xr:uid="{AE4C42A7-2667-492A-9C31-BFCA1A714CC3}"/>
    <hyperlink ref="G409" r:id="rId1101" xr:uid="{2FA94145-EFBE-444F-8B3B-FC4C50F24E0B}"/>
    <hyperlink ref="H409" r:id="rId1102" xr:uid="{FEFE037A-139F-4884-9588-5B27F1B76E4E}"/>
    <hyperlink ref="H616" r:id="rId1103" xr:uid="{25B2BAC9-DBA7-476A-8B0A-60D4BAFFE0F2}"/>
    <hyperlink ref="H286" r:id="rId1104" xr:uid="{CF4C5B8E-455A-438F-824E-C4F3E3A38BF7}"/>
    <hyperlink ref="H489" r:id="rId1105" xr:uid="{F304735B-2D3A-4315-BFA7-BC1C25F20B1C}"/>
    <hyperlink ref="G507" r:id="rId1106" xr:uid="{E89581A6-E85C-4BBE-BA6C-8F45E8A9EEAE}"/>
    <hyperlink ref="H507" r:id="rId1107" xr:uid="{FD269A3B-6F62-45E9-98D2-56B8EFE678F0}"/>
    <hyperlink ref="H508" r:id="rId1108" xr:uid="{3F464E22-0F4A-44F8-AE41-5447C2E69775}"/>
    <hyperlink ref="G295" r:id="rId1109" xr:uid="{18B99788-2A0E-4B85-8919-66EAB69027E3}"/>
    <hyperlink ref="H295" r:id="rId1110" xr:uid="{6F9BCE92-672E-471E-B549-08E1813435FE}"/>
    <hyperlink ref="G410" r:id="rId1111" xr:uid="{AFD1E67F-C9CB-4AAC-9730-6634DED6F374}"/>
    <hyperlink ref="H410" r:id="rId1112" xr:uid="{409EA5D2-9D67-4FF7-AB8C-BE5047049730}"/>
    <hyperlink ref="H510" r:id="rId1113" xr:uid="{5158E884-7BF4-46F4-9335-FA894BA63E8B}"/>
    <hyperlink ref="H463" r:id="rId1114" xr:uid="{0128F1F2-FF1B-445D-B82C-8FC3694734A4}"/>
    <hyperlink ref="G209" r:id="rId1115" xr:uid="{9CE7EED9-1D82-49A9-B34E-93911694F8A8}"/>
    <hyperlink ref="H209" r:id="rId1116" xr:uid="{B0A2CC0B-E07A-408A-BE9C-684CD3AAD34B}"/>
    <hyperlink ref="H649" r:id="rId1117" xr:uid="{AFDE2478-0FE8-4B30-8BE5-01784BF53061}"/>
    <hyperlink ref="H593" r:id="rId1118" xr:uid="{741D6D6A-8E90-4411-AC66-89F6F358C26B}"/>
    <hyperlink ref="H961" r:id="rId1119" xr:uid="{60102624-3A16-4F59-8DF3-6326D3E17A76}"/>
    <hyperlink ref="H555" r:id="rId1120" xr:uid="{EAA25D50-B931-41B0-8CE9-FC57C4953C8A}"/>
    <hyperlink ref="H184" r:id="rId1121" xr:uid="{1C98F432-E1B7-4196-B1E9-2D149C38D66C}"/>
    <hyperlink ref="G778" r:id="rId1122" xr:uid="{F013B558-D7AE-415A-A859-6D3423E745F3}"/>
    <hyperlink ref="H778" r:id="rId1123" xr:uid="{363B5A57-92E2-4DCB-84C7-8314763FE935}"/>
    <hyperlink ref="H244" r:id="rId1124" xr:uid="{E46D86D2-01EC-4175-824C-06DB4F3A1783}"/>
    <hyperlink ref="H112" r:id="rId1125" xr:uid="{43E3FE76-55C6-4BD7-B77A-854B40CD2342}"/>
    <hyperlink ref="H642" r:id="rId1126" xr:uid="{621B9BC1-67CD-4336-AEBB-95C2C54EDE6E}"/>
    <hyperlink ref="H910" r:id="rId1127" xr:uid="{A2BA66C0-0692-4091-9D8B-DDB6FB096184}"/>
    <hyperlink ref="H785" r:id="rId1128" xr:uid="{017474BF-D5E2-409F-8A7A-9519F8B97265}"/>
    <hyperlink ref="H904" r:id="rId1129" xr:uid="{EBDF0111-4820-4BCA-82EC-01C38BA61252}"/>
    <hyperlink ref="H118" r:id="rId1130" xr:uid="{ADC2AD73-7EFB-4DC1-B4A7-B28990822834}"/>
    <hyperlink ref="H119" r:id="rId1131" xr:uid="{6A0E77F0-6291-4CD4-B95E-D55AA4135D71}"/>
    <hyperlink ref="H304" r:id="rId1132" xr:uid="{4EE048CA-BA98-4C25-A622-5F305F110E4A}"/>
    <hyperlink ref="H280" r:id="rId1133" xr:uid="{436863F1-B8D3-44C6-A802-1A733632A0ED}"/>
    <hyperlink ref="H717" r:id="rId1134" xr:uid="{2CED41BA-EDC3-4218-8ACC-B506EC607E76}"/>
    <hyperlink ref="H15" r:id="rId1135" xr:uid="{C953D0EB-2D7E-4C1F-9572-0BEBBC931E7A}"/>
    <hyperlink ref="H516" r:id="rId1136" xr:uid="{60454D31-0740-4293-AB09-A0B90CB207E8}"/>
    <hyperlink ref="H761" r:id="rId1137" xr:uid="{F0979154-C540-412B-BAD1-54F25294D2F4}"/>
    <hyperlink ref="H305" r:id="rId1138" xr:uid="{C85085B5-82B8-4FE7-AA74-517FEF2168AB}"/>
    <hyperlink ref="H306" r:id="rId1139" xr:uid="{0BFA7DC7-5F6F-48F8-90E7-FA14FB0A79AE}"/>
    <hyperlink ref="H497" r:id="rId1140" xr:uid="{4F8953DA-EE5A-4C46-83E0-DA7A67E51359}"/>
    <hyperlink ref="H742" r:id="rId1141" xr:uid="{8EA45B7B-F4A4-49E1-8E2D-4DD0614124E9}"/>
    <hyperlink ref="H762" r:id="rId1142" xr:uid="{044E3792-C0FB-48E4-BF80-68BB66215C08}"/>
    <hyperlink ref="H308" r:id="rId1143" xr:uid="{24E64666-80AA-4B80-B139-8AD7A553C72C}"/>
    <hyperlink ref="H429" r:id="rId1144" xr:uid="{3C2D221C-F8F2-43BD-969B-74AE449D6CC1}"/>
    <hyperlink ref="G294" r:id="rId1145" xr:uid="{3B762D04-1BB4-4B9B-902D-C3BAE90067FB}"/>
    <hyperlink ref="H294" r:id="rId1146" xr:uid="{AEB8F28F-FFAD-4870-98A5-F79C68B38E12}"/>
    <hyperlink ref="H734" r:id="rId1147" xr:uid="{D573601D-EAED-44C6-A23A-E04E4340AC93}"/>
    <hyperlink ref="G749" r:id="rId1148" xr:uid="{41BD53AD-2316-48D1-9D46-2851AB2AE1A3}"/>
    <hyperlink ref="H311" r:id="rId1149" xr:uid="{25C1989F-7F4C-4406-826F-2C5526B26E91}"/>
    <hyperlink ref="H411" r:id="rId1150" xr:uid="{58A8E3AE-617C-4FB9-B62D-16D1212F74FE}"/>
    <hyperlink ref="H558" r:id="rId1151" xr:uid="{B1528E54-AE65-4AE0-93FF-58D86F7DBF72}"/>
    <hyperlink ref="H430" r:id="rId1152" xr:uid="{8D04B1F1-E3A3-4953-A326-CF9238F16C11}"/>
    <hyperlink ref="H312" r:id="rId1153" xr:uid="{81056170-8412-45CB-A6BB-9DF6653789C9}"/>
    <hyperlink ref="H935" r:id="rId1154" xr:uid="{978B2D7F-F18B-4128-8657-BA0AC623B5A9}"/>
    <hyperlink ref="H754" r:id="rId1155" xr:uid="{2DD8704A-2478-412E-AB4B-5DD357C89216}"/>
    <hyperlink ref="H744" r:id="rId1156" xr:uid="{02DF7A41-88F0-49FA-BE2F-28B390527468}"/>
    <hyperlink ref="H721" r:id="rId1157" xr:uid="{873617CD-F8AD-4381-BF1F-064621F2B573}"/>
    <hyperlink ref="H315" r:id="rId1158" xr:uid="{A7BB7841-CEE8-4B90-886D-135D4A3F3B09}"/>
    <hyperlink ref="H1016" r:id="rId1159" xr:uid="{34657769-EC7F-4DA0-9261-EC4CBC39B83F}"/>
    <hyperlink ref="H796" r:id="rId1160" xr:uid="{211EF7C0-F5E0-4570-9A38-E43DE27BD16A}"/>
    <hyperlink ref="H316" r:id="rId1161" xr:uid="{4713D3ED-2E2D-4B9C-A3E7-EC45CCDD13F1}"/>
    <hyperlink ref="H797" r:id="rId1162" xr:uid="{70B26D6A-BA85-4C77-8FD5-A3A51E4CBC9E}"/>
    <hyperlink ref="H246" r:id="rId1163" xr:uid="{1567BA28-BE51-4F91-82EA-44F4AE6DCE50}"/>
    <hyperlink ref="H448" r:id="rId1164" xr:uid="{E52AA093-99AA-4E00-AAFC-DAB51951EA54}"/>
    <hyperlink ref="H47" r:id="rId1165" xr:uid="{0E8BC988-B010-4DAF-BBC7-E7A5CE819F71}"/>
    <hyperlink ref="H765" r:id="rId1166" xr:uid="{B3157E50-B7CB-4B0D-BDB7-45005FF0E4FC}"/>
    <hyperlink ref="H601" r:id="rId1167" xr:uid="{8961252B-E143-4E2B-B300-87BAF526CC71}"/>
    <hyperlink ref="H602" r:id="rId1168" xr:uid="{F4C638B4-8346-433B-A65B-68F64A97C58D}"/>
    <hyperlink ref="H11" r:id="rId1169" xr:uid="{55FFA378-CE9E-4FBF-A995-AFBA86EDC479}"/>
    <hyperlink ref="H49" r:id="rId1170" xr:uid="{CE9086E9-70BE-428C-A2E3-D0029B2C9C02}"/>
    <hyperlink ref="H222" r:id="rId1171" xr:uid="{D73B2F1C-0578-4D89-9DE9-C2429566B875}"/>
    <hyperlink ref="H247" r:id="rId1172" xr:uid="{6722DC5D-C1B1-4FB1-BC28-892CB1437727}"/>
    <hyperlink ref="G800" r:id="rId1173" xr:uid="{15B0EE14-0D68-4BFC-A75E-DA7E83FCAD8D}"/>
    <hyperlink ref="H800" r:id="rId1174" xr:uid="{125156A9-158B-4D6A-8A94-633DE1D88AA8}"/>
    <hyperlink ref="H1071" r:id="rId1175" xr:uid="{DE14667E-135A-42EA-8480-69265B30F26E}"/>
    <hyperlink ref="H317" r:id="rId1176" xr:uid="{1026C294-149D-4FC2-95FD-46264FA78E39}"/>
    <hyperlink ref="H521" r:id="rId1177" xr:uid="{AC9DC4DB-2492-4EB3-AB50-CAFFC6F2DC81}"/>
    <hyperlink ref="H522" r:id="rId1178" xr:uid="{B24408BF-9891-4C82-827E-B3EEC8FF1260}"/>
    <hyperlink ref="H318" r:id="rId1179" xr:uid="{A93DF5C4-2220-46F7-8C93-DB8873A09FAD}"/>
    <hyperlink ref="H524" r:id="rId1180" xr:uid="{4C75601A-FE34-4F15-AEF9-659F7FBD8F6D}"/>
    <hyperlink ref="H320" r:id="rId1181" xr:uid="{E3541D5C-B728-45EC-A8B8-CABAD29A6687}"/>
    <hyperlink ref="H426" r:id="rId1182" xr:uid="{BDF3D723-4FD3-4B1A-B9E5-31019A21DDC3}"/>
    <hyperlink ref="H559" r:id="rId1183" xr:uid="{4C13827C-2758-4D55-9492-4BDAA38880EA}"/>
    <hyperlink ref="H18" r:id="rId1184" xr:uid="{00245741-2828-4E7D-8FAC-50815AF166DE}"/>
    <hyperlink ref="H187" r:id="rId1185" xr:uid="{CAD027B5-5D99-4725-9DA5-28F1F63255DC}"/>
    <hyperlink ref="H1039" r:id="rId1186" xr:uid="{B0D5E49E-663F-4D06-B9AD-460C22AD673B}"/>
    <hyperlink ref="H703" r:id="rId1187" xr:uid="{DDE41C0B-6847-4935-A9DE-86A4E0F79646}"/>
    <hyperlink ref="H89" r:id="rId1188" xr:uid="{F11642B9-62BE-4F8A-964F-29BC4EDF3722}"/>
    <hyperlink ref="H663" r:id="rId1189" xr:uid="{01BECF3B-6DD0-4019-82B6-F3F3BDF90049}"/>
    <hyperlink ref="H30" r:id="rId1190" xr:uid="{5AFCA29A-74A6-4691-8F4F-5E3FAEA45E36}"/>
    <hyperlink ref="H960" r:id="rId1191" xr:uid="{B2397701-0CAF-4EED-84A3-543E0838C8C1}"/>
    <hyperlink ref="H877" r:id="rId1192" xr:uid="{B5DE3566-56D5-4A93-BA4D-F4BD5AC8DD42}"/>
    <hyperlink ref="H1037" r:id="rId1193" xr:uid="{6C5C21D9-F74A-418A-8E4B-506799A9E6CF}"/>
    <hyperlink ref="H876" r:id="rId1194" xr:uid="{D5A3150A-76E2-4673-A32D-A4996F6BB915}"/>
    <hyperlink ref="H776" r:id="rId1195" xr:uid="{F6067248-B82E-4B8E-99ED-DA54D22D726A}"/>
    <hyperlink ref="H931" r:id="rId1196" xr:uid="{C93B705F-83EB-494A-ADE5-B50E25224165}"/>
    <hyperlink ref="H551" r:id="rId1197" xr:uid="{03EEAFF0-BE6D-46C9-90FF-11835330B313}"/>
    <hyperlink ref="H488" r:id="rId1198" xr:uid="{B312D24A-2FAA-4061-9FD4-76FE2C5119A2}"/>
    <hyperlink ref="H235" r:id="rId1199" xr:uid="{CB4BAE6A-258B-4396-AD67-EFC20B67CED7}"/>
    <hyperlink ref="H937" r:id="rId1200" xr:uid="{7407EA25-C594-43BA-A130-4DE81DE7353A}"/>
    <hyperlink ref="G781" r:id="rId1201" xr:uid="{A32B8EA3-7780-47FB-8ACE-1B1581529189}"/>
    <hyperlink ref="H781" r:id="rId1202" xr:uid="{4EB72E71-538B-4867-B0EF-6AF009FD3A8D}"/>
    <hyperlink ref="G1013" r:id="rId1203" xr:uid="{51A822DB-1298-4F5B-8FA7-3B0A70268D52}"/>
    <hyperlink ref="H1013" r:id="rId1204" xr:uid="{47E70C99-A4C8-441C-8EAD-2DC83BE49CE6}"/>
    <hyperlink ref="H152" r:id="rId1205" xr:uid="{0FF92D8F-6691-4D54-A36E-1572C5038144}"/>
    <hyperlink ref="G465" r:id="rId1206" xr:uid="{23F10E86-3293-4FAC-8F91-BBDC11FBF0D7}"/>
    <hyperlink ref="G466" r:id="rId1207" xr:uid="{4DFF0535-426D-477B-BAE8-BA9C1BA7FBCF}"/>
    <hyperlink ref="G200" r:id="rId1208" xr:uid="{290E384C-F33F-4C21-AEB3-933046749CB0}"/>
    <hyperlink ref="H88" r:id="rId1209" xr:uid="{63038943-549E-4675-AEE9-7DB170C8C341}"/>
    <hyperlink ref="H898" r:id="rId1210" xr:uid="{E4E16557-7FDD-46F3-ADD8-DD846AE118C1}"/>
    <hyperlink ref="H1027" r:id="rId1211" xr:uid="{FDF70091-DD58-4EBC-AF71-6EF076B3C76B}"/>
    <hyperlink ref="H637" r:id="rId1212" xr:uid="{C09CFAB1-1E74-4A31-BCA9-6E65CD58B28F}"/>
    <hyperlink ref="H568" r:id="rId1213" xr:uid="{66D0A124-AA2B-47CA-BB57-9466B6EA19E3}"/>
    <hyperlink ref="H1089" r:id="rId1214" xr:uid="{A3E951BB-F449-44FD-8E0A-1167F7247912}"/>
    <hyperlink ref="H689" r:id="rId1215" xr:uid="{CAF6C34A-A613-4EE6-B894-0C9B8D7542B1}"/>
    <hyperlink ref="H636" r:id="rId1216" xr:uid="{8993B06B-7338-48E8-9FF6-7E9ACD741860}"/>
    <hyperlink ref="H198" r:id="rId1217" xr:uid="{481E2D0D-0419-4940-9E85-FBAA1FD482CA}"/>
    <hyperlink ref="H84" r:id="rId1218" xr:uid="{FB1AFC34-406C-4838-BA90-1F15BDDC9E8C}"/>
    <hyperlink ref="H897" r:id="rId1219" xr:uid="{03AB73D7-2800-4540-9AA8-CF66BA7DB42E}"/>
    <hyperlink ref="H681" r:id="rId1220" xr:uid="{B4EDE169-DA29-49FB-A3ED-007EAA5AC590}"/>
    <hyperlink ref="H896" r:id="rId1221" xr:uid="{2D6A1667-3513-4C08-ACA2-7A300971A832}"/>
    <hyperlink ref="H895" r:id="rId1222" xr:uid="{8C457B5E-6DD3-43C8-9D4F-CB066E330744}"/>
    <hyperlink ref="H25" r:id="rId1223" xr:uid="{71D6361C-2D56-4042-B5C0-4C0833CCC8FE}"/>
    <hyperlink ref="H999" r:id="rId1224" xr:uid="{760A2158-9A04-419A-9B32-2FD65859BBC5}"/>
    <hyperlink ref="H108" r:id="rId1225" xr:uid="{927FCC90-27FC-4646-AA0C-DF4A78735B66}"/>
    <hyperlink ref="H1032" r:id="rId1226" xr:uid="{B2EDE468-79AE-4E5B-8B7E-468DB0BFC033}"/>
    <hyperlink ref="H894" r:id="rId1227" xr:uid="{7DF51FF5-F39C-44E0-9CE4-32A5EC3800D0}"/>
    <hyperlink ref="H893" r:id="rId1228" xr:uid="{98AEC19A-FF86-4C00-A130-1FBE765CCD0F}"/>
    <hyperlink ref="H23" r:id="rId1229" xr:uid="{817C6389-CF1D-4F88-B8F8-3177B7D57B19}"/>
    <hyperlink ref="H892" r:id="rId1230" xr:uid="{28A06628-DF89-4806-8168-A5025E14A5F4}"/>
    <hyperlink ref="H266" r:id="rId1231" xr:uid="{95FFAC78-9022-467B-ABCC-CBD89EFC7883}"/>
    <hyperlink ref="G891" r:id="rId1232" xr:uid="{C7DF5722-39D0-483D-B964-B77F27D26C75}"/>
    <hyperlink ref="H891" r:id="rId1233" xr:uid="{1595D0D1-4824-490D-A22F-9DE087ED189A}"/>
    <hyperlink ref="H647" r:id="rId1234" xr:uid="{52A9AC63-0A36-41AE-8B33-1119B4873B9B}"/>
    <hyperlink ref="G201" r:id="rId1235" xr:uid="{D68EF3AA-4A97-4F52-B10D-92CE810360B5}"/>
    <hyperlink ref="G976" r:id="rId1236" xr:uid="{AC17A68D-6F8A-4CAA-9A81-72481B1A06C3}"/>
    <hyperlink ref="H890" r:id="rId1237" xr:uid="{3F7388D5-DFC3-4DBA-8331-845009D29E5F}"/>
    <hyperlink ref="H888" r:id="rId1238" xr:uid="{0D3A7D01-2500-423D-860B-402C50A0A717}"/>
    <hyperlink ref="H954" r:id="rId1239" xr:uid="{A1F0A7E3-2D70-44D5-9707-862FF3FC55CA}"/>
    <hyperlink ref="G511" r:id="rId1240" xr:uid="{F441BCAB-02D5-4E31-ACFC-F78969C23EF6}"/>
    <hyperlink ref="H511" r:id="rId1241" xr:uid="{8240F960-982B-427F-A162-3EB7181D0F86}"/>
    <hyperlink ref="C990" r:id="rId1242" xr:uid="{5CB326E9-CC30-45D1-8C33-D3ABB339DC9D}"/>
    <hyperlink ref="H885" r:id="rId1243" xr:uid="{461DE060-9DEA-4462-AB32-64AB4D019382}"/>
    <hyperlink ref="H635" r:id="rId1244" xr:uid="{A528D979-BF34-44C6-8DF9-627E26B9C7CC}"/>
    <hyperlink ref="H634" r:id="rId1245" xr:uid="{5B8DCEDF-D621-44F8-8919-EDC1093E6EEC}"/>
    <hyperlink ref="H883" r:id="rId1246" xr:uid="{DD62E85E-AAFC-4680-8EAE-39FCBEC56B61}"/>
    <hyperlink ref="G990" r:id="rId1247" xr:uid="{77AF3096-4D64-4D31-B8B3-797BD8B44130}"/>
    <hyperlink ref="G1028" r:id="rId1248" xr:uid="{949E213B-9D92-4095-94A6-F32617C6D44D}"/>
    <hyperlink ref="G991" r:id="rId1249" xr:uid="{C0D069AE-37C0-4DAF-96BF-562AF5072B40}"/>
    <hyperlink ref="H970" r:id="rId1250" xr:uid="{9F4081C9-1EF2-4D4E-8DC3-A2705D361D48}"/>
    <hyperlink ref="G973" r:id="rId1251" xr:uid="{84862B39-D1DC-4D43-AEB8-DAD809744625}"/>
    <hyperlink ref="H972" r:id="rId1252" xr:uid="{656162FB-70F2-4C99-ACD4-735CCEF5EEFC}"/>
    <hyperlink ref="H973" r:id="rId1253" xr:uid="{2B7F543D-B355-4727-B047-60C7A0D6AEC0}"/>
    <hyperlink ref="H963" r:id="rId1254" xr:uid="{04F2C0D4-3EC3-490F-872E-25FBA4F7351F}"/>
    <hyperlink ref="H158" r:id="rId1255" xr:uid="{35795B97-87B0-4689-B788-0B6F6ABB3395}"/>
    <hyperlink ref="H451" r:id="rId1256" xr:uid="{419C4D2C-6C5B-47FA-A84C-C5C96301FF84}"/>
    <hyperlink ref="H708" r:id="rId1257" xr:uid="{91FB262F-66AC-4EA8-8874-D30A1D845297}"/>
    <hyperlink ref="H1049" r:id="rId1258" xr:uid="{C2D376CC-3952-4749-9583-0855D48CCBB0}"/>
    <hyperlink ref="H1068" r:id="rId1259" xr:uid="{CCE65E12-D936-4542-BF7F-36B1370F0FD3}"/>
    <hyperlink ref="H952" r:id="rId1260" xr:uid="{AFE43B23-34FE-4E8A-AFE4-98E697545355}"/>
    <hyperlink ref="G457" r:id="rId1261" xr:uid="{89FA7CC8-B950-4808-9BFF-6FFB19A40C52}"/>
    <hyperlink ref="H953" r:id="rId1262" xr:uid="{087367A7-7AF3-4AA0-9FFF-2C4B960B0AF9}"/>
    <hyperlink ref="G458" r:id="rId1263" xr:uid="{B6C74C52-F43F-482B-8651-94AADCFD2837}"/>
    <hyperlink ref="G459" r:id="rId1264" display="https://www.adl.org/resources/report/sheikh-abdullah-faisal-ideologue-hate" xr:uid="{F611642E-4B31-4FFF-B8A7-D12DDBFDBF8A}"/>
    <hyperlink ref="H208" r:id="rId1265" xr:uid="{0DE5D862-33E9-43D1-9870-75CCDD3AB492}"/>
    <hyperlink ref="H1040" r:id="rId1266" xr:uid="{927DC5F5-3F76-4B5F-BA92-96C0A96551F3}"/>
    <hyperlink ref="H126" r:id="rId1267" xr:uid="{897D0FEE-8F3A-4C16-8ADA-9165733AB5A1}"/>
    <hyperlink ref="H271" r:id="rId1268" xr:uid="{C4051627-E3E0-48F5-85F7-61B23F12FBB2}"/>
    <hyperlink ref="H440" r:id="rId1269" xr:uid="{BDB5A20F-79AC-4D00-B3C0-35CF20950BAC}"/>
    <hyperlink ref="H134" r:id="rId1270" xr:uid="{F2098C55-7597-404D-AEC4-A655BF0B19AE}"/>
    <hyperlink ref="H441" r:id="rId1271" xr:uid="{35F2F395-3B26-4589-B09B-4A852692C50A}"/>
    <hyperlink ref="H445" r:id="rId1272" xr:uid="{903C0F73-EB41-4DC0-B8DB-748D86F02ECC}"/>
    <hyperlink ref="H146" r:id="rId1273" xr:uid="{C7C1CC16-BE2C-4E8F-96FF-927793BB56D7}"/>
    <hyperlink ref="H29" r:id="rId1274" xr:uid="{74BDFE8D-C28C-42A9-8FD4-0445B35F45E1}"/>
    <hyperlink ref="H1061" r:id="rId1275" xr:uid="{DC645E59-7D73-4873-9AF7-AC8A2C3D1D4F}"/>
    <hyperlink ref="H1062" r:id="rId1276" xr:uid="{15A73C8A-D502-4A3E-BA63-1AF1A1098DB2}"/>
    <hyperlink ref="H1063" r:id="rId1277" xr:uid="{9D16F873-5E6C-47A1-BC97-3B4872337256}"/>
    <hyperlink ref="H1064" r:id="rId1278" xr:uid="{AC8EC6C3-4067-4F12-9123-7DCB9A680A8F}"/>
    <hyperlink ref="H273" r:id="rId1279" xr:uid="{86F20D65-C943-464F-AC29-399FFD78EC94}"/>
    <hyperlink ref="H427" r:id="rId1280" xr:uid="{2326F499-A7FA-4015-B5C8-D138F9BD9AE6}"/>
    <hyperlink ref="H881" r:id="rId1281" xr:uid="{9BBB2461-6ED6-4F8C-B063-37561FA4CFD3}"/>
    <hyperlink ref="H424" r:id="rId1282" xr:uid="{0DF9C58B-745F-4266-B3D8-D162F029E4A5}"/>
    <hyperlink ref="H936" r:id="rId1283" xr:uid="{6D6449AB-0CA2-4EF5-BA70-C38ACD3D5422}"/>
    <hyperlink ref="H109" r:id="rId1284" xr:uid="{071D234E-6234-4614-A575-F1B8928E6F13}"/>
    <hyperlink ref="G469" r:id="rId1285" xr:uid="{9A77D553-241C-42D0-B1A0-48C08F199579}"/>
    <hyperlink ref="G514" r:id="rId1286" xr:uid="{3275DAD4-29B1-4B4C-9BD3-D88BB5D7ACA4}"/>
    <hyperlink ref="H514" r:id="rId1287" xr:uid="{82285B41-C534-486C-8DC9-6B372642B13F}"/>
    <hyperlink ref="H914" r:id="rId1288" xr:uid="{8C32C222-C915-4AE8-A067-DF9FCF6D4EA2}"/>
    <hyperlink ref="H82" r:id="rId1289" xr:uid="{AE66F977-8FD3-4C3E-BF59-8421C8EABEB9}"/>
    <hyperlink ref="H631" r:id="rId1290" xr:uid="{E1A3AB69-72AB-41B7-85F9-B324EE31CB39}"/>
    <hyperlink ref="G875" r:id="rId1291" xr:uid="{46AF72A0-7EAD-4FFB-A02E-363A147D5330}"/>
    <hyperlink ref="G481" r:id="rId1292" xr:uid="{123DCE47-B916-4417-A76C-6A122CF5D04A}"/>
    <hyperlink ref="H630" r:id="rId1293" xr:uid="{DF53544C-153B-48A2-860F-D5EEB1E8AB63}"/>
    <hyperlink ref="H95" r:id="rId1294" xr:uid="{BBB5148C-54E7-4874-9A2B-DA263E25C02C}"/>
    <hyperlink ref="H417" r:id="rId1295" xr:uid="{7DA54AD4-9F18-4511-B6A3-226425535AC9}"/>
    <hyperlink ref="H260" r:id="rId1296" xr:uid="{4581B93E-C667-4A0F-BFD5-5B7798678A42}"/>
    <hyperlink ref="H22" r:id="rId1297" xr:uid="{F3734387-FFD6-4533-A580-EEFD48FE6722}"/>
    <hyperlink ref="H99" r:id="rId1298" xr:uid="{6231A327-0584-4D16-B75A-3D363F46B41A}"/>
    <hyperlink ref="H1090" r:id="rId1299" xr:uid="{A5D0C203-461E-4B68-A70F-A2656CCAEB94}"/>
    <hyperlink ref="H101" r:id="rId1300" xr:uid="{C63A0485-D9A0-40DF-9DB8-0F2D3DB97814}"/>
    <hyperlink ref="H668" r:id="rId1301" xr:uid="{15F70596-81E7-4966-B930-6C91CAD64AA8}"/>
    <hyperlink ref="H628" r:id="rId1302" xr:uid="{03345ACC-A376-4BA2-AAAD-2F75A7A39690}"/>
    <hyperlink ref="H874" r:id="rId1303" xr:uid="{9D9F3326-E3BE-4593-94D6-D6C7BBFF9F7D}"/>
    <hyperlink ref="H627" r:id="rId1304" xr:uid="{A944A88C-9F84-4612-98DD-46AC51F89145}"/>
    <hyperlink ref="H873" r:id="rId1305" xr:uid="{F221049A-0CDB-4D6A-B8A2-F16913E0D472}"/>
    <hyperlink ref="H421" r:id="rId1306" xr:uid="{D13BF7F5-21B0-47AE-BBF5-595F5504BB69}"/>
    <hyperlink ref="G483" r:id="rId1307" xr:uid="{F02A94D6-9C22-4148-BB9D-14E88ED65F9E}"/>
    <hyperlink ref="H422" r:id="rId1308" xr:uid="{DB67FBE9-E45A-4D22-89A3-00DFBFA2AAFE}"/>
    <hyperlink ref="H633" r:id="rId1309" xr:uid="{9844CD68-32A9-4F31-B99C-70E1A6BF202F}"/>
    <hyperlink ref="H626" r:id="rId1310" xr:uid="{04FE8437-A1FA-4335-8D3F-CCAC3F740D0C}"/>
    <hyperlink ref="H399" r:id="rId1311" xr:uid="{6AA0F6E0-8687-4CA1-BCF3-8C8B572F19FF}"/>
    <hyperlink ref="H625" r:id="rId1312" xr:uid="{5AC2F0ED-C092-49F1-B5B9-11C958A0EB60}"/>
    <hyperlink ref="H880" r:id="rId1313" xr:uid="{C7A36F5D-7846-443E-A620-92FBA99D00B9}"/>
    <hyperlink ref="G533" r:id="rId1314" xr:uid="{C5AC5E01-FE3B-4BB6-A4BE-C7B220FD4611}"/>
    <hyperlink ref="G181" r:id="rId1315" xr:uid="{5C06B56F-1122-4795-A689-2D557B85E1FB}"/>
    <hyperlink ref="H259" r:id="rId1316" xr:uid="{D166D934-1070-4ADE-8150-5570CC80366C}"/>
    <hyperlink ref="H871" r:id="rId1317" xr:uid="{95AD4470-CC67-476C-8F1D-8BC685E99854}"/>
    <hyperlink ref="G540" r:id="rId1318" xr:uid="{6CFC183A-7612-48F0-8CA5-730E608623DA}"/>
    <hyperlink ref="H870" r:id="rId1319" xr:uid="{0C132BE3-8A91-4726-AD93-5C59671CB19B}"/>
    <hyperlink ref="H869" r:id="rId1320" xr:uid="{22ABFED3-F812-4EDD-BE68-C672BBB62A3F}"/>
    <hyperlink ref="H872" r:id="rId1321" xr:uid="{BBE6823E-95A7-4755-91FE-7A5196251A6C}"/>
    <hyperlink ref="H868" r:id="rId1322" xr:uid="{048D5BAA-55BB-45E2-B55A-7C2DC172BE7D}"/>
    <hyperlink ref="H81" r:id="rId1323" xr:uid="{31ED1E2F-C648-4E4E-9E34-B4339D29E2A7}"/>
    <hyperlink ref="H80" r:id="rId1324" xr:uid="{6CB50DA5-27C0-4973-9ABD-EE197445D404}"/>
    <hyperlink ref="H213" r:id="rId1325" xr:uid="{FCF517AC-5D07-41B2-869A-2109AF776F36}"/>
    <hyperlink ref="H79" r:id="rId1326" xr:uid="{E1F0B8E1-A6FA-461B-81A6-D9C2ACC314E9}"/>
    <hyperlink ref="G867" r:id="rId1327" xr:uid="{7644A759-CF4E-4193-BEEB-777028DC3D26}"/>
    <hyperlink ref="H867" r:id="rId1328" xr:uid="{6CA68C1C-655F-4514-904C-D14F13A9E4BB}"/>
    <hyperlink ref="H866" r:id="rId1329" xr:uid="{36952703-463D-4E71-95F0-9DBD149ED2C8}"/>
    <hyperlink ref="H390" r:id="rId1330" xr:uid="{6602D90F-3F8A-4344-BE42-B2957CAC45EB}"/>
    <hyperlink ref="H389" r:id="rId1331" xr:uid="{77B05F7C-B956-4C18-AE3A-7FE4B5207E53}"/>
    <hyperlink ref="H865" r:id="rId1332" xr:uid="{C922B7A2-8715-4512-8088-A800A9792FB6}"/>
    <hyperlink ref="H864" r:id="rId1333" xr:uid="{CEC1821E-42FF-4D77-B348-11E59A677367}"/>
    <hyperlink ref="H361" r:id="rId1334" xr:uid="{7A705DA8-39AD-416E-A40B-49D4679699FE}"/>
    <hyperlink ref="G490" r:id="rId1335" xr:uid="{962186FD-902A-4BE3-BEE2-10EFB481D407}"/>
    <hyperlink ref="H829" r:id="rId1336" xr:uid="{C5E828C3-D1D7-458F-BF2E-E6DB1073B4E2}"/>
    <hyperlink ref="H353" r:id="rId1337" xr:uid="{1DD30CBD-BA27-4AC1-9A7E-8B920845353B}"/>
    <hyperlink ref="G987" r:id="rId1338" xr:uid="{B16B7546-0BC0-4440-B7A8-859135053EA3}"/>
    <hyperlink ref="H352" r:id="rId1339" xr:uid="{B31F4366-EDB9-40D8-9878-6E8167F5BFF1}"/>
    <hyperlink ref="H350" r:id="rId1340" xr:uid="{03325A88-D01D-468F-9B76-1FC6DBF4B5F7}"/>
    <hyperlink ref="G491" r:id="rId1341" xr:uid="{30D7498E-3DB1-45DA-8846-5E063F2827BA}"/>
    <hyperlink ref="H351" r:id="rId1342" xr:uid="{E970D978-2E41-4F24-A555-7193641D491A}"/>
    <hyperlink ref="H369" r:id="rId1343" xr:uid="{82A14B21-AC22-49ED-8CE6-18A10E8789ED}"/>
    <hyperlink ref="H349" r:id="rId1344" xr:uid="{017B6B8A-1E5F-4A2E-924F-D264C11045F9}"/>
    <hyperlink ref="H348" r:id="rId1345" xr:uid="{58278A9A-076E-4C47-9E22-DCEC2386AEC8}"/>
    <hyperlink ref="H347" r:id="rId1346" xr:uid="{603036E6-C740-4030-8F4D-B7970F1A6830}"/>
    <hyperlink ref="H61" r:id="rId1347" xr:uid="{790DEC7B-C690-4E14-931D-FB28E5CAEF90}"/>
    <hyperlink ref="H210" r:id="rId1348" xr:uid="{10B96F37-7739-4269-80DB-1D2C9F873491}"/>
    <hyperlink ref="H341" r:id="rId1349" xr:uid="{6452499C-E6AC-4456-86F7-83B3804DAE51}"/>
    <hyperlink ref="H340" r:id="rId1350" xr:uid="{C7EC6173-DF63-4D12-B4F1-4F530C99153A}"/>
    <hyperlink ref="H59" r:id="rId1351" xr:uid="{F7B5C905-9F29-41CA-B44E-F19AED9147BE}"/>
    <hyperlink ref="H58" r:id="rId1352" xr:uid="{A3BB03DC-CA4A-4FC9-8ED0-4FE9F78DB32E}"/>
    <hyperlink ref="H611" r:id="rId1353" xr:uid="{3A2E493F-86C9-4F75-9EF2-C6C29E377DC2}"/>
    <hyperlink ref="H823" r:id="rId1354" xr:uid="{07A03300-ECBB-4290-907A-250CA7A2C26F}"/>
    <hyperlink ref="H822" r:id="rId1355" xr:uid="{D9A71408-3F23-4133-9D60-A285C7453F29}"/>
    <hyperlink ref="H610" r:id="rId1356" xr:uid="{38BD26F6-E30F-473E-835E-48D0E85F56FA}"/>
    <hyperlink ref="H609" r:id="rId1357" xr:uid="{8431E51F-5ECA-4FD9-90AF-291ECA01CA10}"/>
    <hyperlink ref="H56" r:id="rId1358" xr:uid="{FCA0F068-686A-4AC4-9C22-51F19AA37B97}"/>
    <hyperlink ref="H815" r:id="rId1359" xr:uid="{0319482B-4534-4B1C-B99B-3F08B435CF03}"/>
    <hyperlink ref="H606" r:id="rId1360" xr:uid="{1893DCA1-E51E-4319-A03C-4B4BBAFC458D}"/>
    <hyperlink ref="H814" r:id="rId1361" xr:uid="{F478B3F3-764C-45BF-900C-B64E5022761A}"/>
    <hyperlink ref="H605" r:id="rId1362" xr:uid="{9007564C-A361-4F60-814D-280BA5700E90}"/>
    <hyperlink ref="H736" r:id="rId1363" xr:uid="{FB00BB7B-82C8-404A-A60E-D9186DD9B925}"/>
    <hyperlink ref="H604" r:id="rId1364" xr:uid="{BEF3228B-65F6-456E-990A-C55FF8F5BEA6}"/>
    <hyperlink ref="H54" r:id="rId1365" xr:uid="{2024AF3C-8A0D-4A6E-A4E9-13435C01E193}"/>
    <hyperlink ref="G224" r:id="rId1366" xr:uid="{93E14269-5071-4CFB-AA75-EF07E8B85872}"/>
    <hyperlink ref="H811" r:id="rId1367" xr:uid="{78AF9325-EB64-4298-84DD-1FD811A9455B}"/>
    <hyperlink ref="H809" r:id="rId1368" xr:uid="{0C87E0D6-E851-41E7-8ACC-3C59EDD7EE46}"/>
    <hyperlink ref="H52" r:id="rId1369" xr:uid="{E7A88F63-4C38-43A6-B06F-86BA04D44418}"/>
    <hyperlink ref="H51" r:id="rId1370" xr:uid="{083EC4D7-E86C-4E91-B94F-559CC3442652}"/>
    <hyperlink ref="H249" r:id="rId1371" xr:uid="{FA496970-B72D-40B0-95EC-7BE3CF41D9B0}"/>
    <hyperlink ref="H573" r:id="rId1372" xr:uid="{5861408C-4F5B-45CB-863F-47F04179AD95}"/>
    <hyperlink ref="H805" r:id="rId1373" xr:uid="{2498A1B4-5534-443B-BEE0-ADE3B6552D03}"/>
    <hyperlink ref="H283" r:id="rId1374" xr:uid="{5773606E-4FF0-42E9-B43B-63A873AE6D8C}"/>
    <hyperlink ref="H307" r:id="rId1375" xr:uid="{EDCAE7EC-BA72-454B-B7CD-D4DF63ACE6D3}"/>
    <hyperlink ref="H740" r:id="rId1376" xr:uid="{36673BE9-5A27-40FA-94D8-DE113AB5CB3F}"/>
    <hyperlink ref="H646" r:id="rId1377" xr:uid="{C982F31F-1352-43E8-B59F-C207A6F7E249}"/>
    <hyperlink ref="C393" r:id="rId1378" xr:uid="{33E56F72-E67D-4EE4-A60E-69EC62F59C97}"/>
    <hyperlink ref="G1052" r:id="rId1379" xr:uid="{F3B5F2EF-A334-4148-AD9E-90E929220BA7}"/>
    <hyperlink ref="G715" r:id="rId1380" xr:uid="{20A81F99-F43D-4BC8-82EC-93C7A51E8D2D}"/>
    <hyperlink ref="G173" r:id="rId1381" xr:uid="{4A2FF0AF-8924-468E-9458-4F697D49A3D1}"/>
    <hyperlink ref="G175" r:id="rId1382" xr:uid="{F6F1A59D-2691-49D6-B1CD-AF574A71D524}"/>
    <hyperlink ref="G226" r:id="rId1383" xr:uid="{A2C304C5-EEAC-4FD1-9AE9-F8401730C491}"/>
    <hyperlink ref="G1072" r:id="rId1384" xr:uid="{C4BCA720-228C-477A-AC0F-77E4D714776B}"/>
    <hyperlink ref="G233" r:id="rId1385" xr:uid="{BFCAC823-DC02-4F06-9D6F-D29D45A4446B}"/>
    <hyperlink ref="G748" r:id="rId1386" xr:uid="{BE10038E-5A3C-44FE-8F25-484DE233F734}"/>
    <hyperlink ref="G288" r:id="rId1387" xr:uid="{1EA0B94D-24E9-4735-9A05-1CFEA27E22B5}"/>
    <hyperlink ref="G1041" r:id="rId1388" xr:uid="{4FEF53D8-0972-4A5A-B92E-F45CE23951C2}"/>
    <hyperlink ref="G1046" r:id="rId1389" xr:uid="{EB3F074D-7687-45DC-8A74-6AA9DB541A30}"/>
    <hyperlink ref="G1053" r:id="rId1390" xr:uid="{DE1DF569-2D90-4D7C-A4F0-EA5C2F0515BA}"/>
    <hyperlink ref="G645" r:id="rId1391" xr:uid="{DC97BF5A-C1CB-4F91-92C1-00437B529715}"/>
    <hyperlink ref="G240" r:id="rId1392" xr:uid="{F56ED6C8-C0F0-4E4D-AE91-094D0CD638F1}"/>
    <hyperlink ref="G733" r:id="rId1393" xr:uid="{1A508815-F034-4AD8-A919-606B29F86396}"/>
    <hyperlink ref="G513" r:id="rId1394" xr:uid="{C516F422-8B41-4712-854B-462B660FF91F}"/>
    <hyperlink ref="G515" r:id="rId1395" xr:uid="{D9579241-CA21-49B3-BCFE-ED08A6D4DEFA}"/>
    <hyperlink ref="G996" r:id="rId1396" xr:uid="{3F793D2B-CBE3-45E5-A6BC-596A5EAC8E38}"/>
    <hyperlink ref="G237" r:id="rId1397" xr:uid="{BABE62A6-FC36-435C-8FA8-347E99419A20}"/>
    <hyperlink ref="G550" r:id="rId1398" xr:uid="{8331395B-AE2D-4E43-A6B0-68A9243082E1}"/>
    <hyperlink ref="G760" r:id="rId1399" xr:uid="{B3556910-F428-4244-90D6-5C49E9D76BAA}"/>
    <hyperlink ref="G759" r:id="rId1400" xr:uid="{A8F7BA5A-DFA7-4660-BF27-FC29477ED6CC}"/>
    <hyperlink ref="G758" r:id="rId1401" xr:uid="{D12B709C-E0BE-4D55-9615-4680C38E12D0}"/>
    <hyperlink ref="G1073" r:id="rId1402" xr:uid="{86B8FA5F-D02B-4264-BB51-F89707914AC1}"/>
    <hyperlink ref="G228" r:id="rId1403" xr:uid="{9E9EE32F-3835-4A50-9507-24DBD6F11429}"/>
    <hyperlink ref="G532" r:id="rId1404" xr:uid="{51986DC0-C086-4080-A099-2865E1C32442}"/>
    <hyperlink ref="G526" r:id="rId1405" xr:uid="{18516ED3-FACF-4CD4-9556-827444A62A8F}"/>
    <hyperlink ref="G1004" r:id="rId1406" xr:uid="{0C27A314-1DFF-4F62-BDCE-FAC440A282D5}"/>
    <hyperlink ref="G1005" r:id="rId1407" xr:uid="{69227D3C-CAEB-43FC-8A01-73F8DC18EEEA}"/>
    <hyperlink ref="G1012" r:id="rId1408" xr:uid="{4A0744F6-E3C7-414E-B337-872D1C8AE885}"/>
    <hyperlink ref="G179" r:id="rId1409" xr:uid="{BB58C8D0-37A5-4752-8BD6-931EF77D6769}"/>
    <hyperlink ref="G277" r:id="rId1410" xr:uid="{13274D8C-C11B-4946-9406-4C93965FE3D9}"/>
    <hyperlink ref="G207" r:id="rId1411" xr:uid="{65A19E94-6395-4435-A58E-9A7E37595F4C}"/>
    <hyperlink ref="G1009" r:id="rId1412" xr:uid="{C84B8673-509D-44F4-AF5C-18BF30AAD4EA}"/>
    <hyperlink ref="G552" r:id="rId1413" xr:uid="{2E7EA5D5-0A6E-41C9-A2EC-F80322CB2529}"/>
    <hyperlink ref="J501" r:id="rId1414" xr:uid="{1FE4E59A-5234-406B-90C0-166404444C89}"/>
    <hyperlink ref="G501" r:id="rId1415" xr:uid="{7ABC63BB-295F-4F10-B1D5-C61F3850980B}"/>
    <hyperlink ref="G504" r:id="rId1416" xr:uid="{A5D58E37-8214-4719-8BA3-D4BB9458D6A6}"/>
    <hyperlink ref="C730" r:id="rId1417" xr:uid="{7B726964-04ED-4C72-A54B-C501245B1A86}"/>
    <hyperlink ref="H560" r:id="rId1418" xr:uid="{7BB37607-0DA5-46F1-9290-3BD6BBBE7F8E}"/>
    <hyperlink ref="H571" r:id="rId1419" xr:uid="{91158DBB-C8CE-480E-BFBB-3DD10DB28B33}"/>
    <hyperlink ref="H570" r:id="rId1420" xr:uid="{06505C47-1032-460D-8146-EAB75FC994A4}"/>
    <hyperlink ref="H1017" r:id="rId1421" xr:uid="{61EE06DA-3540-428C-90E3-5A33B36A3ABE}"/>
    <hyperlink ref="H561" r:id="rId1422" xr:uid="{35FF3AC8-61D5-4D5B-BF60-1484F4C76BB7}"/>
    <hyperlink ref="H1015" r:id="rId1423" xr:uid="{125B8453-83D0-457C-90FC-B0605065C87C}"/>
    <hyperlink ref="H1077" r:id="rId1424" xr:uid="{0816E6AA-CB32-46EE-B1D3-8DCD98E401AF}"/>
    <hyperlink ref="H562" r:id="rId1425" xr:uid="{F9F7BADD-03D0-4405-99C8-A654153570CC}"/>
    <hyperlink ref="H563" r:id="rId1426" xr:uid="{C1090295-2318-4674-947B-EC7E5390795B}"/>
    <hyperlink ref="H564" r:id="rId1427" xr:uid="{44BE3FAC-D335-46A8-A763-0303BC6DE288}"/>
    <hyperlink ref="H1035" r:id="rId1428" xr:uid="{AF11737E-B347-4641-BABE-3EBBEC2CF625}"/>
    <hyperlink ref="I11" r:id="rId1429" display="https://www.adl.org/resources/backgrounder/764" xr:uid="{582D1898-F637-4A8B-8CA8-BDB058FB8260}"/>
    <hyperlink ref="I10" r:id="rId1430" display="https://www.adl.org/resources/backgrounder/764" xr:uid="{30DDC97C-02BF-41C5-8910-1BC97B5585D9}"/>
    <hyperlink ref="I1034" r:id="rId1431" display="https://adl.org/resources/backgrounder/black-hebrew-israelites" xr:uid="{404494D9-5933-4676-BEF6-637208F7C37F}"/>
    <hyperlink ref="I280" r:id="rId1432" display="https://www.adl.org/resources/article/bitchute-hotbed-hate" xr:uid="{A366F13C-2FFD-4C4A-86DD-6EF00D34D873}"/>
    <hyperlink ref="I89" r:id="rId1433" display="https://www.adl.org/resources/hate-symbol/zyklon-b" xr:uid="{345545E4-EC6E-448F-A60E-CF06EC328D66}"/>
    <hyperlink ref="I30" r:id="rId1434" display="https://www.adl.org/resources/hate-symbol/zog" xr:uid="{41760631-6FC2-4BF4-AA50-45C288D43C5D}"/>
    <hyperlink ref="I88" r:id="rId1435" display="https://www.adl.org/resources/hate-symbol/wp" xr:uid="{D34E6DCC-35DE-4D07-993A-61FCC525374A}"/>
    <hyperlink ref="I898" r:id="rId1436" display="https://www.adl.org/resources/hate-symbol/women-aryan-unity" xr:uid="{D86531B9-84AE-4788-9738-C15895F629F8}"/>
    <hyperlink ref="I637" r:id="rId1437" display="https://www.adl.org/resources/hate-symbol/wolfsangel" xr:uid="{74619CA3-FF0F-4D81-9F6A-FFD46BB8084B}"/>
    <hyperlink ref="M1028" r:id="rId1438" xr:uid="{3D0D8B00-D7D5-4293-9698-FC3758877BF8}"/>
    <hyperlink ref="M1029" r:id="rId1439" xr:uid="{E3D72598-1395-4C61-BCD3-0C7765C0A2D8}"/>
    <hyperlink ref="C1030" r:id="rId1440" xr:uid="{EBFEEFC9-16A8-40E7-AA19-11C85F4B61FE}"/>
    <hyperlink ref="M1016" r:id="rId1441" xr:uid="{2841A071-E3FA-4D35-BA58-FA5F4AF06602}"/>
    <hyperlink ref="M1021" r:id="rId1442" xr:uid="{0C7AB0B4-B676-423A-9D7C-68214353E22C}"/>
    <hyperlink ref="M1024" r:id="rId1443" xr:uid="{3CE93C0C-9F9D-4207-88E9-7D0464B8E69D}"/>
    <hyperlink ref="M226" r:id="rId1444" xr:uid="{1D964886-E7B9-485E-A857-618965BABEBB}"/>
    <hyperlink ref="H669" r:id="rId1445" xr:uid="{77B89BF3-1E84-4C58-AB49-666CD34F7129}"/>
    <hyperlink ref="H624" r:id="rId1446" xr:uid="{A9DBA3C1-F348-4DCA-887D-435E06A834E1}"/>
    <hyperlink ref="H382" r:id="rId1447" xr:uid="{799DF223-100A-498A-8D8D-EDEDFAE049DC}"/>
    <hyperlink ref="H381" r:id="rId1448" xr:uid="{B958530B-C9CD-4381-9DFD-F6CAE66285A2}"/>
    <hyperlink ref="H380" r:id="rId1449" xr:uid="{25E6A39F-0792-4C86-9548-3ED3E5AC6621}"/>
    <hyperlink ref="H255" r:id="rId1450" xr:uid="{E80A04F3-F329-4132-A4D5-C8638F0D054E}"/>
    <hyperlink ref="H843" r:id="rId1451" xr:uid="{AD049B3B-DFA5-4351-8D6C-937DECCD6FD6}"/>
    <hyperlink ref="H206" r:id="rId1452" xr:uid="{DBF62C40-8796-429D-B143-1724F4AE49ED}"/>
    <hyperlink ref="H363" r:id="rId1453" xr:uid="{E23ED6FA-E76A-48A3-B29D-0713DC81E0A9}"/>
    <hyperlink ref="H360" r:id="rId1454" xr:uid="{34E8BE66-1150-4638-AD42-735B0DEE44CA}"/>
    <hyperlink ref="H358" r:id="rId1455" xr:uid="{23BC9BBB-4D6E-4EC1-A55B-6D242084E745}"/>
    <hyperlink ref="H251" r:id="rId1456" xr:uid="{627BB2A4-8DD3-48E9-AAB4-FAE8EDB56A34}"/>
    <hyperlink ref="H356" r:id="rId1457" xr:uid="{FDC227E5-AEE0-4024-A5C3-8A5B05798EF4}"/>
    <hyperlink ref="H825" r:id="rId1458" xr:uid="{DEFB24E4-5E00-4548-BCEA-CE6E08FC9793}"/>
    <hyperlink ref="H321" r:id="rId1459" xr:uid="{B8A02F29-F100-4234-AFB4-0E77E674440B}"/>
    <hyperlink ref="H106" r:id="rId1460" xr:uid="{FD78D67A-633C-4EDB-BC27-F0934DFE3163}"/>
    <hyperlink ref="H917" r:id="rId1461" xr:uid="{3547C1FD-3A7E-4533-82D4-2FEA85E92D57}"/>
    <hyperlink ref="H920" r:id="rId1462" xr:uid="{60B99DBA-9EC4-4F09-9FAE-D02EB35C4E11}"/>
    <hyperlink ref="H643" r:id="rId1463" xr:uid="{7669AE6C-AC9C-4CAB-9FAD-B14CE9B83573}"/>
    <hyperlink ref="H921" r:id="rId1464" xr:uid="{71FBDEE6-285D-4EF3-8363-A086D5E3E09D}"/>
    <hyperlink ref="H412" r:id="rId1465" xr:uid="{AF538119-B222-427E-B76D-FF519B4D2369}"/>
    <hyperlink ref="H928" r:id="rId1466" xr:uid="{3AE48733-D1ED-45B1-8624-1D45FD75EB35}"/>
    <hyperlink ref="H645" r:id="rId1467" xr:uid="{FA54F154-951A-4E70-A934-DFA278F19B25}"/>
    <hyperlink ref="H930" r:id="rId1468" xr:uid="{83F7BED5-739C-40EB-AC2A-E7AB39EE58D7}"/>
    <hyperlink ref="H902" r:id="rId1469" xr:uid="{77F5F89A-CD22-45C2-8E90-3BBA8E5659D1}"/>
    <hyperlink ref="G929" r:id="rId1470" xr:uid="{F485279B-89A3-4091-A690-74FAD7B10045}"/>
    <hyperlink ref="H929" r:id="rId1471" xr:uid="{EAD2C957-9D8A-4EB1-A301-5C599971B807}"/>
    <hyperlink ref="H240" r:id="rId1472" xr:uid="{8C9FDC24-F241-4A31-9C6D-FB7FD735C023}"/>
    <hyperlink ref="H733" r:id="rId1473" xr:uid="{068B2877-D23E-4C32-B537-9043D4982F2E}"/>
    <hyperlink ref="H801" r:id="rId1474" xr:uid="{7CA55D60-FD23-40ED-845C-794C270A9335}"/>
    <hyperlink ref="H322" r:id="rId1475" xr:uid="{00FCF333-96B8-4BCB-8679-E047FD3D1756}"/>
    <hyperlink ref="H324" r:id="rId1476" xr:uid="{8FD7AA25-7807-4338-820B-FF0F856DAE6F}"/>
    <hyperlink ref="H325" r:id="rId1477" xr:uid="{CB588084-2A12-40E1-9ACD-7A049EE98B8F}"/>
    <hyperlink ref="H603" r:id="rId1478" xr:uid="{78A9406B-0CB5-4518-AA79-FDF839CB5044}"/>
    <hyperlink ref="H678" r:id="rId1479" xr:uid="{19261DDB-8C57-43F6-AA32-EA142A4E2328}"/>
    <hyperlink ref="H53" r:id="rId1480" xr:uid="{5873E637-BED5-4240-8198-5E096F50A1B7}"/>
    <hyperlink ref="H807" r:id="rId1481" xr:uid="{5332CD34-C931-472D-A8D5-C40E218DA2C8}"/>
    <hyperlink ref="H326" r:id="rId1482" xr:uid="{6C3822AE-3B9C-4567-A7FE-120FBD065C84}"/>
    <hyperlink ref="H327" r:id="rId1483" xr:uid="{B8C8D1E2-D913-44CB-BDAD-3FC63AB1D633}"/>
    <hyperlink ref="H328" r:id="rId1484" xr:uid="{20ACA83A-1691-449B-9DAE-A4C1EDABBCD3}"/>
    <hyperlink ref="H810" r:id="rId1485" xr:uid="{42CFCF00-7114-4BE3-A488-08FE7A4B31C0}"/>
    <hyperlink ref="H813" r:id="rId1486" xr:uid="{FAC3F439-7610-452A-8349-DE7C0462F6DE}"/>
    <hyperlink ref="H332" r:id="rId1487" xr:uid="{31A49677-C421-4450-B794-8B890385AFFB}"/>
    <hyperlink ref="H55" r:id="rId1488" xr:uid="{96E32475-0827-42E1-AA94-71F8E58E3E69}"/>
    <hyperlink ref="H607" r:id="rId1489" xr:uid="{33BF8B6D-B5BD-4711-A3DA-60EECD02F4E7}"/>
    <hyperlink ref="H816" r:id="rId1490" xr:uid="{5E51973D-C9C2-4C9E-8C58-16F7B4FF4D69}"/>
    <hyperlink ref="H817" r:id="rId1491" xr:uid="{0D8AD47C-C5E2-4328-8106-4AB33D09557A}"/>
    <hyperlink ref="H333" r:id="rId1492" xr:uid="{6FA69BA6-5BF2-46C4-A4DB-6F7B550D15C5}"/>
    <hyperlink ref="H763" r:id="rId1493" xr:uid="{27F1FF54-F8B9-4266-A7EC-95F383C64654}"/>
    <hyperlink ref="H659" r:id="rId1494" xr:uid="{47470BFB-5904-43B2-815B-BE4BAF86D903}"/>
    <hyperlink ref="H197" r:id="rId1495" xr:uid="{9CE3323D-6647-4B92-A118-798E68936916}"/>
    <hyperlink ref="H513" r:id="rId1496" xr:uid="{B7309038-4380-4BB4-AFF2-E9D971C954F5}"/>
    <hyperlink ref="G518" r:id="rId1497" xr:uid="{D875B445-B07F-40BF-85DC-E118B8396875}"/>
    <hyperlink ref="H518" r:id="rId1498" xr:uid="{DCF80B51-7D42-4D01-AE84-D3C500195DE3}"/>
    <hyperlink ref="H334" r:id="rId1499" xr:uid="{57457398-CF73-4A28-B659-E06D90492506}"/>
    <hyperlink ref="H820" r:id="rId1500" xr:uid="{110AEDF0-139C-4FC5-AB2D-66B425CBD9F0}"/>
    <hyperlink ref="H821" r:id="rId1501" xr:uid="{F8BB643E-F8B3-4CBB-A5BD-CBDB7C76A796}"/>
    <hyperlink ref="H824" r:id="rId1502" xr:uid="{51BB865F-A190-4E5C-AD8D-5F2E1273E47A}"/>
    <hyperlink ref="H250" r:id="rId1503" xr:uid="{7B0F489C-1D5C-4B3B-A79B-7910345D3381}"/>
    <hyperlink ref="H237" r:id="rId1504" xr:uid="{90864D92-D8C0-4E95-93ED-A8F3751F4A0D}"/>
    <hyperlink ref="H572" r:id="rId1505" xr:uid="{C81C1885-6A6A-4250-8474-8B6F9E2D3FB9}"/>
    <hyperlink ref="H1076" r:id="rId1506" xr:uid="{54DB7B4F-BF5E-47EA-81F2-742E9E30F983}"/>
    <hyperlink ref="G672" r:id="rId1507" xr:uid="{A8E0EF2C-ACE5-4121-A66D-D5150E4CD162}"/>
    <hyperlink ref="G768" r:id="rId1508" xr:uid="{06BED28E-FA0F-4863-AC20-17F915856ED2}"/>
    <hyperlink ref="H672" r:id="rId1509" xr:uid="{62A2C6FB-C285-4B75-A91E-D81D2D9E0F63}"/>
    <hyperlink ref="H768" r:id="rId1510" xr:uid="{4E843FEF-30FD-4601-AE0C-B59FA335D1FF}"/>
    <hyperlink ref="H515" r:id="rId1511" xr:uid="{1400D67E-BC9D-4089-95BF-28DB23CCAECA}"/>
    <hyperlink ref="G525" r:id="rId1512" xr:uid="{814442DB-0465-46D0-9C20-A0B57DE15E18}"/>
    <hyperlink ref="H525" r:id="rId1513" xr:uid="{71FC1BD6-5C5C-4A24-B034-A570F472E268}"/>
    <hyperlink ref="H172" r:id="rId1514" xr:uid="{045F8830-F8B3-4786-9071-9E61563355E1}"/>
    <hyperlink ref="H173" r:id="rId1515" xr:uid="{7CC0A90F-CCA8-42F0-B13F-35EF55EAB3B3}"/>
    <hyperlink ref="G724" r:id="rId1516" xr:uid="{89372E9B-1908-4284-B0A5-12B837D9C4C8}"/>
    <hyperlink ref="H291" r:id="rId1517" xr:uid="{6DA0FCCF-C054-4295-897B-2F13A68D872E}"/>
    <hyperlink ref="H292" r:id="rId1518" xr:uid="{28835632-F4E9-4111-A938-5AF44224DB83}"/>
    <hyperlink ref="H567" r:id="rId1519" xr:uid="{0F99F18C-1F03-449D-89F9-D52BA81BDB08}"/>
    <hyperlink ref="H196" r:id="rId1520" xr:uid="{022A0479-4145-45B2-817A-D0777E65686B}"/>
    <hyperlink ref="H509" r:id="rId1521" xr:uid="{AB3CDBD8-0A88-45C9-BF0E-D82E60AFF721}"/>
    <hyperlink ref="H526" r:id="rId1522" xr:uid="{698483B9-1FF6-4FCA-A0A7-A92858C2010C}"/>
    <hyperlink ref="H1044" r:id="rId1523" xr:uid="{E29C7396-0392-496F-9940-43A8D39CF99F}"/>
    <hyperlink ref="H655" r:id="rId1524" xr:uid="{ECACCAB8-18FC-4099-A1EA-F476C0A9D731}"/>
    <hyperlink ref="H531" r:id="rId1525" xr:uid="{E7682B14-E6A4-49F3-ADF6-AF0881066358}"/>
    <hyperlink ref="H532" r:id="rId1526" xr:uid="{F5425888-360F-447D-A3D4-17F8B76CDFEA}"/>
    <hyperlink ref="H533" r:id="rId1527" xr:uid="{894A6835-D712-4CA2-9599-987DE27C7BFA}"/>
    <hyperlink ref="G519" r:id="rId1528" xr:uid="{E1A413E7-6E4E-4426-AC64-88E98E983FAF}"/>
    <hyperlink ref="H519" r:id="rId1529" xr:uid="{660DCFC7-0F67-4322-BC24-56FC11133F79}"/>
    <hyperlink ref="G520" r:id="rId1530" xr:uid="{4833F442-01C2-42FB-8064-AD0D0D0B9DD9}"/>
    <hyperlink ref="H520" r:id="rId1531" xr:uid="{2376D209-CA1B-4D85-85CB-65D9EDB4EC67}"/>
    <hyperlink ref="H1000" r:id="rId1532" xr:uid="{E65D5C93-E683-4DD0-8B14-E45BD9C7FD00}"/>
    <hyperlink ref="G1000" r:id="rId1533" xr:uid="{079EC954-5507-476D-AB3D-8D41F5E4D11C}"/>
    <hyperlink ref="G523" r:id="rId1534" xr:uid="{90320057-60EA-4D00-AC09-30BDB324ACF3}"/>
    <hyperlink ref="G528" r:id="rId1535" xr:uid="{4602B156-386F-4F83-A366-632687271A78}"/>
    <hyperlink ref="H523" r:id="rId1536" xr:uid="{D66EE94D-4E2D-452F-91D5-841634F35AB0}"/>
    <hyperlink ref="G1001" r:id="rId1537" xr:uid="{FAFA2123-3F46-4D62-A13D-3048E7BF9CF1}"/>
    <hyperlink ref="H1001" r:id="rId1538" xr:uid="{A3C5C81C-590B-481D-8D84-3762B2733607}"/>
    <hyperlink ref="G529" r:id="rId1539" xr:uid="{8131EF86-8D36-4979-9F0D-1756277BEEF0}"/>
    <hyperlink ref="G530" r:id="rId1540" xr:uid="{62F7F293-16BD-45DE-9593-5DEEE0377A81}"/>
    <hyperlink ref="C176" r:id="rId1541" xr:uid="{7205D4F4-2613-46BE-8920-3826C4DC9581}"/>
    <hyperlink ref="G176" r:id="rId1542" xr:uid="{FC74CB7E-AB55-449B-90A4-12DA67D93079}"/>
    <hyperlink ref="H176" r:id="rId1543" xr:uid="{1FB73680-C2D1-4523-A61A-3607461C1C03}"/>
    <hyperlink ref="H226" r:id="rId1544" xr:uid="{33C87DD6-10B3-4CE8-9053-A7B17801DE39}"/>
    <hyperlink ref="G177" r:id="rId1545" xr:uid="{BC511F85-62E6-4EBF-BA6F-2E47429FCADD}"/>
    <hyperlink ref="H177" r:id="rId1546" xr:uid="{FABA3DEE-5EC5-417B-B3F6-FA7D4D506045}"/>
    <hyperlink ref="H1072" r:id="rId1547" xr:uid="{B859E53B-6CAC-4A46-92DD-DD08725271C6}"/>
    <hyperlink ref="G756" r:id="rId1548" xr:uid="{8C1B9CD2-02C1-45AB-AE9A-E2A5FBBEA19B}"/>
    <hyperlink ref="H756" r:id="rId1549" xr:uid="{570654FA-C6D6-433B-8CA8-E66C9857F5E9}"/>
    <hyperlink ref="G1002" r:id="rId1550" xr:uid="{C3782618-3379-4B42-A8A8-A2CD29178807}"/>
    <hyperlink ref="H1002" r:id="rId1551" xr:uid="{2EC23716-B835-4474-97FB-E1C60612DA75}"/>
    <hyperlink ref="G227" r:id="rId1552" xr:uid="{A05C1BFE-39F1-4D7D-B52D-7F5012DD7370}"/>
    <hyperlink ref="G1003" r:id="rId1553" xr:uid="{E35FE171-C61D-4FD6-A93A-58AF2DBAD560}"/>
    <hyperlink ref="H1003" r:id="rId1554" xr:uid="{376E0375-30DA-4C76-8C67-0D2F21D15438}"/>
    <hyperlink ref="H1004" r:id="rId1555" xr:uid="{A5C7D572-BC0D-45A1-9183-05DE18CDA31A}"/>
    <hyperlink ref="H1005" r:id="rId1556" xr:uid="{3BB79D85-D2E7-4D07-9EA0-C3E17E55EFC5}"/>
    <hyperlink ref="H179" r:id="rId1557" xr:uid="{257A02BD-1AB8-48E5-AE4C-96F901D2334C}"/>
    <hyperlink ref="H534" r:id="rId1558" xr:uid="{2EF3EBAE-8DE0-425D-A7F9-3D8D2F6B3ABE}"/>
    <hyperlink ref="G121" r:id="rId1559" xr:uid="{578EE955-1F83-4593-96B6-87D0D7ED96F0}"/>
    <hyperlink ref="H121" r:id="rId1560" xr:uid="{B1570409-6501-434B-8122-57707C84D91E}"/>
    <hyperlink ref="G129" r:id="rId1561" xr:uid="{0468A01D-9655-4128-B77D-3B893F1DE487}"/>
    <hyperlink ref="G132" r:id="rId1562" xr:uid="{AFD24AF5-75A7-4690-8C69-F8C74CAE04A1}"/>
    <hyperlink ref="H132" r:id="rId1563" xr:uid="{1E414D0B-FF94-4F5F-A39F-8D66D6F2C7D8}"/>
    <hyperlink ref="G145" r:id="rId1564" xr:uid="{E6205627-783E-4C12-A755-0A4165CE3520}"/>
    <hyperlink ref="H160" r:id="rId1565" xr:uid="{D8CA641D-5A6F-4A86-90A9-F542A826C1F0}"/>
    <hyperlink ref="H163" r:id="rId1566" xr:uid="{EBB9B99F-0F57-4F22-A429-47621B8785CF}"/>
    <hyperlink ref="G165" r:id="rId1567" xr:uid="{42EB7314-301C-42EE-B85D-442964B0C3C0}"/>
    <hyperlink ref="H165" r:id="rId1568" xr:uid="{18A0A47F-DE07-49DC-832D-7CB53F0BEE68}"/>
    <hyperlink ref="H181" r:id="rId1569" xr:uid="{83E73B4D-0237-42B6-87AD-9C84A27DD0E7}"/>
    <hyperlink ref="H188" r:id="rId1570" xr:uid="{89A0BAED-55D2-479E-9A1F-5CE6A66D961C}"/>
    <hyperlink ref="G230" r:id="rId1571" xr:uid="{9750FE70-2541-490F-9B46-232CEAEA120D}"/>
    <hyperlink ref="G232" r:id="rId1572" xr:uid="{4300C2D8-CEB8-459E-9EBD-382B776CA778}"/>
    <hyperlink ref="H232" r:id="rId1573" xr:uid="{10C22919-1E46-4137-8363-F009F4C4E3D0}"/>
    <hyperlink ref="H233" r:id="rId1574" xr:uid="{B78ACF94-19DB-47A4-92C0-155D4664C865}"/>
    <hyperlink ref="G239" r:id="rId1575" xr:uid="{E624F4DD-F457-484E-B3C9-107D125B6937}"/>
    <hyperlink ref="H239" r:id="rId1576" xr:uid="{0E638686-DEA2-4A3C-A332-3A1D10219849}"/>
    <hyperlink ref="G248" r:id="rId1577" xr:uid="{519B137B-F812-4CD7-86C2-EAF2CEB58273}"/>
    <hyperlink ref="H248" r:id="rId1578" xr:uid="{D92EDAF1-AC01-4524-97F1-3689639FA863}"/>
    <hyperlink ref="G256" r:id="rId1579" xr:uid="{164A02AF-7C5E-4800-B779-C12FEDC1C908}"/>
    <hyperlink ref="H256" r:id="rId1580" xr:uid="{9BB854B0-A5AB-4FFC-929A-27593F6C2EE1}"/>
    <hyperlink ref="H258" r:id="rId1581" xr:uid="{BA1ADD8F-D501-4E10-AA11-2B758B9EBD94}"/>
    <hyperlink ref="G258" r:id="rId1582" xr:uid="{EB40165E-813B-4C41-ACCA-E942F0E53F35}"/>
  </hyperlinks>
  <pageMargins left="0.7" right="0.7" top="0.75" bottom="0.75" header="0.3" footer="0.3"/>
  <legacyDrawing r:id="rId158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Witkin, Matt</cp:lastModifiedBy>
  <cp:revision/>
  <dcterms:created xsi:type="dcterms:W3CDTF">2025-09-30T15:26:18Z</dcterms:created>
  <dcterms:modified xsi:type="dcterms:W3CDTF">2025-11-21T04:02:57Z</dcterms:modified>
  <cp:category/>
  <cp:contentStatus/>
</cp:coreProperties>
</file>